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<sst xmlns="http://schemas.openxmlformats.org/spreadsheetml/2006/main" count="199" uniqueCount="85">
  <si>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</si>
  <si>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</si>
  <si>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</si>
  <si>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</si>
  <si>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</si>
  <si>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</si>
  <si>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</si>
  <si>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</si>
  <si>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</si>
  <si>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</si>
  <si>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</si>
  <si>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</si>
  <si>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</si>
  <si>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</si>
  <si>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</si>
  <si>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</si>
  <si>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</si>
  <si>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</si>
  <si>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</si>
  <si>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</si>
  <si>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Noncompetitive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</si>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</sst>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8"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A2" activeCellId="0" pane="topLeft" sqref="A2"/>
    </sheetView>
  </sheetViews>
  <cols>
    <col collapsed="false" hidden="false" max="1" min="1" style="0" width="11.6156862745098"/>
    <col collapsed="false" hidden="false" max="3" min="2" style="0" width="8.54117647058824"/>
    <col collapsed="false" hidden="false" max="4" min="4" style="0" width="15.5411764705882"/>
    <col collapsed="false" hidden="false" max="8" min="5" style="0" width="8.54117647058824"/>
    <col collapsed="false" hidden="false" max="9" min="9" style="0" width="15.6823529411765"/>
    <col collapsed="false" hidden="false" max="10" min="10" style="0" width="16.1137254901961"/>
    <col collapsed="false" hidden="false" max="11" min="11" style="0" width="13.5019607843137"/>
    <col collapsed="false" hidden="false" max="12" min="12" style="0" width="9.88235294117647"/>
    <col collapsed="false" hidden="false" max="13" min="13" style="0" width="17.1372549019608"/>
    <col collapsed="false" hidden="false" max="14" min="14" style="0" width="17.2901960784314"/>
    <col collapsed="false" hidden="false" max="16" min="15" style="0" width="9.58823529411765"/>
    <col collapsed="false" hidden="false" max="18" min="17" style="0" width="8.54117647058824"/>
    <col collapsed="false" hidden="false" max="19" min="19" style="1" width="11.0274509803922"/>
    <col collapsed="false" hidden="false" max="20" min="20" style="0" width="12.1960784313725"/>
    <col collapsed="false" hidden="false" max="1025" min="21" style="0" width="8.54117647058824"/>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c r="L2" s="5" t="s">
        <v>21</v>
      </c>
      <c r="M2" s="6" t="n">
        <v>187500</v>
      </c>
      <c r="N2" s="9" t="n">
        <v>40892.5370949074</v>
      </c>
      <c r="O2" s="0" t="n">
        <f aca="false">+IF(AND(C2="Specified",J2="Competitive"),1,0)</f>
        <v>0</v>
      </c>
      <c r="P2" s="0" t="n">
        <f aca="false">+IF(AND(C2="Specified",J2="Noncompetitive"),1,0)</f>
        <v>1</v>
      </c>
      <c r="Q2" s="0" t="n">
        <f aca="false">+IF(AND(C2="General",J2="Competitive"),1,0)</f>
        <v>0</v>
      </c>
      <c r="R2" s="0" t="n">
        <f aca="false">+IF(AND(C2="General",J2="Noncompetitive"),1,0)</f>
        <v>0</v>
      </c>
      <c r="S2" s="10" t="n">
        <v>40928.625</v>
      </c>
      <c r="T2" s="11"/>
    </row>
    <row collapsed="false" customFormat="false" customHeight="false" hidden="false" ht="14" outlineLevel="0" r="3">
      <c r="A3" s="4" t="n">
        <v>0.625</v>
      </c>
      <c r="B3" s="0" t="n">
        <v>1104143</v>
      </c>
      <c r="C3" s="5" t="s">
        <v>18</v>
      </c>
      <c r="D3" s="6"/>
      <c r="E3" s="7"/>
      <c r="F3" s="7" t="n">
        <v>0.2</v>
      </c>
      <c r="G3" s="5" t="s">
        <v>22</v>
      </c>
      <c r="H3" s="5"/>
      <c r="I3" s="5" t="s">
        <v>23</v>
      </c>
      <c r="J3" s="5" t="s">
        <v>20</v>
      </c>
      <c r="K3" s="8"/>
      <c r="L3" s="5" t="s">
        <v>21</v>
      </c>
      <c r="M3" s="6" t="n">
        <v>500000</v>
      </c>
      <c r="N3" s="9" t="n">
        <v>40897.3636342593</v>
      </c>
      <c r="O3" s="0" t="n">
        <f aca="false">+IF(AND(C3="Specified",J3="Competitive"),1,0)</f>
        <v>0</v>
      </c>
      <c r="P3" s="0" t="n">
        <f aca="false">+IF(AND(C3="Specified",J3="Noncompetitive"),1,0)</f>
        <v>1</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c r="E4" s="7"/>
      <c r="F4" s="7" t="n">
        <v>0.2</v>
      </c>
      <c r="G4" s="5" t="s">
        <v>19</v>
      </c>
      <c r="H4" s="5" t="n">
        <v>2</v>
      </c>
      <c r="I4" s="5"/>
      <c r="J4" s="5" t="s">
        <v>20</v>
      </c>
      <c r="K4" s="8"/>
      <c r="L4" s="5" t="s">
        <v>21</v>
      </c>
      <c r="M4" s="6" t="n">
        <v>185000</v>
      </c>
      <c r="N4" s="9" t="n">
        <v>40913.3866666667</v>
      </c>
      <c r="O4" s="0" t="n">
        <f aca="false">+IF(AND(C4="Specified",J4="Competitive"),1,0)</f>
        <v>0</v>
      </c>
      <c r="P4" s="0" t="n">
        <f aca="false">+IF(AND(C4="Specified",J4="Noncompetitive"),1,0)</f>
        <v>1</v>
      </c>
      <c r="Q4" s="0" t="n">
        <f aca="false">+IF(AND(C4="General",J4="Competitive"),1,0)</f>
        <v>0</v>
      </c>
      <c r="R4" s="0" t="n">
        <f aca="false">+IF(AND(C4="General",J4="Noncompetitive"),1,0)</f>
        <v>0</v>
      </c>
      <c r="S4" s="10" t="n">
        <v>40928.625</v>
      </c>
      <c r="T4" s="11"/>
    </row>
    <row collapsed="false" customFormat="false" customHeight="false" hidden="false" ht="14" outlineLevel="0" r="5">
      <c r="A5" s="4" t="n">
        <v>0.625</v>
      </c>
      <c r="B5" s="0" t="n">
        <v>1104152</v>
      </c>
      <c r="C5" s="5" t="s">
        <v>18</v>
      </c>
      <c r="D5" s="6"/>
      <c r="E5" s="7"/>
      <c r="F5" s="7" t="n">
        <v>0.2</v>
      </c>
      <c r="G5" s="5" t="s">
        <v>22</v>
      </c>
      <c r="H5" s="5"/>
      <c r="I5" s="5" t="s">
        <v>24</v>
      </c>
      <c r="J5" s="5" t="s">
        <v>20</v>
      </c>
      <c r="K5" s="8"/>
      <c r="L5" s="5" t="s">
        <v>21</v>
      </c>
      <c r="M5" s="6" t="n">
        <v>1500000</v>
      </c>
      <c r="N5" s="9" t="n">
        <v>40913.3856712963</v>
      </c>
      <c r="O5" s="0" t="n">
        <f aca="false">+IF(AND(C5="Specified",J5="Competitive"),1,0)</f>
        <v>0</v>
      </c>
      <c r="P5" s="0" t="n">
        <f aca="false">+IF(AND(C5="Specified",J5="Noncompetitive"),1,0)</f>
        <v>1</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c r="L6" s="5" t="s">
        <v>25</v>
      </c>
      <c r="M6" s="6" t="n">
        <v>860000</v>
      </c>
      <c r="N6" s="9"/>
      <c r="O6" s="0" t="n">
        <f aca="false">+IF(AND(C6="Specified",J6="Competitive"),1,0)</f>
        <v>0</v>
      </c>
      <c r="P6" s="0" t="n">
        <f aca="false">+IF(AND(C6="Specified",J6="Noncompetitive"),1,0)</f>
        <v>1</v>
      </c>
      <c r="Q6" s="0" t="n">
        <f aca="false">+IF(AND(C6="General",J6="Competitive"),1,0)</f>
        <v>0</v>
      </c>
      <c r="R6" s="0" t="n">
        <f aca="false">+IF(AND(C6="General",J6="Noncompetitive"),1,0)</f>
        <v>0</v>
      </c>
      <c r="S6" s="10" t="n">
        <v>40928.7126388889</v>
      </c>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c r="L7" s="5" t="s">
        <v>25</v>
      </c>
      <c r="M7" s="6" t="n">
        <v>300000</v>
      </c>
      <c r="N7" s="9"/>
      <c r="O7" s="0" t="n">
        <f aca="false">+IF(AND(C7="Specified",J7="Competitive"),1,0)</f>
        <v>0</v>
      </c>
      <c r="P7" s="0" t="n">
        <f aca="false">+IF(AND(C7="Specified",J7="Noncompetitive"),1,0)</f>
        <v>1</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c r="L8" s="5" t="s">
        <v>25</v>
      </c>
      <c r="M8" s="6" t="n">
        <v>250000</v>
      </c>
      <c r="N8" s="9"/>
      <c r="O8" s="0" t="n">
        <f aca="false">+IF(AND(C8="Specified",J8="Competitive"),1,0)</f>
        <v>0</v>
      </c>
      <c r="P8" s="0" t="n">
        <f aca="false">+IF(AND(C8="Specified",J8="Noncompetitive"),1,0)</f>
        <v>1</v>
      </c>
      <c r="Q8" s="0" t="n">
        <f aca="false">+IF(AND(C8="General",J8="Competitive"),1,0)</f>
        <v>0</v>
      </c>
      <c r="R8" s="0" t="n">
        <f aca="false">+IF(AND(C8="General",J8="Noncompetitive"),1,0)</f>
        <v>0</v>
      </c>
      <c r="S8" s="10" t="n">
        <v>40928.8026388889</v>
      </c>
      <c r="T8" s="11"/>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c r="L9" s="5" t="s">
        <v>25</v>
      </c>
      <c r="M9" s="6" t="n">
        <v>74000</v>
      </c>
      <c r="N9" s="9"/>
      <c r="O9" s="0" t="n">
        <f aca="false">+IF(AND(C9="Specified",J9="Competitive"),1,0)</f>
        <v>0</v>
      </c>
      <c r="P9" s="0" t="n">
        <f aca="false">+IF(AND(C9="Specified",J9="Noncompetitive"),1,0)</f>
        <v>1</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c r="L10" s="5" t="s">
        <v>25</v>
      </c>
      <c r="M10" s="6" t="n">
        <v>285000</v>
      </c>
      <c r="N10" s="9"/>
      <c r="O10" s="0" t="n">
        <f aca="false">+IF(AND(C10="Specified",J10="Competitive"),1,0)</f>
        <v>0</v>
      </c>
      <c r="P10" s="0" t="n">
        <f aca="false">+IF(AND(C10="Specified",J10="Noncompetitive"),1,0)</f>
        <v>1</v>
      </c>
      <c r="Q10" s="0" t="n">
        <f aca="false">+IF(AND(C10="General",J10="Competitive"),1,0)</f>
        <v>0</v>
      </c>
      <c r="R10" s="0" t="n">
        <f aca="false">+IF(AND(C10="General",J10="Noncompetitive"),1,0)</f>
        <v>0</v>
      </c>
      <c r="S10" s="10" t="n">
        <v>40928.8626388889</v>
      </c>
      <c r="T10" s="11"/>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c r="L11" s="5" t="s">
        <v>25</v>
      </c>
      <c r="M11" s="6" t="n">
        <v>532000</v>
      </c>
      <c r="N11" s="9"/>
      <c r="O11" s="0" t="n">
        <f aca="false">+IF(AND(C11="Specified",J11="Competitive"),1,0)</f>
        <v>0</v>
      </c>
      <c r="P11" s="0" t="n">
        <f aca="false">+IF(AND(C11="Specified",J11="Noncompetitive"),1,0)</f>
        <v>1</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c r="L12" s="5" t="s">
        <v>25</v>
      </c>
      <c r="M12" s="6" t="n">
        <v>292000</v>
      </c>
      <c r="N12" s="9"/>
      <c r="O12" s="0" t="n">
        <f aca="false">+IF(AND(C12="Specified",J12="Competitive"),1,0)</f>
        <v>0</v>
      </c>
      <c r="P12" s="0" t="n">
        <f aca="false">+IF(AND(C12="Specified",J12="Noncompetitive"),1,0)</f>
        <v>1</v>
      </c>
      <c r="Q12" s="0" t="n">
        <f aca="false">+IF(AND(C12="General",J12="Competitive"),1,0)</f>
        <v>0</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c r="L13" s="5" t="s">
        <v>25</v>
      </c>
      <c r="M13" s="6" t="n">
        <v>752000</v>
      </c>
      <c r="N13" s="9"/>
      <c r="O13" s="0" t="n">
        <f aca="false">+IF(AND(C13="Specified",J13="Competitive"),1,0)</f>
        <v>0</v>
      </c>
      <c r="P13" s="0" t="n">
        <f aca="false">+IF(AND(C13="Specified",J13="Noncompetitive"),1,0)</f>
        <v>1</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c r="L14" s="5" t="s">
        <v>25</v>
      </c>
      <c r="M14" s="6" t="n">
        <v>418000</v>
      </c>
      <c r="N14" s="9"/>
      <c r="O14" s="0" t="n">
        <f aca="false">+IF(AND(C14="Specified",J14="Competitive"),1,0)</f>
        <v>0</v>
      </c>
      <c r="P14" s="0" t="n">
        <f aca="false">+IF(AND(C14="Specified",J14="Noncompetitive"),1,0)</f>
        <v>1</v>
      </c>
      <c r="Q14" s="0" t="n">
        <f aca="false">+IF(AND(C14="General",J14="Competitive"),1,0)</f>
        <v>0</v>
      </c>
      <c r="R14" s="0" t="n">
        <f aca="false">+IF(AND(C14="General",J14="Noncompetitive"),1,0)</f>
        <v>0</v>
      </c>
      <c r="S14" s="10" t="n">
        <v>40929.0993055556</v>
      </c>
      <c r="T14" s="11"/>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c r="L15" s="5" t="s">
        <v>25</v>
      </c>
      <c r="M15" s="6" t="n">
        <v>47000</v>
      </c>
      <c r="N15" s="9"/>
      <c r="O15" s="0" t="n">
        <f aca="false">+IF(AND(C15="Specified",J15="Competitive"),1,0)</f>
        <v>0</v>
      </c>
      <c r="P15" s="0" t="n">
        <f aca="false">+IF(AND(C15="Specified",J15="Noncompetitive"),1,0)</f>
        <v>1</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c r="L16" s="5" t="s">
        <v>25</v>
      </c>
      <c r="M16" s="6" t="n">
        <v>283000</v>
      </c>
      <c r="N16" s="9"/>
      <c r="O16" s="0" t="n">
        <f aca="false">+IF(AND(C16="Specified",J16="Competitive"),1,0)</f>
        <v>0</v>
      </c>
      <c r="P16" s="0" t="n">
        <f aca="false">+IF(AND(C16="Specified",J16="Noncompetitive"),1,0)</f>
        <v>1</v>
      </c>
      <c r="Q16" s="0" t="n">
        <f aca="false">+IF(AND(C16="General",J16="Competitive"),1,0)</f>
        <v>0</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c r="L17" s="5" t="s">
        <v>25</v>
      </c>
      <c r="M17" s="6" t="n">
        <v>598000</v>
      </c>
      <c r="N17" s="9"/>
      <c r="O17" s="0" t="n">
        <f aca="false">+IF(AND(C17="Specified",J17="Competitive"),1,0)</f>
        <v>0</v>
      </c>
      <c r="P17" s="0" t="n">
        <f aca="false">+IF(AND(C17="Specified",J17="Noncompetitive"),1,0)</f>
        <v>1</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c r="L18" s="5" t="s">
        <v>25</v>
      </c>
      <c r="M18" s="6" t="n">
        <v>639000</v>
      </c>
      <c r="N18" s="9"/>
      <c r="O18" s="0" t="n">
        <f aca="false">+IF(AND(C18="Specified",J18="Competitive"),1,0)</f>
        <v>0</v>
      </c>
      <c r="P18" s="0" t="n">
        <f aca="false">+IF(AND(C18="Specified",J18="Noncompetitive"),1,0)</f>
        <v>1</v>
      </c>
      <c r="Q18" s="0" t="n">
        <f aca="false">+IF(AND(C18="General",J18="Competitive"),1,0)</f>
        <v>0</v>
      </c>
      <c r="R18" s="0" t="n">
        <f aca="false">+IF(AND(C18="General",J18="Noncompetitive"),1,0)</f>
        <v>0</v>
      </c>
      <c r="S18" s="10" t="n">
        <v>40929.2826388889</v>
      </c>
      <c r="T18" s="11"/>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c r="L19" s="5" t="s">
        <v>25</v>
      </c>
      <c r="M19" s="6" t="n">
        <v>274000</v>
      </c>
      <c r="N19" s="9"/>
      <c r="O19" s="0" t="n">
        <f aca="false">+IF(AND(C19="Specified",J19="Competitive"),1,0)</f>
        <v>0</v>
      </c>
      <c r="P19" s="0" t="n">
        <f aca="false">+IF(AND(C19="Specified",J19="Noncompetitive"),1,0)</f>
        <v>1</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c r="L20" s="5" t="s">
        <v>25</v>
      </c>
      <c r="M20" s="6" t="n">
        <v>629000</v>
      </c>
      <c r="N20" s="9"/>
      <c r="O20" s="0" t="n">
        <f aca="false">+IF(AND(C20="Specified",J20="Competitive"),1,0)</f>
        <v>0</v>
      </c>
      <c r="P20" s="0" t="n">
        <f aca="false">+IF(AND(C20="Specified",J20="Noncompetitive"),1,0)</f>
        <v>1</v>
      </c>
      <c r="Q20" s="0" t="n">
        <f aca="false">+IF(AND(C20="General",J20="Competitive"),1,0)</f>
        <v>0</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c r="L21" s="5" t="s">
        <v>25</v>
      </c>
      <c r="M21" s="6" t="n">
        <v>562000</v>
      </c>
      <c r="N21" s="9"/>
      <c r="O21" s="0" t="n">
        <f aca="false">+IF(AND(C21="Specified",J21="Competitive"),1,0)</f>
        <v>0</v>
      </c>
      <c r="P21" s="0" t="n">
        <f aca="false">+IF(AND(C21="Specified",J21="Noncompetitive"),1,0)</f>
        <v>1</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F1" view="normal" windowProtection="false" workbookViewId="0" zoomScale="100" zoomScaleNormal="100" zoomScalePageLayoutView="100">
      <selection activeCell="F3" activeCellId="0" pane="topLeft" sqref="F3"/>
    </sheetView>
  </sheetViews>
  <cols>
    <col collapsed="false" hidden="false" max="1" min="1" style="0" width="8.54117647058824"/>
    <col collapsed="false" hidden="false" max="2" min="2" style="0" width="13.0666666666667"/>
    <col collapsed="false" hidden="false" max="3" min="3" style="0" width="15.1098039215686"/>
    <col collapsed="false" hidden="false" max="4" min="4" style="0" width="16.2627450980392"/>
    <col collapsed="false" hidden="false" max="5" min="5" style="0" width="17.2901960784314"/>
    <col collapsed="false" hidden="false" max="6" min="6" style="0" width="18.3019607843137"/>
    <col collapsed="false" hidden="false" max="7" min="7" style="0" width="13.6549019607843"/>
    <col collapsed="false" hidden="false" max="9" min="8" style="0" width="15.2470588235294"/>
    <col collapsed="false" hidden="false" max="10" min="10" style="0" width="19.4627450980392"/>
    <col collapsed="false" hidden="false" max="11" min="11" style="0" width="15.1098039215686"/>
    <col collapsed="false" hidden="false" max="12" min="12" style="0" width="14.0823529411765"/>
    <col collapsed="false" hidden="false" max="13" min="13" style="0" width="14.521568627451"/>
    <col collapsed="false" hidden="false" max="14" min="14" style="0" width="8.54117647058824"/>
    <col collapsed="false" hidden="false" max="15" min="15" style="0" width="8.28235294117647"/>
    <col collapsed="false" hidden="false" max="16" min="16" style="0" width="17.7137254901961"/>
    <col collapsed="false" hidden="false" max="17" min="17" style="0" width="16.1137254901961"/>
    <col collapsed="false" hidden="false" max="18" min="18" style="0" width="12.3411764705882"/>
    <col collapsed="false" hidden="false" max="1025" min="19" style="0" width="8.54117647058824"/>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32</v>
      </c>
      <c r="D6" s="5"/>
      <c r="E6" s="12"/>
      <c r="J6" s="13"/>
    </row>
    <row collapsed="false" customFormat="false" customHeight="false" hidden="true" ht="28.35" outlineLevel="1" r="7">
      <c r="B7" s="14" t="s">
        <v>33</v>
      </c>
      <c r="C7" s="14" t="s">
        <v>34</v>
      </c>
      <c r="D7" s="14" t="s">
        <v>22</v>
      </c>
      <c r="E7" s="15" t="s">
        <v>35</v>
      </c>
      <c r="F7" s="14" t="s">
        <v>36</v>
      </c>
      <c r="K7" s="13"/>
    </row>
    <row collapsed="false" customFormat="false" customHeight="false" hidden="true" ht="14" outlineLevel="1" r="8">
      <c r="B8" s="0" t="n">
        <f aca="false">+'bid input'!B2</f>
        <v>1104134</v>
      </c>
      <c r="C8" s="16" t="n">
        <f aca="false">+'bid input'!H2</f>
        <v>1</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0</v>
      </c>
      <c r="D9" s="0" t="str">
        <f aca="false">+'bid input'!I3</f>
        <v>ABC Mortgage</v>
      </c>
      <c r="E9" s="17" t="str">
        <f aca="false">+IF('bid input'!O3=1,"Y","N")</f>
        <v>N</v>
      </c>
      <c r="F9" s="18" t="inlineStr">
        <f aca="false">+'bid input'!K3</f>
        <is>
          <t/>
        </is>
      </c>
      <c r="G9" s="19" t="n">
        <f aca="false">+IF(AND(IsSC="Y",LoanN_SC=LoanNumber,LoanN_SC&gt;0),S_Percent,IF(AND(IsSC="Y",S_MO=MO,LoanN_SC=0),S_Percent,0))*LoanAmount</f>
        <v>0</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0</v>
      </c>
      <c r="N9" s="20" t="inlineStr">
        <f aca="false">'bid input'!F3</f>
        <is>
          <t/>
        </is>
      </c>
    </row>
    <row collapsed="false" customFormat="false" customHeight="false" hidden="true" ht="14" outlineLevel="1" r="10">
      <c r="B10" s="0" t="n">
        <f aca="false">+'bid input'!B4</f>
        <v>1104154</v>
      </c>
      <c r="C10" s="16" t="n">
        <f aca="false">+'bid input'!H4</f>
        <v>2</v>
      </c>
      <c r="D10" s="0" t="n">
        <f aca="false">+'bid input'!I4</f>
        <v>0</v>
      </c>
      <c r="E10" s="17" t="str">
        <f aca="false">+IF('bid input'!O4=1,"Y","N")</f>
        <v>N</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0</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0</v>
      </c>
      <c r="N10" s="20" t="inlineStr">
        <f aca="false">'bid input'!F4</f>
        <is>
          <t/>
        </is>
      </c>
    </row>
    <row collapsed="false" customFormat="false" customHeight="false" hidden="true" ht="14" outlineLevel="1" r="11">
      <c r="B11" s="0" t="n">
        <f aca="false">+'bid input'!B5</f>
        <v>1104152</v>
      </c>
      <c r="C11" s="16" t="n">
        <f aca="false">+'bid input'!H5</f>
        <v>0</v>
      </c>
      <c r="D11" s="0" t="str">
        <f aca="false">+'bid input'!I5</f>
        <v>Prime Lending</v>
      </c>
      <c r="E11" s="17" t="str">
        <f aca="false">+IF('bid input'!O5=1,"Y","N")</f>
        <v>N</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0</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0</v>
      </c>
      <c r="N11" s="20" t="inlineStr">
        <f aca="false">'bid input'!F5</f>
        <is>
          <t/>
        </is>
      </c>
    </row>
    <row collapsed="false" customFormat="false" customHeight="false" hidden="true" ht="14" outlineLevel="1" r="12">
      <c r="B12" s="0" t="n">
        <f aca="false">+'bid input'!B6</f>
        <v>1104136</v>
      </c>
      <c r="C12" s="16" t="n">
        <f aca="false">+'bid input'!H6</f>
        <v>4</v>
      </c>
      <c r="D12" s="0" t="n">
        <f aca="false">+'bid input'!I6</f>
        <v>0</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0</v>
      </c>
      <c r="D13" s="0" t="str">
        <f aca="false">+'bid input'!I7</f>
        <v>Best Loans Inc</v>
      </c>
      <c r="E13" s="17" t="str">
        <f aca="false">+IF('bid input'!O7=1,"Y","N")</f>
        <v>N</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0</v>
      </c>
      <c r="L13" s="19" t="n">
        <f aca="false">+IF(AND(IsSC="Y",LoanN_SC=LoanNumber,LoanN_SC&gt;0),S_Percent,IF(AND(IsSC="Y",S_MO=MO,LoanN_SC=0),S_Percent,0))*LoanAmount</f>
        <v>0</v>
      </c>
      <c r="M13" s="13" t="n">
        <f aca="false">SUM(G13:L13)</f>
        <v>0</v>
      </c>
      <c r="N13" s="20" t="inlineStr">
        <f aca="false">'bid input'!F7</f>
        <is>
          <t/>
        </is>
      </c>
    </row>
    <row collapsed="false" customFormat="false" customHeight="false" hidden="true" ht="14" outlineLevel="1" r="14">
      <c r="B14" s="0" t="n">
        <f aca="false">+'bid input'!B8</f>
        <v>1104139</v>
      </c>
      <c r="C14" s="16" t="n">
        <f aca="false">+'bid input'!H8</f>
        <v>1</v>
      </c>
      <c r="D14" s="0" t="n">
        <f aca="false">+'bid input'!I8</f>
        <v>0</v>
      </c>
      <c r="E14" s="17" t="str">
        <f aca="false">+IF('bid input'!O8=1,"Y","N")</f>
        <v>N</v>
      </c>
      <c r="F14" s="18" t="inlineStr">
        <f aca="false">+'bid input'!K8</f>
        <is>
          <t/>
        </is>
      </c>
      <c r="G14" s="19" t="n">
        <f aca="false">+IF(AND(IsSC="Y",LoanN_SC=LoanNumber,LoanN_SC&gt;0),S_Percent,IF(AND(IsSC="Y",S_MO=MO,LoanN_SC=0),S_Percent,0))*LoanAmount</f>
        <v>0</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0</v>
      </c>
      <c r="N14" s="20" t="inlineStr">
        <f aca="false">'bid input'!F8</f>
        <is>
          <t/>
        </is>
      </c>
    </row>
    <row collapsed="false" customFormat="false" customHeight="false" hidden="true" ht="14" outlineLevel="1" r="15">
      <c r="B15" s="0" t="n">
        <f aca="false">+'bid input'!B9</f>
        <v>1104140</v>
      </c>
      <c r="C15" s="16" t="n">
        <f aca="false">+'bid input'!H9</f>
        <v>5</v>
      </c>
      <c r="D15" s="0" t="n">
        <f aca="false">+'bid input'!I9</f>
        <v>0</v>
      </c>
      <c r="E15" s="17" t="str">
        <f aca="false">+IF('bid input'!O9=1,"Y","N")</f>
        <v>N</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0</v>
      </c>
      <c r="N15" s="20" t="inlineStr">
        <f aca="false">'bid input'!F9</f>
        <is>
          <t/>
        </is>
      </c>
    </row>
    <row collapsed="false" customFormat="false" customHeight="false" hidden="true" ht="14" outlineLevel="1" r="16">
      <c r="B16" s="0" t="n">
        <f aca="false">+'bid input'!B10</f>
        <v>1104141</v>
      </c>
      <c r="C16" s="16" t="n">
        <f aca="false">+'bid input'!H10</f>
        <v>5</v>
      </c>
      <c r="D16" s="0" t="n">
        <f aca="false">+'bid input'!I10</f>
        <v>0</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1</v>
      </c>
      <c r="D17" s="0" t="n">
        <f aca="false">+'bid input'!I11</f>
        <v>0</v>
      </c>
      <c r="E17" s="17" t="str">
        <f aca="false">+IF('bid input'!O11=1,"Y","N")</f>
        <v>N</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0</v>
      </c>
      <c r="N17" s="20" t="inlineStr">
        <f aca="false">'bid input'!F11</f>
        <is>
          <t/>
        </is>
      </c>
    </row>
    <row collapsed="false" customFormat="false" customHeight="false" hidden="true" ht="14" outlineLevel="1" r="18">
      <c r="B18" s="0" t="n">
        <f aca="false">+'bid input'!B12</f>
        <v>1104161</v>
      </c>
      <c r="C18" s="16" t="n">
        <f aca="false">+'bid input'!H12</f>
        <v>4</v>
      </c>
      <c r="D18" s="0" t="n">
        <f aca="false">+'bid input'!I12</f>
        <v>0</v>
      </c>
      <c r="E18" s="17" t="str">
        <f aca="false">+IF('bid input'!O12=1,"Y","N")</f>
        <v>N</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N</v>
      </c>
      <c r="F19" s="18" t="inlineStr">
        <f aca="false">+'bid input'!K13</f>
        <is>
          <t/>
        </is>
      </c>
      <c r="G19" s="19" t="n">
        <f aca="false">+IF(AND(IsSC="Y",LoanN_SC=LoanNumber,LoanN_SC&gt;0),S_Percent,IF(AND(IsSC="Y",S_MO=MO,LoanN_SC=0),S_Percent,0))*LoanAmount</f>
        <v>0</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0</v>
      </c>
      <c r="N19" s="20" t="inlineStr">
        <f aca="false">'bid input'!F13</f>
        <is>
          <t/>
        </is>
      </c>
    </row>
    <row collapsed="false" customFormat="false" customHeight="false" hidden="true" ht="14" outlineLevel="1" r="20">
      <c r="B20" s="0" t="n">
        <f aca="false">+'bid input'!B14</f>
        <v>1104133</v>
      </c>
      <c r="C20" s="16" t="n">
        <f aca="false">+'bid input'!H14</f>
        <v>4</v>
      </c>
      <c r="D20" s="0" t="n">
        <f aca="false">+'bid input'!I14</f>
        <v>0</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5</v>
      </c>
      <c r="D21" s="0" t="n">
        <f aca="false">+'bid input'!I15</f>
        <v>0</v>
      </c>
      <c r="E21" s="17" t="str">
        <f aca="false">+IF('bid input'!O15=1,"Y","N")</f>
        <v>N</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0</v>
      </c>
      <c r="N21" s="20" t="inlineStr">
        <f aca="false">'bid input'!F15</f>
        <is>
          <t/>
        </is>
      </c>
    </row>
    <row collapsed="false" customFormat="false" customHeight="false" hidden="true" ht="14" outlineLevel="1" r="22">
      <c r="B22" s="0" t="n">
        <f aca="false">+'bid input'!B16</f>
        <v>1104151</v>
      </c>
      <c r="C22" s="16" t="n">
        <f aca="false">+'bid input'!H16</f>
        <v>1</v>
      </c>
      <c r="D22" s="0" t="n">
        <f aca="false">+'bid input'!I16</f>
        <v>0</v>
      </c>
      <c r="E22" s="17" t="str">
        <f aca="false">+IF('bid input'!O16=1,"Y","N")</f>
        <v>N</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0</v>
      </c>
      <c r="N22" s="20" t="inlineStr">
        <f aca="false">'bid input'!F16</f>
        <is>
          <t/>
        </is>
      </c>
    </row>
    <row collapsed="false" customFormat="false" customHeight="false" hidden="true" ht="14" outlineLevel="1" r="23">
      <c r="B23" s="0" t="n">
        <f aca="false">+'bid input'!B17</f>
        <v>1104131</v>
      </c>
      <c r="C23" s="16" t="n">
        <f aca="false">+'bid input'!H17</f>
        <v>4</v>
      </c>
      <c r="D23" s="0" t="n">
        <f aca="false">+'bid input'!I17</f>
        <v>0</v>
      </c>
      <c r="E23" s="17" t="str">
        <f aca="false">+IF('bid input'!O17=1,"Y","N")</f>
        <v>N</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0</v>
      </c>
      <c r="N23" s="20" t="inlineStr">
        <f aca="false">'bid input'!F17</f>
        <is>
          <t/>
        </is>
      </c>
    </row>
    <row collapsed="false" customFormat="false" customHeight="false" hidden="true" ht="14" outlineLevel="1" r="24">
      <c r="B24" s="0" t="n">
        <f aca="false">+'bid input'!B18</f>
        <v>1104155</v>
      </c>
      <c r="C24" s="16" t="n">
        <f aca="false">+'bid input'!H18</f>
        <v>0</v>
      </c>
      <c r="D24" s="0" t="str">
        <f aca="false">+'bid input'!I18</f>
        <v>Best Loans Inc</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2</v>
      </c>
      <c r="D25" s="0" t="n">
        <f aca="false">+'bid input'!I19</f>
        <v>0</v>
      </c>
      <c r="E25" s="17" t="str">
        <f aca="false">+IF('bid input'!O19=1,"Y","N")</f>
        <v>N</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0</v>
      </c>
      <c r="N25" s="20" t="inlineStr">
        <f aca="false">'bid input'!F19</f>
        <is>
          <t/>
        </is>
      </c>
    </row>
    <row collapsed="false" customFormat="false" customHeight="false" hidden="true" ht="14" outlineLevel="1" r="26">
      <c r="B26" s="0" t="n">
        <f aca="false">+'bid input'!B20</f>
        <v>1104157</v>
      </c>
      <c r="C26" s="16" t="n">
        <f aca="false">+'bid input'!H20</f>
        <v>0</v>
      </c>
      <c r="D26" s="0" t="str">
        <f aca="false">+'bid input'!I20</f>
        <v>Best Loans Inc</v>
      </c>
      <c r="E26" s="17" t="str">
        <f aca="false">+IF('bid input'!O20=1,"Y","N")</f>
        <v>N</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0</v>
      </c>
      <c r="N26" s="20" t="inlineStr">
        <f aca="false">'bid input'!F20</f>
        <is>
          <t/>
        </is>
      </c>
    </row>
    <row collapsed="false" customFormat="false" customHeight="false" hidden="true" ht="14" outlineLevel="1" r="27">
      <c r="B27" s="0" t="n">
        <f aca="false">+'bid input'!B21</f>
        <v>1104158</v>
      </c>
      <c r="C27" s="16" t="n">
        <f aca="false">+'bid input'!H21</f>
        <v>1</v>
      </c>
      <c r="D27" s="0" t="n">
        <f aca="false">+'bid input'!I21</f>
        <v>0</v>
      </c>
      <c r="E27" s="17" t="str">
        <f aca="false">+IF('bid input'!O21=1,"Y","N")</f>
        <v>N</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0</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0</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0</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0</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0</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0</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0</v>
      </c>
      <c r="J32" s="13" t="n">
        <f aca="false">IF($M11&lt;'bid input'!$M5,J11, 'bid input'!$M5*J11/$M11)</f>
        <v>0</v>
      </c>
      <c r="K32" s="13" t="n">
        <f aca="false">IF($M11&lt;'bid input'!$M5,K11, 'bid input'!$M5*K11/$M11)</f>
        <v>0</v>
      </c>
      <c r="L32" s="13" t="n">
        <f aca="false">IF($M11&lt;'bid input'!$M5,L11, 'bid input'!$M5*L11/$M11)</f>
        <v>0</v>
      </c>
      <c r="M32" s="13" t="n">
        <f aca="false">SUM(G32:L32)</f>
        <v>0</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0</v>
      </c>
      <c r="L34" s="13" t="n">
        <f aca="false">IF($M13&lt;'bid input'!$M7,L13, 'bid input'!$M7*L13/$M13)</f>
        <v>0</v>
      </c>
      <c r="M34" s="13" t="n">
        <f aca="false">SUM(G34:L34)</f>
        <v>0</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0</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0</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0</v>
      </c>
      <c r="J36" s="13" t="n">
        <f aca="false">IF($M15&lt;'bid input'!$M9,J15, 'bid input'!$M9*J15/$M15)</f>
        <v>0</v>
      </c>
      <c r="K36" s="13" t="n">
        <f aca="false">IF($M15&lt;'bid input'!$M9,K15, 'bid input'!$M9*K15/$M15)</f>
        <v>0</v>
      </c>
      <c r="L36" s="13" t="n">
        <f aca="false">IF($M15&lt;'bid input'!$M9,L15, 'bid input'!$M9*L15/$M15)</f>
        <v>0</v>
      </c>
      <c r="M36" s="13" t="n">
        <f aca="false">SUM(G36:L36)</f>
        <v>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0</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0</v>
      </c>
      <c r="K39" s="13" t="n">
        <f aca="false">IF($M18&lt;'bid input'!$M12,K18, 'bid input'!$M12*K18/$M18)</f>
        <v>0</v>
      </c>
      <c r="L39" s="13" t="n">
        <f aca="false">IF($M18&lt;'bid input'!$M12,L18, 'bid input'!$M12*L18/$M18)</f>
        <v>0</v>
      </c>
      <c r="M39" s="13" t="n">
        <f aca="false">SUM(G39:L39)</f>
        <v>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0</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0</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0</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0</v>
      </c>
      <c r="J44" s="13" t="n">
        <f aca="false">IF($M23&lt;'bid input'!$M17,J23, 'bid input'!$M17*J23/$M23)</f>
        <v>0</v>
      </c>
      <c r="K44" s="13" t="n">
        <f aca="false">IF($M23&lt;'bid input'!$M17,K23, 'bid input'!$M17*K23/$M23)</f>
        <v>0</v>
      </c>
      <c r="L44" s="13" t="n">
        <f aca="false">IF($M23&lt;'bid input'!$M17,L23, 'bid input'!$M17*L23/$M23)</f>
        <v>0</v>
      </c>
      <c r="M44" s="13" t="n">
        <f aca="false">SUM(G44:L44)</f>
        <v>0</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0</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0</v>
      </c>
      <c r="L47" s="13" t="n">
        <f aca="false">IF($M26&lt;'bid input'!$M20,L26, 'bid input'!$M20*L26/$M26)</f>
        <v>0</v>
      </c>
      <c r="M47" s="13" t="n">
        <f aca="false">SUM(G47:L47)</f>
        <v>0</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0</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0</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37</v>
      </c>
      <c r="E50" s="22"/>
      <c r="F50" s="22"/>
      <c r="G50" s="23" t="n">
        <f aca="false">SUM(G29:G49)</f>
        <v>0</v>
      </c>
      <c r="H50" s="23" t="n">
        <f aca="false">SUM(H29:H49)</f>
        <v>0</v>
      </c>
      <c r="I50" s="23" t="n">
        <f aca="false">SUM(I29:I49)</f>
        <v>0</v>
      </c>
      <c r="J50" s="23" t="n">
        <f aca="false">SUM(J29:J49)</f>
        <v>0</v>
      </c>
      <c r="K50" s="23" t="n">
        <f aca="false">SUM(K29:K49)</f>
        <v>0</v>
      </c>
      <c r="L50" s="23" t="n">
        <f aca="false">SUM(L29:L49)</f>
        <v>0</v>
      </c>
      <c r="M50" s="24" t="n">
        <f aca="false">SUM(G50:L50)</f>
        <v>0</v>
      </c>
    </row>
    <row collapsed="false" customFormat="false" customHeight="false" hidden="false" ht="14" outlineLevel="0" r="51">
      <c r="D51" s="25" t="s">
        <v>38</v>
      </c>
      <c r="E51" s="26"/>
      <c r="F51" s="26"/>
      <c r="G51" s="27" t="str">
        <f aca="false">+IF(G50&gt;0,SUMPRODUCT($F$29:$F$48,G$29:G$48)/G$50,"")</f>
        <v/>
      </c>
      <c r="H51" s="27" t="str">
        <f aca="false">+IF(H50&gt;0,SUMPRODUCT($F$29:$F$48,H$29:H$48)/H$50,"")</f>
        <v/>
      </c>
      <c r="I51" s="27" t="str">
        <f aca="false">+IF(I50&gt;0,SUMPRODUCT($F$29:$F$48,I$29:I$48)/I$50,"")</f>
        <v/>
      </c>
      <c r="J51" s="27" t="str">
        <f aca="false">+IF(J50&gt;0,SUMPRODUCT($F$29:$F$48,J$29:J$48)/J$50,"")</f>
        <v/>
      </c>
      <c r="K51" s="27" t="str">
        <f aca="false">+IF(K50&gt;0,SUMPRODUCT($F$29:$F$48,K$29:K$48)/K$50,"")</f>
        <v/>
      </c>
      <c r="L51" s="27" t="str">
        <f aca="false">+IF(L50&gt;0,SUMPRODUCT($F$29:$F$48,L$29:L$48)/L$50,"")</f>
        <v/>
      </c>
      <c r="M51" s="28" t="e">
        <f aca="false">+SUMPRODUCT(G50:L50,G51:L51)/M50</f>
        <v>#DIV/0!</v>
      </c>
    </row>
    <row collapsed="false" customFormat="false" customHeight="false" hidden="false" ht="14" outlineLevel="0" r="53">
      <c r="D53" s="0" t="s">
        <v>39</v>
      </c>
      <c r="G53" s="13" t="n">
        <f aca="false">+G4-G50</f>
        <v>318725</v>
      </c>
      <c r="H53" s="13" t="n">
        <f aca="false">+H4-H50</f>
        <v>375685</v>
      </c>
      <c r="I53" s="13" t="n">
        <f aca="false">+I4-I50</f>
        <v>479875</v>
      </c>
      <c r="J53" s="13" t="n">
        <f aca="false">+J4-J50</f>
        <v>525400</v>
      </c>
      <c r="K53" s="13" t="n">
        <f aca="false">+K4-K50</f>
        <v>515425</v>
      </c>
      <c r="L53" s="13" t="n">
        <f aca="false">+L4-L50</f>
        <v>485000</v>
      </c>
      <c r="M53" s="13" t="n">
        <f aca="false">SUM(G53:L53)</f>
        <v>2700110</v>
      </c>
    </row>
    <row collapsed="false" customFormat="false" customHeight="false" hidden="false" ht="14" outlineLevel="0" r="54">
      <c r="D54" s="0" t="s">
        <v>40</v>
      </c>
      <c r="G54" s="29" t="str">
        <f aca="false">+IF(G53=0,"NA",IF(G53&lt;0,"OVER","UNDER"))</f>
        <v>UNDER</v>
      </c>
      <c r="H54" s="29" t="str">
        <f aca="false">+IF(H53=0,"NA",IF(H53&lt;0,"OVER","UNDER"))</f>
        <v>UNDER</v>
      </c>
      <c r="I54" s="29" t="str">
        <f aca="false">+IF(I53=0,"NA",IF(I53&lt;0,"OVER","UNDER"))</f>
        <v>UNDER</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41</v>
      </c>
    </row>
    <row collapsed="false" customFormat="false" customHeight="true" hidden="true" ht="27.95" outlineLevel="1" r="57">
      <c r="B57" s="14" t="s">
        <v>33</v>
      </c>
      <c r="C57" s="14" t="s">
        <v>34</v>
      </c>
      <c r="D57" s="14" t="s">
        <v>22</v>
      </c>
      <c r="E57" s="15" t="s">
        <v>42</v>
      </c>
      <c r="F57" s="14" t="s">
        <v>43</v>
      </c>
      <c r="G57" s="30" t="n">
        <v>0.035</v>
      </c>
      <c r="H57" s="30" t="inlineStr">
        <f aca="false">+G57</f>
        <is>
          <t/>
        </is>
      </c>
      <c r="I57" s="30" t="inlineStr">
        <f aca="false">+H57</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1</v>
      </c>
      <c r="D58" s="0" t="n">
        <f aca="false">+D8</f>
        <v>0</v>
      </c>
      <c r="E58" s="17" t="str">
        <f aca="false">+IF('bid input'!P2=1,"Y","N")</f>
        <v>Y</v>
      </c>
      <c r="F58" s="14"/>
      <c r="G58" s="13" t="n">
        <f aca="false">+IF(AND(IsSNC="Y",LoanN_SNC=LoanNumber,LoanN_SNC&gt;0),SN_Percent,IF(AND(IsSNC="Y",SN_MO=MO,LoanN_SNC=0),SN_Percent,0))*LoanAmount</f>
        <v>63745</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63745</v>
      </c>
      <c r="N58" s="20" t="inlineStr">
        <f aca="false">N8</f>
        <is>
          <t/>
        </is>
      </c>
    </row>
    <row collapsed="false" customFormat="false" customHeight="false" hidden="true" ht="14" outlineLevel="1" r="59">
      <c r="B59" s="0" t="n">
        <f aca="false">+B9</f>
        <v>1104143</v>
      </c>
      <c r="C59" s="0" t="n">
        <f aca="false">+C9</f>
        <v>0</v>
      </c>
      <c r="D59" s="0" t="str">
        <f aca="false">+D9</f>
        <v>ABC Mortgage</v>
      </c>
      <c r="E59" s="17" t="str">
        <f aca="false">+IF('bid input'!P3=1,"Y","N")</f>
        <v>Y</v>
      </c>
      <c r="F59" s="14"/>
      <c r="G59" s="13" t="n">
        <f aca="false">+IF(AND(IsSNC="Y",LoanN_SNC=LoanNumber,LoanN_SNC&gt;0),SN_Percent,IF(AND(IsSNC="Y",SN_MO=MO,LoanN_SNC=0),SN_Percent,0))*LoanAmount</f>
        <v>63745</v>
      </c>
      <c r="H59" s="13" t="n">
        <f aca="false">+IF(AND(IsSNC="Y",LoanN_SNC=LoanNumber,LoanN_SNC&gt;0),SN_Percent,IF(AND(IsSNC="Y",SN_MO=MO,LoanN_SNC=0),SN_Percent,0))*LoanAmount</f>
        <v>75137</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138882</v>
      </c>
      <c r="N59" s="20" t="inlineStr">
        <f aca="false">N9</f>
        <is>
          <t/>
        </is>
      </c>
    </row>
    <row collapsed="false" customFormat="false" customHeight="false" hidden="true" ht="14" outlineLevel="1" r="60">
      <c r="B60" s="0" t="n">
        <f aca="false">+B10</f>
        <v>1104154</v>
      </c>
      <c r="C60" s="0" t="n">
        <f aca="false">+C10</f>
        <v>2</v>
      </c>
      <c r="D60" s="0" t="n">
        <f aca="false">+D10</f>
        <v>0</v>
      </c>
      <c r="E60" s="17" t="str">
        <f aca="false">+IF('bid input'!P4=1,"Y","N")</f>
        <v>Y</v>
      </c>
      <c r="F60" s="14"/>
      <c r="G60" s="13" t="n">
        <f aca="false">+IF(AND(IsSNC="Y",LoanN_SNC=LoanNumber,LoanN_SNC&gt;0),SN_Percent,IF(AND(IsSNC="Y",SN_MO=MO,LoanN_SNC=0),SN_Percent,0))*LoanAmount</f>
        <v>0</v>
      </c>
      <c r="H60" s="13" t="n">
        <f aca="false">+IF(AND(IsSNC="Y",LoanN_SNC=LoanNumber,LoanN_SNC&gt;0),SN_Percent,IF(AND(IsSNC="Y",SN_MO=MO,LoanN_SNC=0),SN_Percent,0))*LoanAmount</f>
        <v>75137</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75137</v>
      </c>
      <c r="N60" s="20" t="inlineStr">
        <f aca="false">N10</f>
        <is>
          <t/>
        </is>
      </c>
    </row>
    <row collapsed="false" customFormat="false" customHeight="false" hidden="true" ht="14" outlineLevel="1" r="61">
      <c r="B61" s="0" t="n">
        <f aca="false">+B11</f>
        <v>1104152</v>
      </c>
      <c r="C61" s="0" t="n">
        <f aca="false">+C11</f>
        <v>0</v>
      </c>
      <c r="D61" s="0" t="str">
        <f aca="false">+D11</f>
        <v>Prime Lending</v>
      </c>
      <c r="E61" s="17" t="str">
        <f aca="false">+IF('bid input'!P5=1,"Y","N")</f>
        <v>Y</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95975</v>
      </c>
      <c r="J61" s="13" t="n">
        <f aca="false">+IF(AND(IsSNC="Y",LoanN_SNC=LoanNumber,LoanN_SNC&gt;0),SN_Percent,IF(AND(IsSNC="Y",SN_MO=MO,LoanN_SNC=0),SN_Percent,0))*LoanAmount</f>
        <v>105080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201055</v>
      </c>
      <c r="N61" s="20" t="inlineStr">
        <f aca="false">N11</f>
        <is>
          <t/>
        </is>
      </c>
    </row>
    <row collapsed="false" customFormat="false" customHeight="false" hidden="true" ht="14" outlineLevel="1" r="62">
      <c r="B62" s="0" t="n">
        <f aca="false">+B12</f>
        <v>1104136</v>
      </c>
      <c r="C62" s="0" t="n">
        <f aca="false">+C12</f>
        <v>4</v>
      </c>
      <c r="D62" s="0" t="n">
        <f aca="false">+D12</f>
        <v>0</v>
      </c>
      <c r="E62" s="17" t="str">
        <f aca="false">+IF('bid input'!P6=1,"Y","N")</f>
        <v>Y</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105080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105080</v>
      </c>
      <c r="N62" s="20" t="inlineStr">
        <f aca="false">N12</f>
        <is>
          <t/>
        </is>
      </c>
    </row>
    <row collapsed="false" customFormat="false" customHeight="false" hidden="true" ht="14" outlineLevel="1" r="63">
      <c r="B63" s="0" t="n">
        <f aca="false">+B13</f>
        <v>1104138</v>
      </c>
      <c r="C63" s="0" t="n">
        <f aca="false">+C13</f>
        <v>0</v>
      </c>
      <c r="D63" s="0" t="str">
        <f aca="false">+D13</f>
        <v>Best Loans Inc</v>
      </c>
      <c r="E63" s="17" t="str">
        <f aca="false">+IF('bid input'!P7=1,"Y","N")</f>
        <v>Y</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103085</v>
      </c>
      <c r="L63" s="13" t="n">
        <f aca="false">+IF(AND(IsSNC="Y",LoanN_SNC=LoanNumber,LoanN_SNC&gt;0),SN_Percent,IF(AND(IsSNC="Y",SN_MO=MO,LoanN_SNC=0),SN_Percent,0))*LoanAmount</f>
        <v>0</v>
      </c>
      <c r="M63" s="13" t="n">
        <f aca="false">SUM(G63:L63)</f>
        <v>103085</v>
      </c>
      <c r="N63" s="20" t="inlineStr">
        <f aca="false">N13</f>
        <is>
          <t/>
        </is>
      </c>
    </row>
    <row collapsed="false" customFormat="false" customHeight="false" hidden="true" ht="14" outlineLevel="1" r="64">
      <c r="B64" s="0" t="n">
        <f aca="false">+B14</f>
        <v>1104139</v>
      </c>
      <c r="C64" s="0" t="n">
        <f aca="false">+C14</f>
        <v>1</v>
      </c>
      <c r="D64" s="0" t="n">
        <f aca="false">+D14</f>
        <v>0</v>
      </c>
      <c r="E64" s="17" t="str">
        <f aca="false">+IF('bid input'!P8=1,"Y","N")</f>
        <v>Y</v>
      </c>
      <c r="F64" s="14"/>
      <c r="G64" s="13" t="n">
        <f aca="false">+IF(AND(IsSNC="Y",LoanN_SNC=LoanNumber,LoanN_SNC&gt;0),SN_Percent,IF(AND(IsSNC="Y",SN_MO=MO,LoanN_SNC=0),SN_Percent,0))*LoanAmount</f>
        <v>63745</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63745</v>
      </c>
      <c r="N64" s="20" t="inlineStr">
        <f aca="false">N14</f>
        <is>
          <t/>
        </is>
      </c>
    </row>
    <row collapsed="false" customFormat="false" customHeight="false" hidden="true" ht="14" outlineLevel="1" r="65">
      <c r="B65" s="0" t="n">
        <f aca="false">+B15</f>
        <v>1104140</v>
      </c>
      <c r="C65" s="0" t="n">
        <f aca="false">+C15</f>
        <v>5</v>
      </c>
      <c r="D65" s="0" t="n">
        <f aca="false">+D15</f>
        <v>0</v>
      </c>
      <c r="E65" s="17" t="str">
        <f aca="false">+IF('bid input'!P9=1,"Y","N")</f>
        <v>Y</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103085</v>
      </c>
      <c r="L65" s="13" t="n">
        <f aca="false">+IF(AND(IsSNC="Y",LoanN_SNC=LoanNumber,LoanN_SNC&gt;0),SN_Percent,IF(AND(IsSNC="Y",SN_MO=MO,LoanN_SNC=0),SN_Percent,0))*LoanAmount</f>
        <v>0</v>
      </c>
      <c r="M65" s="13" t="n">
        <f aca="false">SUM(G65:L65)</f>
        <v>103085</v>
      </c>
      <c r="N65" s="20" t="inlineStr">
        <f aca="false">N15</f>
        <is>
          <t/>
        </is>
      </c>
    </row>
    <row collapsed="false" customFormat="false" customHeight="false" hidden="true" ht="14" outlineLevel="1" r="66">
      <c r="B66" s="0" t="n">
        <f aca="false">+B16</f>
        <v>1104141</v>
      </c>
      <c r="C66" s="0" t="n">
        <f aca="false">+C16</f>
        <v>5</v>
      </c>
      <c r="D66" s="0" t="n">
        <f aca="false">+D16</f>
        <v>0</v>
      </c>
      <c r="E66" s="17" t="str">
        <f aca="false">+IF('bid input'!P10=1,"Y","N")</f>
        <v>Y</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103085</v>
      </c>
      <c r="L66" s="13" t="n">
        <f aca="false">+IF(AND(IsSNC="Y",LoanN_SNC=LoanNumber,LoanN_SNC&gt;0),SN_Percent,IF(AND(IsSNC="Y",SN_MO=MO,LoanN_SNC=0),SN_Percent,0))*LoanAmount</f>
        <v>0</v>
      </c>
      <c r="M66" s="13" t="n">
        <f aca="false">SUM(G66:L66)</f>
        <v>103085</v>
      </c>
      <c r="N66" s="20" t="inlineStr">
        <f aca="false">N16</f>
        <is>
          <t/>
        </is>
      </c>
    </row>
    <row collapsed="false" customFormat="false" customHeight="false" hidden="true" ht="14" outlineLevel="1" r="67">
      <c r="B67" s="0" t="n">
        <f aca="false">+B17</f>
        <v>1104159</v>
      </c>
      <c r="C67" s="0" t="n">
        <f aca="false">+C17</f>
        <v>1</v>
      </c>
      <c r="D67" s="0" t="n">
        <f aca="false">+D17</f>
        <v>0</v>
      </c>
      <c r="E67" s="17" t="str">
        <f aca="false">+IF('bid input'!P11=1,"Y","N")</f>
        <v>Y</v>
      </c>
      <c r="F67" s="14"/>
      <c r="G67" s="13" t="n">
        <f aca="false">+IF(AND(IsSNC="Y",LoanN_SNC=LoanNumber,LoanN_SNC&gt;0),SN_Percent,IF(AND(IsSNC="Y",SN_MO=MO,LoanN_SNC=0),SN_Percent,0))*LoanAmount</f>
        <v>63745</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63745</v>
      </c>
      <c r="N67" s="20" t="inlineStr">
        <f aca="false">N17</f>
        <is>
          <t/>
        </is>
      </c>
    </row>
    <row collapsed="false" customFormat="false" customHeight="false" hidden="true" ht="14" outlineLevel="1" r="68">
      <c r="B68" s="0" t="n">
        <f aca="false">+B18</f>
        <v>1104161</v>
      </c>
      <c r="C68" s="0" t="n">
        <f aca="false">+C18</f>
        <v>4</v>
      </c>
      <c r="D68" s="0" t="n">
        <f aca="false">+D18</f>
        <v>0</v>
      </c>
      <c r="E68" s="17" t="str">
        <f aca="false">+IF('bid input'!P12=1,"Y","N")</f>
        <v>Y</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105080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105080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Y</v>
      </c>
      <c r="F69" s="14"/>
      <c r="G69" s="13" t="n">
        <f aca="false">+IF(AND(IsSNC="Y",LoanN_SNC=LoanNumber,LoanN_SNC&gt;0),SN_Percent,IF(AND(IsSNC="Y",SN_MO=MO,LoanN_SNC=0),SN_Percent,0))*LoanAmount</f>
        <v>31872.5</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31872.5</v>
      </c>
      <c r="N69" s="20" t="inlineStr">
        <f aca="false">N19</f>
        <is>
          <t/>
        </is>
      </c>
    </row>
    <row collapsed="false" customFormat="false" customHeight="false" hidden="true" ht="14" outlineLevel="1" r="70">
      <c r="B70" s="0" t="n">
        <f aca="false">+B20</f>
        <v>1104133</v>
      </c>
      <c r="C70" s="0" t="n">
        <f aca="false">+C20</f>
        <v>4</v>
      </c>
      <c r="D70" s="0" t="n">
        <f aca="false">+D20</f>
        <v>0</v>
      </c>
      <c r="E70" s="17" t="str">
        <f aca="false">+IF('bid input'!P14=1,"Y","N")</f>
        <v>Y</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105080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105080</v>
      </c>
      <c r="N70" s="20" t="inlineStr">
        <f aca="false">N20</f>
        <is>
          <t/>
        </is>
      </c>
    </row>
    <row collapsed="false" customFormat="false" customHeight="false" hidden="true" ht="14" outlineLevel="1" r="71">
      <c r="B71" s="0" t="n">
        <f aca="false">+B21</f>
        <v>1104149</v>
      </c>
      <c r="C71" s="0" t="n">
        <f aca="false">+C21</f>
        <v>5</v>
      </c>
      <c r="D71" s="0" t="n">
        <f aca="false">+D21</f>
        <v>0</v>
      </c>
      <c r="E71" s="17" t="str">
        <f aca="false">+IF('bid input'!P15=1,"Y","N")</f>
        <v>Y</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103085</v>
      </c>
      <c r="L71" s="13" t="n">
        <f aca="false">+IF(AND(IsSNC="Y",LoanN_SNC=LoanNumber,LoanN_SNC&gt;0),SN_Percent,IF(AND(IsSNC="Y",SN_MO=MO,LoanN_SNC=0),SN_Percent,0))*LoanAmount</f>
        <v>0</v>
      </c>
      <c r="M71" s="13" t="n">
        <f aca="false">SUM(G71:L71)</f>
        <v>103085</v>
      </c>
      <c r="N71" s="20" t="inlineStr">
        <f aca="false">N21</f>
        <is>
          <t/>
        </is>
      </c>
    </row>
    <row collapsed="false" customFormat="false" customHeight="false" hidden="true" ht="14" outlineLevel="1" r="72">
      <c r="B72" s="0" t="n">
        <f aca="false">+B22</f>
        <v>1104151</v>
      </c>
      <c r="C72" s="0" t="n">
        <f aca="false">+C22</f>
        <v>1</v>
      </c>
      <c r="D72" s="0" t="n">
        <f aca="false">+D22</f>
        <v>0</v>
      </c>
      <c r="E72" s="17" t="str">
        <f aca="false">+IF('bid input'!P16=1,"Y","N")</f>
        <v>Y</v>
      </c>
      <c r="F72" s="14"/>
      <c r="G72" s="13" t="n">
        <f aca="false">+IF(AND(IsSNC="Y",LoanN_SNC=LoanNumber,LoanN_SNC&gt;0),SN_Percent,IF(AND(IsSNC="Y",SN_MO=MO,LoanN_SNC=0),SN_Percent,0))*LoanAmount</f>
        <v>63745</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63745</v>
      </c>
      <c r="N72" s="20" t="inlineStr">
        <f aca="false">N22</f>
        <is>
          <t/>
        </is>
      </c>
    </row>
    <row collapsed="false" customFormat="false" customHeight="false" hidden="true" ht="14" outlineLevel="1" r="73">
      <c r="B73" s="0" t="n">
        <f aca="false">+B23</f>
        <v>1104131</v>
      </c>
      <c r="C73" s="0" t="n">
        <f aca="false">+C23</f>
        <v>4</v>
      </c>
      <c r="D73" s="0" t="n">
        <f aca="false">+D23</f>
        <v>0</v>
      </c>
      <c r="E73" s="17" t="str">
        <f aca="false">+IF('bid input'!P17=1,"Y","N")</f>
        <v>Y</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105080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105080</v>
      </c>
      <c r="N73" s="20" t="inlineStr">
        <f aca="false">N23</f>
        <is>
          <t/>
        </is>
      </c>
    </row>
    <row collapsed="false" customFormat="false" customHeight="false" hidden="true" ht="14" outlineLevel="1" r="74">
      <c r="B74" s="0" t="n">
        <f aca="false">+B24</f>
        <v>1104155</v>
      </c>
      <c r="C74" s="0" t="n">
        <f aca="false">+C24</f>
        <v>0</v>
      </c>
      <c r="D74" s="0" t="str">
        <f aca="false">+D24</f>
        <v>Best Loans Inc</v>
      </c>
      <c r="E74" s="17" t="str">
        <f aca="false">+IF('bid input'!P18=1,"Y","N")</f>
        <v>Y</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103085</v>
      </c>
      <c r="L74" s="13" t="n">
        <f aca="false">+IF(AND(IsSNC="Y",LoanN_SNC=LoanNumber,LoanN_SNC&gt;0),SN_Percent,IF(AND(IsSNC="Y",SN_MO=MO,LoanN_SNC=0),SN_Percent,0))*LoanAmount</f>
        <v>0</v>
      </c>
      <c r="M74" s="13" t="n">
        <f aca="false">SUM(G74:L74)</f>
        <v>103085</v>
      </c>
      <c r="N74" s="20" t="inlineStr">
        <f aca="false">N24</f>
        <is>
          <t/>
        </is>
      </c>
    </row>
    <row collapsed="false" customFormat="false" customHeight="false" hidden="true" ht="14" outlineLevel="1" r="75">
      <c r="B75" s="0" t="n">
        <f aca="false">+B25</f>
        <v>1104156</v>
      </c>
      <c r="C75" s="0" t="n">
        <f aca="false">+C25</f>
        <v>2</v>
      </c>
      <c r="D75" s="0" t="n">
        <f aca="false">+D25</f>
        <v>0</v>
      </c>
      <c r="E75" s="17" t="str">
        <f aca="false">+IF('bid input'!P19=1,"Y","N")</f>
        <v>Y</v>
      </c>
      <c r="F75" s="14"/>
      <c r="G75" s="13" t="n">
        <f aca="false">+IF(AND(IsSNC="Y",LoanN_SNC=LoanNumber,LoanN_SNC&gt;0),SN_Percent,IF(AND(IsSNC="Y",SN_MO=MO,LoanN_SNC=0),SN_Percent,0))*LoanAmount</f>
        <v>0</v>
      </c>
      <c r="H75" s="13" t="n">
        <f aca="false">+IF(AND(IsSNC="Y",LoanN_SNC=LoanNumber,LoanN_SNC&gt;0),SN_Percent,IF(AND(IsSNC="Y",SN_MO=MO,LoanN_SNC=0),SN_Percent,0))*LoanAmount</f>
        <v>75137</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75137</v>
      </c>
      <c r="N75" s="20" t="inlineStr">
        <f aca="false">N25</f>
        <is>
          <t/>
        </is>
      </c>
    </row>
    <row collapsed="false" customFormat="false" customHeight="false" hidden="true" ht="14" outlineLevel="1" r="76">
      <c r="B76" s="0" t="n">
        <f aca="false">+B26</f>
        <v>1104157</v>
      </c>
      <c r="C76" s="0" t="n">
        <f aca="false">+C26</f>
        <v>0</v>
      </c>
      <c r="D76" s="0" t="str">
        <f aca="false">+D26</f>
        <v>Best Loans Inc</v>
      </c>
      <c r="E76" s="17" t="str">
        <f aca="false">+IF('bid input'!P20=1,"Y","N")</f>
        <v>Y</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103085</v>
      </c>
      <c r="L76" s="13" t="n">
        <f aca="false">+IF(AND(IsSNC="Y",LoanN_SNC=LoanNumber,LoanN_SNC&gt;0),SN_Percent,IF(AND(IsSNC="Y",SN_MO=MO,LoanN_SNC=0),SN_Percent,0))*LoanAmount</f>
        <v>0</v>
      </c>
      <c r="M76" s="13" t="n">
        <f aca="false">SUM(G76:L76)</f>
        <v>103085</v>
      </c>
      <c r="N76" s="20" t="inlineStr">
        <f aca="false">N26</f>
        <is>
          <t/>
        </is>
      </c>
    </row>
    <row collapsed="false" customFormat="false" customHeight="false" hidden="true" ht="14" outlineLevel="1" r="77">
      <c r="B77" s="0" t="n">
        <f aca="false">+B27</f>
        <v>1104158</v>
      </c>
      <c r="C77" s="0" t="n">
        <f aca="false">+C27</f>
        <v>1</v>
      </c>
      <c r="D77" s="0" t="n">
        <f aca="false">+D27</f>
        <v>0</v>
      </c>
      <c r="E77" s="17" t="str">
        <f aca="false">+IF('bid input'!P21=1,"Y","N")</f>
        <v>Y</v>
      </c>
      <c r="F77" s="14"/>
      <c r="G77" s="13" t="n">
        <f aca="false">+IF(AND(IsSNC="Y",LoanN_SNC=LoanNumber,LoanN_SNC&gt;0),SN_Percent,IF(AND(IsSNC="Y",SN_MO=MO,LoanN_SNC=0),SN_Percent,0))*LoanAmount</f>
        <v>63745</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63745</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63745</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63745</v>
      </c>
    </row>
    <row collapsed="false" customFormat="false" customHeight="true" hidden="true" ht="14.1" outlineLevel="1" r="80">
      <c r="B80" s="0" t="n">
        <f aca="false">+B9</f>
        <v>1104143</v>
      </c>
      <c r="E80" s="17"/>
      <c r="F80" s="18"/>
      <c r="G80" s="31" t="n">
        <f aca="false">IF($M59&lt;'bid input'!$M3,G59, 'bid input'!$M3*G59/$M59)</f>
        <v>63745</v>
      </c>
      <c r="H80" s="31" t="n">
        <f aca="false">IF($M59&lt;'bid input'!$M3,H59, 'bid input'!$M3*H59/$M59)</f>
        <v>75137</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138882</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75137</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75137</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95975</v>
      </c>
      <c r="J82" s="31" t="n">
        <f aca="false">IF($M61&lt;'bid input'!$M5,J61, 'bid input'!$M5*J61/$M61)</f>
        <v>105080</v>
      </c>
      <c r="K82" s="31" t="n">
        <f aca="false">IF($M61&lt;'bid input'!$M5,K61, 'bid input'!$M5*K61/$M61)</f>
        <v>0</v>
      </c>
      <c r="L82" s="31" t="n">
        <f aca="false">IF($M61&lt;'bid input'!$M5,L61, 'bid input'!$M5*L61/$M61)</f>
        <v>0</v>
      </c>
      <c r="M82" s="13" t="n">
        <f aca="false">SUM(G82:L82)</f>
        <v>201055</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105080</v>
      </c>
      <c r="K83" s="31" t="n">
        <f aca="false">IF($M62&lt;'bid input'!$M6,K62, 'bid input'!$M6*K62/$M62)</f>
        <v>0</v>
      </c>
      <c r="L83" s="31" t="n">
        <f aca="false">IF($M62&lt;'bid input'!$M6,L62, 'bid input'!$M6*L62/$M62)</f>
        <v>0</v>
      </c>
      <c r="M83" s="13" t="n">
        <f aca="false">SUM(G83:L83)</f>
        <v>105080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103085</v>
      </c>
      <c r="L84" s="31" t="n">
        <f aca="false">IF($M63&lt;'bid input'!$M7,L63, 'bid input'!$M7*L63/$M63)</f>
        <v>0</v>
      </c>
      <c r="M84" s="13" t="n">
        <f aca="false">SUM(G84:L84)</f>
        <v>103085</v>
      </c>
    </row>
    <row collapsed="false" customFormat="false" customHeight="true" hidden="true" ht="14.1" outlineLevel="1" r="85">
      <c r="B85" s="0" t="n">
        <f aca="false">+B14</f>
        <v>1104139</v>
      </c>
      <c r="E85" s="17"/>
      <c r="F85" s="18"/>
      <c r="G85" s="31" t="n">
        <f aca="false">IF($M64&lt;'bid input'!$M8,G64, 'bid input'!$M8*G64/$M64)</f>
        <v>63745</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63745</v>
      </c>
    </row>
    <row collapsed="false" customFormat="false" customHeight="true" hidden="true" ht="14.1" outlineLevel="1" r="86">
      <c r="B86" s="0" t="n">
        <f aca="false">+B15</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74000</v>
      </c>
      <c r="L86" s="31" t="n">
        <f aca="false">IF($M65&lt;'bid input'!$M9,L65, 'bid input'!$M9*L65/$M65)</f>
        <v>0</v>
      </c>
      <c r="M86" s="13" t="n">
        <f aca="false">SUM(G86:L86)</f>
        <v>74000</v>
      </c>
    </row>
    <row collapsed="false" customFormat="false" customHeight="true" hidden="true" ht="14.1" outlineLevel="1" r="87">
      <c r="B87" s="0" t="n">
        <f aca="false">+B16</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103085</v>
      </c>
      <c r="L87" s="31" t="n">
        <f aca="false">IF($M66&lt;'bid input'!$M10,L66, 'bid input'!$M10*L66/$M66)</f>
        <v>0</v>
      </c>
      <c r="M87" s="13" t="n">
        <f aca="false">SUM(G87:L87)</f>
        <v>103085</v>
      </c>
    </row>
    <row collapsed="false" customFormat="false" customHeight="true" hidden="true" ht="14.1" outlineLevel="1" r="88">
      <c r="B88" s="0" t="n">
        <f aca="false">+B17</f>
        <v>1104159</v>
      </c>
      <c r="E88" s="17"/>
      <c r="F88" s="18"/>
      <c r="G88" s="31" t="n">
        <f aca="false">IF($M67&lt;'bid input'!$M11,G67, 'bid input'!$M11*G67/$M67)</f>
        <v>63745</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0</v>
      </c>
      <c r="L88" s="31" t="n">
        <f aca="false">IF($M67&lt;'bid input'!$M11,L67, 'bid input'!$M11*L67/$M67)</f>
        <v>0</v>
      </c>
      <c r="M88" s="13" t="n">
        <f aca="false">SUM(G88:L88)</f>
        <v>63745</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105080</v>
      </c>
      <c r="K89" s="31" t="n">
        <f aca="false">IF($M68&lt;'bid input'!$M12,K68, 'bid input'!$M12*K68/$M68)</f>
        <v>0</v>
      </c>
      <c r="L89" s="31" t="n">
        <f aca="false">IF($M68&lt;'bid input'!$M12,L68, 'bid input'!$M12*L68/$M68)</f>
        <v>0</v>
      </c>
      <c r="M89" s="13" t="n">
        <f aca="false">SUM(G89:L89)</f>
        <v>105080</v>
      </c>
    </row>
    <row collapsed="false" customFormat="false" customHeight="true" hidden="true" ht="14.1" outlineLevel="1" r="90">
      <c r="B90" s="0" t="n">
        <f aca="false">+B19</f>
        <v>1104145</v>
      </c>
      <c r="E90" s="17"/>
      <c r="F90" s="18"/>
      <c r="G90" s="31" t="n">
        <f aca="false">IF($M69&lt;'bid input'!$M13,G69, 'bid input'!$M13*G69/$M69)</f>
        <v>31872.5</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31872.5</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105080</v>
      </c>
      <c r="K91" s="31" t="n">
        <f aca="false">IF($M70&lt;'bid input'!$M14,K70, 'bid input'!$M14*K70/$M70)</f>
        <v>0</v>
      </c>
      <c r="L91" s="31" t="n">
        <f aca="false">IF($M70&lt;'bid input'!$M14,L70, 'bid input'!$M14*L70/$M70)</f>
        <v>0</v>
      </c>
      <c r="M91" s="13" t="n">
        <f aca="false">SUM(G91:L91)</f>
        <v>105080</v>
      </c>
    </row>
    <row collapsed="false" customFormat="false" customHeight="true" hidden="true" ht="14.1" outlineLevel="1" r="92">
      <c r="B92" s="0" t="n">
        <f aca="false">+B21</f>
        <v>1104149</v>
      </c>
      <c r="E92" s="17"/>
      <c r="F92" s="18"/>
      <c r="G92" s="31" t="n">
        <f aca="false">IF($M71&lt;'bid input'!$M15,G71, 'bid input'!$M15*G71/$M71)</f>
        <v>0</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47000</v>
      </c>
      <c r="L92" s="31" t="n">
        <f aca="false">IF($M71&lt;'bid input'!$M15,L71, 'bid input'!$M15*L71/$M71)</f>
        <v>0</v>
      </c>
      <c r="M92" s="13" t="n">
        <f aca="false">SUM(G92:L92)</f>
        <v>47000</v>
      </c>
    </row>
    <row collapsed="false" customFormat="false" customHeight="true" hidden="true" ht="14.1" outlineLevel="1" r="93">
      <c r="B93" s="0" t="n">
        <f aca="false">+B22</f>
        <v>1104151</v>
      </c>
      <c r="E93" s="17"/>
      <c r="F93" s="18"/>
      <c r="G93" s="31" t="n">
        <f aca="false">IF($M72&lt;'bid input'!$M16,G72, 'bid input'!$M16*G72/$M72)</f>
        <v>63745</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63745</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105080</v>
      </c>
      <c r="K94" s="31" t="n">
        <f aca="false">IF($M73&lt;'bid input'!$M17,K73, 'bid input'!$M17*K73/$M73)</f>
        <v>0</v>
      </c>
      <c r="L94" s="31" t="n">
        <f aca="false">IF($M73&lt;'bid input'!$M17,L73, 'bid input'!$M17*L73/$M73)</f>
        <v>0</v>
      </c>
      <c r="M94" s="13" t="n">
        <f aca="false">SUM(G94:L94)</f>
        <v>105080</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103085</v>
      </c>
      <c r="L95" s="31" t="n">
        <f aca="false">IF($M74&lt;'bid input'!$M18,L74, 'bid input'!$M18*L74/$M74)</f>
        <v>0</v>
      </c>
      <c r="M95" s="13" t="n">
        <f aca="false">SUM(G95:L95)</f>
        <v>103085</v>
      </c>
    </row>
    <row collapsed="false" customFormat="false" customHeight="true" hidden="true" ht="14.1" outlineLevel="1" r="96">
      <c r="B96" s="0" t="n">
        <f aca="false">+B25</f>
        <v>1104156</v>
      </c>
      <c r="E96" s="17"/>
      <c r="F96" s="18"/>
      <c r="G96" s="31" t="n">
        <f aca="false">IF($M75&lt;'bid input'!$M19,G75, 'bid input'!$M19*G75/$M75)</f>
        <v>0</v>
      </c>
      <c r="H96" s="31" t="n">
        <f aca="false">IF($M75&lt;'bid input'!$M19,H75, 'bid input'!$M19*H75/$M75)</f>
        <v>75137</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75137</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103085</v>
      </c>
      <c r="L97" s="31" t="n">
        <f aca="false">IF($M76&lt;'bid input'!$M20,L76, 'bid input'!$M20*L76/$M76)</f>
        <v>0</v>
      </c>
      <c r="M97" s="13" t="n">
        <f aca="false">SUM(G97:L97)</f>
        <v>103085</v>
      </c>
    </row>
    <row collapsed="false" customFormat="false" customHeight="true" hidden="true" ht="14.1" outlineLevel="1" r="98">
      <c r="B98" s="0" t="n">
        <f aca="false">+B27</f>
        <v>1104158</v>
      </c>
      <c r="E98" s="17"/>
      <c r="F98" s="18"/>
      <c r="G98" s="31" t="n">
        <f aca="false">IF($M77&lt;'bid input'!$M21,G77, 'bid input'!$M21*G77/$M77)</f>
        <v>63745</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63745</v>
      </c>
    </row>
    <row collapsed="false" customFormat="false" customHeight="false" hidden="false" ht="14" outlineLevel="0" r="100">
      <c r="D100" s="21" t="s">
        <v>44</v>
      </c>
      <c r="E100" s="22"/>
      <c r="F100" s="22"/>
      <c r="G100" s="23" t="n">
        <f aca="false">SUM(G79:G99)</f>
        <v>414342.5</v>
      </c>
      <c r="H100" s="23" t="n">
        <f aca="false">SUM(H79:H99)</f>
        <v>225411</v>
      </c>
      <c r="I100" s="23" t="n">
        <f aca="false">SUM(I79:I99)</f>
        <v>95975</v>
      </c>
      <c r="J100" s="23" t="n">
        <f aca="false">SUM(J79:J99)</f>
        <v>525400</v>
      </c>
      <c r="K100" s="23" t="n">
        <f aca="false">SUM(K79:K99)</f>
        <v>533340</v>
      </c>
      <c r="L100" s="23" t="n">
        <f aca="false">SUM(L79:L99)</f>
        <v>0</v>
      </c>
      <c r="M100" s="24" t="n">
        <f aca="false">SUM(G100:L100)</f>
        <v>1794468.5</v>
      </c>
    </row>
    <row collapsed="false" customFormat="false" customHeight="false" hidden="false" ht="14" outlineLevel="0" r="101">
      <c r="D101" s="25" t="s">
        <v>38</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0.035</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39</v>
      </c>
      <c r="G103" s="13" t="n">
        <f aca="false">+G53-G100</f>
        <v>-95617.5</v>
      </c>
      <c r="H103" s="13" t="n">
        <f aca="false">+H53-H100</f>
        <v>150274</v>
      </c>
      <c r="I103" s="13" t="n">
        <f aca="false">+I53-I100</f>
        <v>383900</v>
      </c>
      <c r="J103" s="13" t="n">
        <f aca="false">+J53-J100</f>
        <v>0</v>
      </c>
      <c r="K103" s="13" t="n">
        <f aca="false">+K53-K100</f>
        <v>-17915</v>
      </c>
      <c r="L103" s="13" t="n">
        <f aca="false">+L53-L100</f>
        <v>485000</v>
      </c>
      <c r="M103" s="13" t="n">
        <f aca="false">+M53-M100</f>
        <v>905641.5</v>
      </c>
    </row>
    <row collapsed="false" customFormat="false" customHeight="false" hidden="false" ht="14" outlineLevel="0" r="104">
      <c r="D104" s="0" t="s">
        <v>40</v>
      </c>
      <c r="G104" s="29" t="str">
        <f aca="false">+IF(G103=0,"NA",IF(G103&lt;0,"OVER","UNDER"))</f>
        <v>OVER</v>
      </c>
      <c r="H104" s="29" t="str">
        <f aca="false">+IF(H103=0,"NA",IF(H103&lt;0,"OVER","UNDER"))</f>
        <v>UNDER</v>
      </c>
      <c r="I104" s="29" t="str">
        <f aca="false">+IF(I103=0,"NA",IF(I103&lt;0,"OVER","UNDER"))</f>
        <v>UNDER</v>
      </c>
      <c r="J104" s="29" t="str">
        <f aca="false">+IF(J103=0,"NA",IF(J103&lt;0,"OVER","UNDER"))</f>
        <v>NA</v>
      </c>
      <c r="K104" s="29" t="str">
        <f aca="false">+IF(K103=0,"NA",IF(K103&lt;0,"OVER","UNDER"))</f>
        <v>OVER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45</v>
      </c>
    </row>
    <row collapsed="false" customFormat="false" customHeight="false" hidden="false" ht="14" outlineLevel="0" r="107">
      <c r="D107" s="33" t="s">
        <v>46</v>
      </c>
      <c r="E107" s="34"/>
      <c r="F107" s="34"/>
      <c r="G107" s="35" t="n">
        <f aca="false">+G50+G100</f>
        <v>414342.5</v>
      </c>
      <c r="H107" s="35" t="n">
        <f aca="false">+H50+H100</f>
        <v>225411</v>
      </c>
      <c r="I107" s="35" t="n">
        <f aca="false">+I50+I100</f>
        <v>95975</v>
      </c>
      <c r="J107" s="35" t="n">
        <f aca="false">+J50+J100</f>
        <v>525400</v>
      </c>
      <c r="K107" s="35" t="n">
        <f aca="false">+K50+K100</f>
        <v>533340</v>
      </c>
      <c r="L107" s="35" t="n">
        <f aca="false">+L50+L100</f>
        <v>0</v>
      </c>
      <c r="M107" s="36" t="n">
        <f aca="false">+M50+M100</f>
        <v>1794468.5</v>
      </c>
    </row>
    <row collapsed="false" customFormat="false" customHeight="false" hidden="false" ht="14" outlineLevel="0" r="108">
      <c r="D108" s="37" t="s">
        <v>47</v>
      </c>
      <c r="E108" s="38"/>
      <c r="F108" s="38"/>
      <c r="G108" s="39" t="n">
        <f aca="false">+G107/G4</f>
        <v>1.3</v>
      </c>
      <c r="H108" s="39" t="n">
        <f aca="false">+H107/H4</f>
        <v>0.6</v>
      </c>
      <c r="I108" s="39" t="n">
        <f aca="false">+I107/I4</f>
        <v>0.2</v>
      </c>
      <c r="J108" s="39" t="n">
        <f aca="false">+J107/J4</f>
        <v>1</v>
      </c>
      <c r="K108" s="39" t="n">
        <f aca="false">+K107/K4</f>
        <v>1.03475772420818</v>
      </c>
      <c r="L108" s="39" t="n">
        <f aca="false">+L107/L4</f>
        <v>0</v>
      </c>
      <c r="M108" s="40"/>
    </row>
    <row collapsed="false" customFormat="false" customHeight="false" hidden="false" ht="14" outlineLevel="0" r="109">
      <c r="D109" s="41" t="s">
        <v>38</v>
      </c>
      <c r="E109" s="42"/>
      <c r="F109" s="42"/>
      <c r="G109" s="43" t="inlineStr">
        <f aca="false">+IF(ISERR(IF(ISERR((G50*G51)+(G100*G101))/(G100+G50),G101,((G50*G51)+(G100*G101))/(G100+G50))),0,IF(ISERR((G50*G51)+(G100*G101))/(G100+G50),G101,((G50*G51)+(G100*G101))/(G100+G50)))</f>
        <is>
          <t/>
        </is>
      </c>
      <c r="H109" s="43" t="inlineStr">
        <f aca="false">+IF(ISERR(IF(ISERR((H50*H51)+(H100*H101))/(H100+H50),H101,((H50*H51)+(H100*H101))/(H100+H50))),0,IF(ISERR((H50*H51)+(H100*H101))/(H100+H50),H101,((H50*H51)+(H100*H101))/(H100+H50)))</f>
        <is>
          <t/>
        </is>
      </c>
      <c r="I109" s="43" t="inlineStr">
        <f aca="false">+IF(ISERR(IF(ISERR((I50*I51)+(I100*I101))/(I100+I50),I101,((I50*I51)+(I100*I101))/(I100+I50))),0,IF(ISERR((I50*I51)+(I100*I101))/(I100+I50),I101,((I50*I51)+(I100*I101))/(I100+I50)))</f>
        <is>
          <t/>
        </is>
      </c>
      <c r="J109" s="43" t="inlineStr">
        <f aca="false">+IF(ISERR(IF(ISERR((J50*J51)+(J100*J101))/(J100+J50),J101,((J50*J51)+(J100*J101))/(J100+J50))),0,IF(ISERR((J50*J51)+(J100*J101))/(J100+J50),J101,((J50*J51)+(J100*J101))/(J100+J50)))</f>
        <is>
          <t/>
        </is>
      </c>
      <c r="K109" s="43" t="inlineStr">
        <f aca="false">+IF(ISERR(IF(ISERR((K50*K51)+(K100*K101))/(K100+K50),K101,((K50*K51)+(K100*K101))/(K100+K50))),0,IF(ISERR((K50*K51)+(K100*K101))/(K100+K50),K101,((K50*K51)+(K100*K101))/(K100+K50)))</f>
        <is>
          <t/>
        </is>
      </c>
      <c r="L109" s="43" t="n">
        <f aca="false">+IF(ISERR(IF(ISERR((L50*L51)+(L100*L101))/(L100+L50),L101,((L50*L51)+(L100*L101))/(L100+L50))),0,IF(ISERR((L50*L51)+(L100*L101))/(L100+L50),L101,((L50*L51)+(L100*L101))/(L100+L50)))</f>
        <v>0</v>
      </c>
      <c r="M109" s="44" t="inlineStr">
        <f aca="false">+IF(ISERR(IF(ISERR((M50*M51)+(M100*M101))/(M100+M50),M101,((M50*M51)+(M100*M101))/(M100+M50))),0,IF(ISERR((M50*M51)+(M100*M101))/(M100+M50),M101,((M50*M51)+(M100*M101))/(M100+M50)))</f>
        <is>
          <t/>
        </is>
      </c>
    </row>
    <row collapsed="false" customFormat="false" customHeight="false" hidden="false" ht="14" outlineLevel="0" r="111">
      <c r="A111" s="0" t="s">
        <v>48</v>
      </c>
    </row>
    <row collapsed="false" customFormat="false" customHeight="false" hidden="true" ht="28.35" outlineLevel="1" r="112">
      <c r="B112" s="14" t="s">
        <v>33</v>
      </c>
      <c r="C112" s="15" t="s">
        <v>49</v>
      </c>
      <c r="D112" s="14" t="s">
        <v>36</v>
      </c>
      <c r="E112" s="14" t="s">
        <v>50</v>
      </c>
      <c r="F112" s="14"/>
      <c r="G112" s="45" t="s">
        <v>51</v>
      </c>
      <c r="I112" s="14" t="s">
        <v>52</v>
      </c>
      <c r="J112" s="45" t="s">
        <v>53</v>
      </c>
      <c r="K112" s="45" t="s">
        <v>54</v>
      </c>
      <c r="L112" s="45" t="s">
        <v>55</v>
      </c>
      <c r="M112" s="45" t="s">
        <v>56</v>
      </c>
      <c r="N112" s="45" t="s">
        <v>57</v>
      </c>
      <c r="O112" s="45" t="s">
        <v>36</v>
      </c>
      <c r="P112" s="45" t="s">
        <v>33</v>
      </c>
      <c r="Q112" s="46"/>
      <c r="R112" s="45" t="s">
        <v>58</v>
      </c>
      <c r="S112" s="45" t="s">
        <v>56</v>
      </c>
      <c r="T112" s="45" t="s">
        <v>36</v>
      </c>
      <c r="U112" s="45" t="s">
        <v>33</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N</v>
      </c>
      <c r="D115" s="18" t="n">
        <f aca="false">+IF(C115="N",0,'bid input'!K4)</f>
        <v>0</v>
      </c>
      <c r="E115" s="13" t="n">
        <f aca="false">+MIN('bid input'!D4,'bid input'!M4)</f>
        <v>185000</v>
      </c>
      <c r="F115" s="47" t="n">
        <f aca="false">+IF(D115&gt;0,E115,0)</f>
        <v>0</v>
      </c>
      <c r="G115" s="48" t="n">
        <f aca="false">+IF($F115&gt;0,RANK($D115,$D$113:$D$132,1),0)</f>
        <v>0</v>
      </c>
      <c r="H115" s="49" t="n">
        <f aca="false">+IF(ISERROR(VLOOKUP(B115,$J$138:$K$157,2,0)),0,VLOOKUP(B115,$J$138:$K$157,2,0))</f>
        <v>0</v>
      </c>
      <c r="I115" s="49" t="n">
        <f aca="false">+IF(ISERROR(VLOOKUP(B115,$J$138:$K$157,2,0)),0,VLOOKUP(B115,$J$138:$K$157,2,0))</f>
        <v>0</v>
      </c>
      <c r="J115" s="50" t="n">
        <f aca="false">VLOOKUP(B115,'bid input'!B:S,18,0)</f>
        <v>40928.625</v>
      </c>
      <c r="K115" s="48" t="str">
        <f aca="false">IF(G115=0,"",G115)</f>
        <v/>
      </c>
      <c r="L115" s="48" t="n">
        <f aca="false">IF(ISERROR(RANK(K115,K$113:K$132,1)),0,RANK(K115,K$113:K$132,1))</f>
        <v>0</v>
      </c>
      <c r="M115" s="51" t="n">
        <f aca="false">VALUE(L115&amp;J115)</f>
        <v>40928.625</v>
      </c>
      <c r="N115" s="48" t="n">
        <f aca="false">IF(L115=0,0,COUNT(M$113:M$132)-(RANK(M115,M$113:M$132,0)+COUNTIF(M$113:M115,M115))+2)</f>
        <v>0</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1500000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860000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N</v>
      </c>
      <c r="D119" s="18" t="n">
        <f aca="false">+IF(C119="N",0,'bid input'!K8)</f>
        <v>0</v>
      </c>
      <c r="E119" s="13" t="n">
        <f aca="false">+MIN('bid input'!D8,'bid input'!M8)</f>
        <v>250000</v>
      </c>
      <c r="F119" s="47" t="n">
        <f aca="false">+IF(D119&gt;0,E119,0)</f>
        <v>0</v>
      </c>
      <c r="G119" s="48" t="n">
        <f aca="false">+IF($F119&gt;0,RANK($D119,$D$113:$D$132,1),0)</f>
        <v>0</v>
      </c>
      <c r="H119" s="49" t="n">
        <f aca="false">+IF(ISERROR(VLOOKUP(B119,$J$138:$K$157,2,0)),0,VLOOKUP(B119,$J$138:$K$157,2,0))</f>
        <v>0</v>
      </c>
      <c r="I119" s="49" t="n">
        <f aca="false">+IF(ISERROR(VLOOKUP(B119,$J$138:$K$157,2,0)),0,VLOOKUP(B119,$J$138:$K$157,2,0))</f>
        <v>0</v>
      </c>
      <c r="J119" s="50" t="n">
        <f aca="false">VLOOKUP(B119,'bid input'!B:S,18,0)</f>
        <v>40928.8026388889</v>
      </c>
      <c r="K119" s="48" t="str">
        <f aca="false">IF(G119=0,"",G119)</f>
        <v/>
      </c>
      <c r="L119" s="48" t="n">
        <f aca="false">IF(ISERROR(RANK(K119,K$113:K$132,1)),0,RANK(K119,K$113:K$132,1))</f>
        <v>0</v>
      </c>
      <c r="M119" s="51" t="n">
        <f aca="false">VALUE(L119&amp;J119)</f>
        <v>40928.8026388889</v>
      </c>
      <c r="N119" s="48" t="n">
        <f aca="false">IF(L119=0,0,COUNT(M$113:M$132)-(RANK(M119,M$113:M$132,0)+COUNTIF(M$113:M119,M119))+2)</f>
        <v>0</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532000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N</v>
      </c>
      <c r="D123" s="18" t="n">
        <f aca="false">+IF(C123="N",0,'bid input'!K12)</f>
        <v>0</v>
      </c>
      <c r="E123" s="13" t="n">
        <f aca="false">+MIN('bid input'!D12,'bid input'!M12)</f>
        <v>292000</v>
      </c>
      <c r="F123" s="47" t="n">
        <f aca="false">+IF(D123&gt;0,E123,0)</f>
        <v>0</v>
      </c>
      <c r="G123" s="48" t="n">
        <f aca="false">+IF($F123&gt;0,RANK($D123,$D$113:$D$132,1),0)</f>
        <v>0</v>
      </c>
      <c r="H123" s="49" t="n">
        <f aca="false">+IF(ISERROR(VLOOKUP(B123,$J$138:$K$157,2,0)),0,VLOOKUP(B123,$J$138:$K$157,2,0))</f>
        <v>0</v>
      </c>
      <c r="I123" s="49" t="n">
        <f aca="false">+IF(ISERROR(VLOOKUP(B123,$J$138:$K$157,2,0)),0,VLOOKUP(B123,$J$138:$K$157,2,0))</f>
        <v>0</v>
      </c>
      <c r="J123" s="50" t="n">
        <f aca="false">VLOOKUP(B123,'bid input'!B:S,18,0)</f>
        <v>40928.9626388889</v>
      </c>
      <c r="K123" s="48" t="str">
        <f aca="false">IF(G123=0,"",G123)</f>
        <v/>
      </c>
      <c r="L123" s="48" t="n">
        <f aca="false">IF(ISERROR(RANK(K123,K$113:K$132,1)),0,RANK(K123,K$113:K$132,1))</f>
        <v>0</v>
      </c>
      <c r="M123" s="51" t="n">
        <f aca="false">VALUE(L123&amp;J123)</f>
        <v>40928.9626388889</v>
      </c>
      <c r="N123" s="48" t="n">
        <f aca="false">IF(L123=0,0,COUNT(M$113:M$132)-(RANK(M123,M$113:M$132,0)+COUNTIF(M$113:M123,M123))+2)</f>
        <v>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752000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418000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N</v>
      </c>
      <c r="D127" s="18" t="n">
        <f aca="false">+IF(C127="N",0,'bid input'!K16)</f>
        <v>0</v>
      </c>
      <c r="E127" s="13" t="n">
        <f aca="false">+MIN('bid input'!D16,'bid input'!M16)</f>
        <v>283000</v>
      </c>
      <c r="F127" s="47" t="n">
        <f aca="false">+IF(D127&gt;0,E127,0)</f>
        <v>0</v>
      </c>
      <c r="G127" s="48" t="n">
        <f aca="false">+IF($F127&gt;0,RANK($D127,$D$113:$D$132,1),0)</f>
        <v>0</v>
      </c>
      <c r="H127" s="49" t="n">
        <f aca="false">+IF(ISERROR(VLOOKUP(B127,$J$138:$K$157,2,0)),0,VLOOKUP(B127,$J$138:$K$157,2,0))</f>
        <v>0</v>
      </c>
      <c r="I127" s="49" t="n">
        <f aca="false">+IF(ISERROR(VLOOKUP(B127,$J$138:$K$157,2,0)),0,VLOOKUP(B127,$J$138:$K$157,2,0))</f>
        <v>0</v>
      </c>
      <c r="J127" s="50" t="n">
        <f aca="false">VLOOKUP(B127,'bid input'!B:S,18,0)</f>
        <v>40929.1626388889</v>
      </c>
      <c r="K127" s="48" t="str">
        <f aca="false">IF(G127=0,"",G127)</f>
        <v/>
      </c>
      <c r="L127" s="48" t="n">
        <f aca="false">IF(ISERROR(RANK(K127,K$113:K$132,1)),0,RANK(K127,K$113:K$132,1))</f>
        <v>0</v>
      </c>
      <c r="M127" s="51" t="n">
        <f aca="false">VALUE(L127&amp;J127)</f>
        <v>40929.1626388889</v>
      </c>
      <c r="N127" s="48" t="n">
        <f aca="false">IF(L127=0,0,COUNT(M$113:M$132)-(RANK(M127,M$113:M$132,0)+COUNTIF(M$113:M127,M127))+2)</f>
        <v>0</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598000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0</v>
      </c>
      <c r="S128" s="55" t="n">
        <f aca="true">OFFSET(M$113,MATCH(SMALL(N$113:N$132,ROW()-ROW(R$113)+1),N$113:N$132,0)-1,0)</f>
        <v>40928.625</v>
      </c>
      <c r="T128" s="52" t="n">
        <f aca="false">VLOOKUP(S128,M$113:O$132,3,0)</f>
        <v>0</v>
      </c>
      <c r="U128" s="55" t="n">
        <f aca="false">VLOOKUP(S128,M$113:P$132,4,0)</f>
        <v>1104134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639000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0</v>
      </c>
      <c r="S129" s="55" t="n">
        <f aca="true">OFFSET(M$113,MATCH(SMALL(N$113:N$132,ROW()-ROW(R$113)+1),N$113:N$132,0)-1,0)</f>
        <v>40928.625</v>
      </c>
      <c r="T129" s="52" t="n">
        <f aca="false">VLOOKUP(S129,M$113:O$132,3,0)</f>
        <v>0</v>
      </c>
      <c r="U129" s="55" t="n">
        <f aca="false">VLOOKUP(S129,M$113:P$132,4,0)</f>
        <v>1104134</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0</v>
      </c>
      <c r="S130" s="55" t="n">
        <f aca="true">OFFSET(M$113,MATCH(SMALL(N$113:N$132,ROW()-ROW(R$113)+1),N$113:N$132,0)-1,0)</f>
        <v>40928.625</v>
      </c>
      <c r="T130" s="52" t="n">
        <f aca="false">VLOOKUP(S130,M$113:O$132,3,0)</f>
        <v>0</v>
      </c>
      <c r="U130" s="55" t="n">
        <f aca="false">VLOOKUP(S130,M$113:P$132,4,0)</f>
        <v>1104134</v>
      </c>
    </row>
    <row collapsed="false" customFormat="false" customHeight="false" hidden="true" ht="14" outlineLevel="1" r="131">
      <c r="B131" s="0" t="n">
        <f aca="false">+'bid input'!B20</f>
        <v>1104157</v>
      </c>
      <c r="C131" s="17" t="str">
        <f aca="false">+IF('bid input'!Q20=1,"Y","N")</f>
        <v>N</v>
      </c>
      <c r="D131" s="18" t="n">
        <f aca="false">+IF(C131="N",0,'bid input'!K20)</f>
        <v>0</v>
      </c>
      <c r="E131" s="13" t="n">
        <f aca="false">+MIN('bid input'!D20,'bid input'!M20)</f>
        <v>629000</v>
      </c>
      <c r="F131" s="47" t="n">
        <f aca="false">+IF(D131&gt;0,E131,0)</f>
        <v>0</v>
      </c>
      <c r="G131" s="48" t="n">
        <f aca="false">+IF($F131&gt;0,RANK($D131,$D$113:$D$132,1),0)</f>
        <v>0</v>
      </c>
      <c r="H131" s="49" t="n">
        <f aca="false">+IF(ISERROR(VLOOKUP(B131,$J$138:$K$157,2,0)),0,VLOOKUP(B131,$J$138:$K$157,2,0))</f>
        <v>0</v>
      </c>
      <c r="I131" s="49" t="n">
        <f aca="false">+IF(ISERROR(VLOOKUP(B131,$J$138:$K$157,2,0)),0,VLOOKUP(B131,$J$138:$K$157,2,0))</f>
        <v>0</v>
      </c>
      <c r="J131" s="50" t="n">
        <f aca="false">VLOOKUP(B131,'bid input'!B:S,18,0)</f>
        <v>40929.3426388889</v>
      </c>
      <c r="K131" s="48" t="str">
        <f aca="false">IF(G131=0,"",G131)</f>
        <v/>
      </c>
      <c r="L131" s="48" t="n">
        <f aca="false">IF(ISERROR(RANK(K131,K$113:K$132,1)),0,RANK(K131,K$113:K$132,1))</f>
        <v>0</v>
      </c>
      <c r="M131" s="51" t="n">
        <f aca="false">VALUE(L131&amp;J131)</f>
        <v>40929.3426388889</v>
      </c>
      <c r="N131" s="48" t="n">
        <f aca="false">IF(L131=0,0,COUNT(M$113:M$132)-(RANK(M131,M$113:M$132,0)+COUNTIF(M$113:M131,M131))+2)</f>
        <v>0</v>
      </c>
      <c r="O131" s="52" t="inlineStr">
        <f aca="false">D131</f>
        <is>
          <t/>
        </is>
      </c>
      <c r="P131" s="53" t="n">
        <f aca="false">B131</f>
        <v>1104157</v>
      </c>
      <c r="Q131" s="54"/>
      <c r="R131" s="1" t="n">
        <f aca="true">OFFSET(N$113,MATCH(SMALL(N$113:N$132,ROW()-ROW(R$113)+1),N$113:N$132,0)-1,0)</f>
        <v>0</v>
      </c>
      <c r="S131" s="55" t="n">
        <f aca="true">OFFSET(M$113,MATCH(SMALL(N$113:N$132,ROW()-ROW(R$113)+1),N$113:N$132,0)-1,0)</f>
        <v>40928.625</v>
      </c>
      <c r="T131" s="52" t="n">
        <f aca="false">VLOOKUP(S131,M$113:O$132,3,0)</f>
        <v>0</v>
      </c>
      <c r="U131" s="55" t="n">
        <f aca="false">VLOOKUP(S131,M$113:P$132,4,0)</f>
        <v>1104134</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562000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0</v>
      </c>
      <c r="S132" s="55" t="n">
        <f aca="true">OFFSET(M$113,MATCH(SMALL(N$113:N$132,ROW()-ROW(R$113)+1),N$113:N$132,0)-1,0)</f>
        <v>40928.625</v>
      </c>
      <c r="T132" s="52" t="n">
        <f aca="false">VLOOKUP(S132,M$113:O$132,3,0)</f>
        <v>0</v>
      </c>
      <c r="U132" s="55" t="n">
        <f aca="false">VLOOKUP(S132,M$113:P$132,4,0)</f>
        <v>1104134</v>
      </c>
    </row>
    <row collapsed="false" customFormat="false" customHeight="false" hidden="true" ht="14" outlineLevel="1" r="133">
      <c r="B133" s="0" t="s">
        <v>59</v>
      </c>
      <c r="C133" s="0" t="n">
        <f aca="false">+COUNTIF(C113:C132,"Y")</f>
        <v>0</v>
      </c>
      <c r="D133" s="18" t="n">
        <f aca="false">+IF(ISERROR(SUMPRODUCT(E113:E132,D113:D132)/E133),0,SUMPRODUCT(E113:E132,D113:D132)/E133)</f>
        <v>0</v>
      </c>
      <c r="E133" s="17" t="n">
        <f aca="false">+SUMIF(C113:C132,"Y",E113:E132)</f>
        <v>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60</v>
      </c>
      <c r="E135" s="17" t="n">
        <f aca="false">IF(M104="UNDER",+M103,0)</f>
        <v>905641.5</v>
      </c>
      <c r="Q135" s="55"/>
      <c r="R135" s="55"/>
    </row>
    <row collapsed="false" customFormat="false" customHeight="false" hidden="true" ht="14" outlineLevel="1" r="136">
      <c r="B136" s="0" t="s">
        <v>61</v>
      </c>
      <c r="H136" s="1" t="s">
        <v>62</v>
      </c>
      <c r="I136" s="1" t="s">
        <v>63</v>
      </c>
      <c r="J136" s="1" t="s">
        <v>64</v>
      </c>
      <c r="Q136" s="55"/>
      <c r="R136" s="55"/>
    </row>
    <row collapsed="false" customFormat="false" customHeight="false" hidden="true" ht="14" outlineLevel="1" r="137">
      <c r="E137" s="17"/>
      <c r="F137" s="13"/>
      <c r="H137" s="1"/>
      <c r="I137" s="58" t="n">
        <f aca="false">E135</f>
        <v>905641.5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905641.5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905641.5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905641.5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905641.5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905641.5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905641.5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905641.5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905641.5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905641.5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905641.5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905641.5</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905641.5</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905641.5</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905641.5</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905641.5</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0</v>
      </c>
      <c r="I153" s="58" t="n">
        <f aca="false">I152-H153</f>
        <v>905641.5</v>
      </c>
      <c r="J153" s="1" t="str">
        <f aca="false">IF(ISERROR(VLOOKUP(G153,R$113:U$132,4,0)),"",VLOOKUP(G153,R$113:U$132,4,0))</f>
        <v/>
      </c>
      <c r="K153" s="13" t="n">
        <f aca="false">+H153</f>
        <v>0</v>
      </c>
    </row>
    <row collapsed="false" customFormat="false" customHeight="false" hidden="true" ht="14" outlineLevel="1" r="154">
      <c r="E154" s="49"/>
      <c r="F154" s="17"/>
      <c r="G154" s="1" t="n">
        <f aca="false">1+G153</f>
        <v>17</v>
      </c>
      <c r="H154" s="59" t="n">
        <f aca="false">+IF(I153&gt;0,MIN(SUMIF($N$113:$N$132,G154,$E$113:$E$132),I153),0)</f>
        <v>0</v>
      </c>
      <c r="I154" s="58" t="n">
        <f aca="false">I153-H154</f>
        <v>905641.5</v>
      </c>
      <c r="J154" s="1" t="str">
        <f aca="false">IF(ISERROR(VLOOKUP(G154,R$113:U$132,4,0)),"",VLOOKUP(G154,R$113:U$132,4,0))</f>
        <v/>
      </c>
      <c r="K154" s="13" t="n">
        <f aca="false">+H154</f>
        <v>0</v>
      </c>
    </row>
    <row collapsed="false" customFormat="false" customHeight="false" hidden="true" ht="14" outlineLevel="1" r="155">
      <c r="E155" s="49"/>
      <c r="F155" s="17"/>
      <c r="G155" s="1" t="n">
        <f aca="false">1+G154</f>
        <v>18</v>
      </c>
      <c r="H155" s="59" t="n">
        <f aca="false">+IF(I154&gt;0,MIN(SUMIF($N$113:$N$132,G155,$E$113:$E$132),I154),0)</f>
        <v>0</v>
      </c>
      <c r="I155" s="58" t="n">
        <f aca="false">I154-H155</f>
        <v>905641.5</v>
      </c>
      <c r="J155" s="1" t="str">
        <f aca="false">IF(ISERROR(VLOOKUP(G155,R$113:U$132,4,0)),"",VLOOKUP(G155,R$113:U$132,4,0))</f>
        <v/>
      </c>
      <c r="K155" s="13" t="n">
        <f aca="false">+H155</f>
        <v>0</v>
      </c>
    </row>
    <row collapsed="false" customFormat="false" customHeight="false" hidden="true" ht="14" outlineLevel="1" r="156">
      <c r="E156" s="49"/>
      <c r="F156" s="17"/>
      <c r="G156" s="1" t="n">
        <f aca="false">1+G155</f>
        <v>19</v>
      </c>
      <c r="H156" s="59" t="n">
        <f aca="false">+IF(I155&gt;0,MIN(SUMIF($N$113:$N$132,G156,$E$113:$E$132),I155),0)</f>
        <v>0</v>
      </c>
      <c r="I156" s="58" t="n">
        <f aca="false">I155-H156</f>
        <v>905641.5</v>
      </c>
      <c r="J156" s="1" t="str">
        <f aca="false">IF(ISERROR(VLOOKUP(G156,R$113:U$132,4,0)),"",VLOOKUP(G156,R$113:U$132,4,0))</f>
        <v/>
      </c>
      <c r="K156" s="13" t="n">
        <f aca="false">+H156</f>
        <v>0</v>
      </c>
    </row>
    <row collapsed="false" customFormat="false" customHeight="false" hidden="true" ht="14" outlineLevel="1" r="157">
      <c r="E157" s="49"/>
      <c r="F157" s="17"/>
      <c r="G157" s="1" t="n">
        <f aca="false">1+G156</f>
        <v>20</v>
      </c>
      <c r="H157" s="59" t="n">
        <f aca="false">+IF(I156&gt;0,MIN(SUMIF($N$113:$N$132,G157,$E$113:$E$132),I156),0)</f>
        <v>0</v>
      </c>
      <c r="I157" s="58" t="n">
        <f aca="false">I156-H157</f>
        <v>905641.5</v>
      </c>
      <c r="J157" s="1" t="str">
        <f aca="false">IF(ISERROR(VLOOKUP(G157,R$113:U$132,4,0)),"",VLOOKUP(G157,R$113:U$132,4,0))</f>
        <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-95617.5</v>
      </c>
      <c r="H159" s="13" t="n">
        <f aca="false">+H103</f>
        <v>150274</v>
      </c>
      <c r="I159" s="13" t="n">
        <f aca="false">+I103</f>
        <v>383900</v>
      </c>
      <c r="J159" s="13" t="n">
        <f aca="false">+J103</f>
        <v>0</v>
      </c>
      <c r="K159" s="13" t="n">
        <f aca="false">+K103</f>
        <v>-17915</v>
      </c>
      <c r="L159" s="13" t="n">
        <f aca="false">+L103</f>
        <v>485000</v>
      </c>
      <c r="M159" s="13" t="n">
        <f aca="false">+M103</f>
        <v>905641.5</v>
      </c>
    </row>
    <row collapsed="false" customFormat="false" customHeight="false" hidden="true" ht="14" outlineLevel="1" r="160">
      <c r="B160" s="14" t="s">
        <v>33</v>
      </c>
      <c r="C160" s="14" t="s">
        <v>36</v>
      </c>
      <c r="D160" s="14" t="s">
        <v>65</v>
      </c>
      <c r="E160" s="14" t="s">
        <v>66</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0</v>
      </c>
      <c r="E163" s="60" t="n">
        <f aca="false">+IF(D163&gt;0,C163+(SUMPRODUCT($G163:$L163,$G$183:$L$183)/$M163),0)</f>
        <v>0</v>
      </c>
      <c r="G163" s="49" t="n">
        <f aca="false">+G$159/$M$159*$D163</f>
        <v>-0</v>
      </c>
      <c r="H163" s="49" t="n">
        <f aca="false">+H$159/$M$159*$D163</f>
        <v>0</v>
      </c>
      <c r="I163" s="49" t="n">
        <f aca="false">+I$159/$M$159*$D163</f>
        <v>0</v>
      </c>
      <c r="J163" s="49" t="n">
        <f aca="false">+J$159/$M$159*$D163</f>
        <v>0</v>
      </c>
      <c r="K163" s="49" t="n">
        <f aca="false">+K$159/$M$159*$D163</f>
        <v>-0</v>
      </c>
      <c r="L163" s="49" t="n">
        <f aca="false">+L$159/$M$159*$D163</f>
        <v>0</v>
      </c>
      <c r="M163" s="13" t="n">
        <f aca="false">SUM(G163:L163)</f>
        <v>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0</v>
      </c>
      <c r="E167" s="60" t="n">
        <f aca="false">+IF(D167&gt;0,C167+(SUMPRODUCT($G167:$L167,$G$183:$L$183)/$M167),0)</f>
        <v>0</v>
      </c>
      <c r="G167" s="49" t="n">
        <f aca="false">+G$159/$M$159*$D167</f>
        <v>-0</v>
      </c>
      <c r="H167" s="49" t="n">
        <f aca="false">+H$159/$M$159*$D167</f>
        <v>0</v>
      </c>
      <c r="I167" s="49" t="n">
        <f aca="false">+I$159/$M$159*$D167</f>
        <v>0</v>
      </c>
      <c r="J167" s="49" t="n">
        <f aca="false">+J$159/$M$159*$D167</f>
        <v>0</v>
      </c>
      <c r="K167" s="49" t="n">
        <f aca="false">+K$159/$M$159*$D167</f>
        <v>-0</v>
      </c>
      <c r="L167" s="49" t="n">
        <f aca="false">+L$159/$M$159*$D167</f>
        <v>0</v>
      </c>
      <c r="M167" s="13" t="n">
        <f aca="false">SUM(G167:L167)</f>
        <v>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0</v>
      </c>
      <c r="E171" s="60" t="n">
        <f aca="false">+IF(D171&gt;0,C171+(SUMPRODUCT($G171:$L171,$G$183:$L$183)/$M171),0)</f>
        <v>0</v>
      </c>
      <c r="G171" s="49" t="n">
        <f aca="false">+G$159/$M$159*$D171</f>
        <v>-0</v>
      </c>
      <c r="H171" s="49" t="n">
        <f aca="false">+H$159/$M$159*$D171</f>
        <v>0</v>
      </c>
      <c r="I171" s="49" t="n">
        <f aca="false">+I$159/$M$159*$D171</f>
        <v>0</v>
      </c>
      <c r="J171" s="49" t="n">
        <f aca="false">+J$159/$M$159*$D171</f>
        <v>0</v>
      </c>
      <c r="K171" s="49" t="n">
        <f aca="false">+K$159/$M$159*$D171</f>
        <v>-0</v>
      </c>
      <c r="L171" s="49" t="n">
        <f aca="false">+L$159/$M$159*$D171</f>
        <v>0</v>
      </c>
      <c r="M171" s="13" t="n">
        <f aca="false">SUM(G171:L171)</f>
        <v>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0</v>
      </c>
      <c r="E175" s="60" t="n">
        <f aca="false">+IF(D175&gt;0,C175+(SUMPRODUCT($G175:$L175,$G$183:$L$183)/$M175),0)</f>
        <v>0</v>
      </c>
      <c r="G175" s="49" t="n">
        <f aca="false">+G$159/$M$159*$D175</f>
        <v>-0</v>
      </c>
      <c r="H175" s="49" t="n">
        <f aca="false">+H$159/$M$159*$D175</f>
        <v>0</v>
      </c>
      <c r="I175" s="49" t="n">
        <f aca="false">+I$159/$M$159*$D175</f>
        <v>0</v>
      </c>
      <c r="J175" s="49" t="n">
        <f aca="false">+J$159/$M$159*$D175</f>
        <v>0</v>
      </c>
      <c r="K175" s="49" t="n">
        <f aca="false">+K$159/$M$159*$D175</f>
        <v>-0</v>
      </c>
      <c r="L175" s="49" t="n">
        <f aca="false">+L$159/$M$159*$D175</f>
        <v>0</v>
      </c>
      <c r="M175" s="13" t="n">
        <f aca="false">SUM(G175:L175)</f>
        <v>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0</v>
      </c>
      <c r="E179" s="60" t="n">
        <f aca="false">+IF(D179&gt;0,C179+(SUMPRODUCT($G179:$L179,$G$183:$L$183)/$M179),0)</f>
        <v>0</v>
      </c>
      <c r="G179" s="49" t="n">
        <f aca="false">+G$159/$M$159*$D179</f>
        <v>-0</v>
      </c>
      <c r="H179" s="49" t="n">
        <f aca="false">+H$159/$M$159*$D179</f>
        <v>0</v>
      </c>
      <c r="I179" s="49" t="n">
        <f aca="false">+I$159/$M$159*$D179</f>
        <v>0</v>
      </c>
      <c r="J179" s="49" t="n">
        <f aca="false">+J$159/$M$159*$D179</f>
        <v>0</v>
      </c>
      <c r="K179" s="49" t="n">
        <f aca="false">+K$159/$M$159*$D179</f>
        <v>-0</v>
      </c>
      <c r="L179" s="49" t="n">
        <f aca="false">+L$159/$M$159*$D179</f>
        <v>0</v>
      </c>
      <c r="M179" s="13" t="n">
        <f aca="false">SUM(G179:L179)</f>
        <v>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0</v>
      </c>
      <c r="E181" s="60" t="e">
        <f aca="false">+SUMPRODUCT(D161:D180,E161:E180)/D181</f>
        <v>#DIV/0!</v>
      </c>
      <c r="G181" s="13" t="n">
        <f aca="false">SUM(G161:G180)</f>
        <v>0</v>
      </c>
      <c r="H181" s="13" t="n">
        <f aca="false">SUM(H161:H180)</f>
        <v>0</v>
      </c>
      <c r="I181" s="13" t="n">
        <f aca="false">SUM(I161:I180)</f>
        <v>0</v>
      </c>
      <c r="J181" s="13" t="n">
        <f aca="false">SUM(J161:J180)</f>
        <v>0</v>
      </c>
      <c r="K181" s="13" t="n">
        <f aca="false">SUM(K161:K180)</f>
        <v>0</v>
      </c>
      <c r="L181" s="13" t="n">
        <f aca="false">SUM(L161:L180)</f>
        <v>0</v>
      </c>
      <c r="M181" s="13" t="n">
        <f aca="false">SUM(M161:M180)</f>
        <v>0</v>
      </c>
    </row>
    <row collapsed="false" customFormat="false" customHeight="false" hidden="true" ht="14" outlineLevel="1" r="182">
      <c r="E182" s="61" t="inlineStr">
        <f aca="false">+E181-M190</f>
        <is>
          <t/>
        </is>
      </c>
      <c r="G182" s="18" t="n">
        <f aca="false">IF(ISERR(+SUMPRODUCT($C$161:$C$180,G$161:G$180)/G$181),0,+SUMPRODUCT($C$161:$C$180,G$161:G$180)/G$181)</f>
        <v>0</v>
      </c>
      <c r="H182" s="18" t="n">
        <f aca="false">IF(ISERR(+SUMPRODUCT($C$161:$C$180,H$161:H$180)/H$181),0,+SUMPRODUCT($C$161:$C$180,H$161:H$180)/H$181)</f>
        <v>0</v>
      </c>
      <c r="I182" s="18" t="n">
        <f aca="false">IF(ISERR(+SUMPRODUCT($C$161:$C$180,I$161:I$180)/I$181),0,+SUMPRODUCT($C$161:$C$180,I$161:I$180)/I$181)</f>
        <v>0</v>
      </c>
      <c r="J182" s="18" t="n">
        <f aca="false">IF(ISERR(+SUMPRODUCT($C$161:$C$180,J$161:J$180)/J$181),0,+SUMPRODUCT($C$161:$C$180,J$161:J$180)/J$181)</f>
        <v>0</v>
      </c>
      <c r="K182" s="18" t="n">
        <f aca="false">IF(ISERR(+SUMPRODUCT($C$161:$C$180,K$161:K$180)/K$181),0,+SUMPRODUCT($C$161:$C$180,K$161:K$180)/K$181)</f>
        <v>0</v>
      </c>
      <c r="L182" s="18" t="n">
        <f aca="false">IF(ISERR(+SUMPRODUCT($C$161:$C$180,L$161:L$180)/L$181),0,+SUMPRODUCT($C$161:$C$180,L$161:L$180)/L$181)</f>
        <v>0</v>
      </c>
      <c r="M182" s="18" t="n">
        <f aca="false">IF(ISERR(+SUMPRODUCT($C$161:$C$180,M$161:M$180)/M$181),0,+SUMPRODUCT($C$161:$C$180,M$161:M$180)/M$181)</f>
        <v>0</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67</v>
      </c>
      <c r="D184" s="60" t="inlineStr">
        <f aca="false">+MAX(F29:F48,G57:L57)</f>
        <is>
          <t/>
        </is>
      </c>
      <c r="E184" s="17"/>
      <c r="G184" s="18"/>
      <c r="H184" s="18"/>
      <c r="I184" s="18"/>
      <c r="J184" s="18"/>
      <c r="K184" s="18"/>
      <c r="L184" s="18"/>
      <c r="M184" s="18"/>
    </row>
    <row collapsed="false" customFormat="false" customHeight="false" hidden="true" ht="14" outlineLevel="1" r="185">
      <c r="B185" s="0" t="s">
        <v>68</v>
      </c>
      <c r="D185" s="63" t="inlineStr">
        <f aca="false">+M109</f>
        <is>
          <t/>
        </is>
      </c>
      <c r="E185" s="17"/>
      <c r="G185" s="18"/>
      <c r="H185" s="18"/>
      <c r="I185" s="18"/>
      <c r="J185" s="18"/>
      <c r="K185" s="18"/>
      <c r="L185" s="18"/>
      <c r="M185" s="18"/>
    </row>
    <row collapsed="false" customFormat="false" customHeight="false" hidden="true" ht="14" outlineLevel="1" r="186">
      <c r="B186" s="0" t="s">
        <v>69</v>
      </c>
      <c r="D186" s="64" t="inlineStr">
        <f aca="false">+D184-D185</f>
        <is>
          <t/>
        </is>
      </c>
      <c r="E186" s="17"/>
      <c r="G186" s="18"/>
      <c r="H186" s="18"/>
      <c r="I186" s="18"/>
      <c r="J186" s="18"/>
      <c r="K186" s="18"/>
      <c r="L186" s="18"/>
      <c r="M186" s="18"/>
    </row>
    <row collapsed="false" customFormat="false" customHeight="false" hidden="true" ht="14" outlineLevel="1" r="187">
      <c r="B187" s="0" t="s">
        <v>70</v>
      </c>
      <c r="E187" s="65"/>
      <c r="G187" s="18" t="n">
        <f aca="false">+(1-G108)*$D$186</f>
        <v>-0</v>
      </c>
      <c r="H187" s="18" t="n">
        <f aca="false">+(1-H108)*$D$186</f>
        <v>0</v>
      </c>
      <c r="I187" s="18" t="n">
        <f aca="false">+(1-I108)*$D$186</f>
        <v>0</v>
      </c>
      <c r="J187" s="18" t="n">
        <f aca="false">+(1-J108)*$D$186</f>
        <v>0</v>
      </c>
      <c r="K187" s="18" t="n">
        <f aca="false">+(1-K108)*$D$186</f>
        <v>-0</v>
      </c>
      <c r="L187" s="18" t="n">
        <f aca="false">+(1-L108)*$D$186</f>
        <v>0</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71</v>
      </c>
      <c r="E189" s="22"/>
      <c r="F189" s="22"/>
      <c r="G189" s="23" t="n">
        <f aca="false">+G181</f>
        <v>0</v>
      </c>
      <c r="H189" s="23" t="n">
        <f aca="false">+H181</f>
        <v>0</v>
      </c>
      <c r="I189" s="23" t="n">
        <f aca="false">+I181</f>
        <v>0</v>
      </c>
      <c r="J189" s="23" t="n">
        <f aca="false">+J181</f>
        <v>0</v>
      </c>
      <c r="K189" s="23" t="n">
        <f aca="false">+K181</f>
        <v>0</v>
      </c>
      <c r="L189" s="23" t="n">
        <f aca="false">+L181</f>
        <v>0</v>
      </c>
      <c r="M189" s="24" t="n">
        <f aca="false">+M181</f>
        <v>0</v>
      </c>
    </row>
    <row collapsed="false" customFormat="false" customHeight="false" hidden="false" ht="14" outlineLevel="0" r="190">
      <c r="D190" s="25" t="s">
        <v>38</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46</v>
      </c>
      <c r="E193" s="34"/>
      <c r="F193" s="34"/>
      <c r="G193" s="35" t="n">
        <f aca="false">+G107+G181</f>
        <v>414342.5</v>
      </c>
      <c r="H193" s="35" t="n">
        <f aca="false">+H107+H181</f>
        <v>225411</v>
      </c>
      <c r="I193" s="35" t="n">
        <f aca="false">+I107+I181</f>
        <v>95975</v>
      </c>
      <c r="J193" s="35" t="n">
        <f aca="false">+J107+J181</f>
        <v>525400</v>
      </c>
      <c r="K193" s="35" t="n">
        <f aca="false">+K107+K181</f>
        <v>533340</v>
      </c>
      <c r="L193" s="35" t="n">
        <f aca="false">+L107+L181</f>
        <v>0</v>
      </c>
      <c r="M193" s="36" t="n">
        <f aca="false">+M107+M181</f>
        <v>1794468.5</v>
      </c>
    </row>
    <row collapsed="false" customFormat="false" customHeight="false" hidden="false" ht="14" outlineLevel="0" r="194">
      <c r="D194" s="41" t="s">
        <v>38</v>
      </c>
      <c r="E194" s="42"/>
      <c r="F194" s="42"/>
      <c r="G194" s="43" t="n">
        <f aca="false">+IF(ISERR(+IF(ISERR(G109),G188,((G181*G188)+(G107*G109))/G193)),0,+IF(ISERR(G109),G188,((G181*G188)+(G107*G109))/G193))</f>
        <v>0.035</v>
      </c>
      <c r="H194" s="43" t="n">
        <f aca="false">+IF(ISERR(+IF(ISERR(H109),H188,((H181*H188)+(H107*H109))/H193)),0,+IF(ISERR(H109),H188,((H181*H188)+(H107*H109))/H193))</f>
        <v>0.035</v>
      </c>
      <c r="I194" s="43" t="n">
        <f aca="false">+IF(ISERR(+IF(ISERR(I109),I188,((I181*I188)+(I107*I109))/I193)),0,+IF(ISERR(I109),I188,((I181*I188)+(I107*I109))/I193))</f>
        <v>0.035</v>
      </c>
      <c r="J194" s="43" t="n">
        <f aca="false">+IF(ISERR(+IF(ISERR(J109),J188,((J181*J188)+(J107*J109))/J193)),0,+IF(ISERR(J109),J188,((J181*J188)+(J107*J109))/J193))</f>
        <v>0.035</v>
      </c>
      <c r="K194" s="43" t="n">
        <f aca="false">+IF(ISERR(+IF(ISERR(K109),K188,((K181*K188)+(K107*K109))/K193)),0,+IF(ISERR(K109),K188,((K181*K188)+(K107*K109))/K193))</f>
        <v>0.035</v>
      </c>
      <c r="L194" s="43" t="n">
        <f aca="false">+IF(ISERR(+IF(ISERR(L109),L188,((L181*L188)+(L107*L109))/L193)),0,+IF(ISERR(L109),L188,((L181*L188)+(L107*L109))/L193))</f>
        <v>0</v>
      </c>
      <c r="M194" s="44" t="n">
        <f aca="false">+SUMPRODUCT(G193:L193,G194:L194)/M193</f>
        <v>0.035</v>
      </c>
    </row>
    <row collapsed="false" customFormat="false" customHeight="false" hidden="false" ht="14" outlineLevel="0" r="195">
      <c r="E195" s="17"/>
    </row>
    <row collapsed="false" customFormat="false" customHeight="false" hidden="false" ht="14" outlineLevel="0" r="196">
      <c r="D196" s="0" t="s">
        <v>39</v>
      </c>
      <c r="G196" s="13" t="n">
        <f aca="false">+G4-G193</f>
        <v>-95617.5</v>
      </c>
      <c r="H196" s="13" t="n">
        <f aca="false">+H4-H193</f>
        <v>150274</v>
      </c>
      <c r="I196" s="13" t="n">
        <f aca="false">+I4-I193</f>
        <v>383900</v>
      </c>
      <c r="J196" s="13" t="n">
        <f aca="false">+J4-J193</f>
        <v>0</v>
      </c>
      <c r="K196" s="13" t="n">
        <f aca="false">+K4-K193</f>
        <v>-17915</v>
      </c>
      <c r="L196" s="13" t="n">
        <f aca="false">+L4-L193</f>
        <v>485000</v>
      </c>
      <c r="M196" s="13" t="n">
        <f aca="false">+M4-M193</f>
        <v>905641.5</v>
      </c>
    </row>
    <row collapsed="false" customFormat="false" customHeight="false" hidden="false" ht="14" outlineLevel="0" r="197">
      <c r="D197" s="0" t="s">
        <v>40</v>
      </c>
      <c r="G197" s="29" t="str">
        <f aca="false">+IF(G196=0,"NA",IF(G196&lt;0,"OVER","UNDER"))</f>
        <v>OVER</v>
      </c>
      <c r="H197" s="29" t="str">
        <f aca="false">+IF(H196=0,"NA",IF(H196&lt;0,"OVER","UNDER"))</f>
        <v>UNDER</v>
      </c>
      <c r="I197" s="29" t="str">
        <f aca="false">+IF(I196=0,"NA",IF(I196&lt;0,"OVER","UNDER"))</f>
        <v>UNDER</v>
      </c>
      <c r="J197" s="29" t="str">
        <f aca="false">+IF(J196=0,"NA",IF(J196&lt;0,"OVER","UNDER"))</f>
        <v>NA</v>
      </c>
      <c r="K197" s="29" t="str">
        <f aca="false">+IF(K196=0,"NA",IF(K196&lt;0,"OVER","UNDER"))</f>
        <v>OVER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72</v>
      </c>
      <c r="E199" s="17"/>
      <c r="M199" s="13"/>
    </row>
    <row collapsed="false" customFormat="false" customHeight="false" hidden="true" ht="28.35" outlineLevel="1" r="200">
      <c r="B200" s="14" t="s">
        <v>33</v>
      </c>
      <c r="C200" s="15" t="s">
        <v>73</v>
      </c>
      <c r="D200" s="14" t="s">
        <v>74</v>
      </c>
      <c r="E200" s="14" t="s">
        <v>75</v>
      </c>
    </row>
    <row collapsed="false" customFormat="false" customHeight="false" hidden="true" ht="14" outlineLevel="1" r="201">
      <c r="B201" s="0" t="n">
        <f aca="false">+'bid input'!B2</f>
        <v>1104134</v>
      </c>
      <c r="C201" s="17" t="str">
        <f aca="false">+IF('bid input'!R2=1,"Y","N")</f>
        <v>N</v>
      </c>
      <c r="D201" s="13" t="n">
        <f aca="false">+IF(C201="Y",+'bid input'!M2,0)</f>
        <v>0</v>
      </c>
      <c r="E201" s="17" t="n">
        <f aca="false">+D201*$D$223</f>
        <v>0</v>
      </c>
      <c r="G201" s="49" t="n">
        <f aca="false">+IF(ISERR(+$E201/$E$221*G$196),0,+$E201/$E$221*G$196)</f>
        <v>0</v>
      </c>
      <c r="H201" s="49" t="n">
        <f aca="false">+IF(ISERR(+$E201/$E$221*H$196),0,+$E201/$E$221*H$196)</f>
        <v>0</v>
      </c>
      <c r="I201" s="49" t="n">
        <f aca="false">+IF(ISERR(+$E201/$E$221*I$196),0,+$E201/$E$221*I$196)</f>
        <v>0</v>
      </c>
      <c r="J201" s="49" t="n">
        <f aca="false">+IF(ISERR(+$E201/$E$221*J$196),0,+$E201/$E$221*J$196)</f>
        <v>0</v>
      </c>
      <c r="K201" s="49" t="n">
        <f aca="false">+IF(ISERR(+$E201/$E$221*K$196),0,+$E201/$E$221*K$196)</f>
        <v>0</v>
      </c>
      <c r="L201" s="49" t="n">
        <f aca="false">+IF(ISERR(+$E201/$E$221*L$196),0,+$E201/$E$221*L$196)</f>
        <v>0</v>
      </c>
      <c r="M201" s="13" t="n">
        <f aca="false">IF(ISERR(SUM(G201:L201)),0,SUM(G201:L201))</f>
        <v>0</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N</v>
      </c>
      <c r="D205" s="13" t="n">
        <f aca="false">+IF(C205="Y",+'bid input'!M6,0)</f>
        <v>0</v>
      </c>
      <c r="E205" s="17" t="n">
        <f aca="false">+D205*$D$223</f>
        <v>0</v>
      </c>
      <c r="G205" s="49" t="n">
        <f aca="false">+IF(ISERR(+$E205/$E$221*G$196),0,+$E205/$E$221*G$196)</f>
        <v>0</v>
      </c>
      <c r="H205" s="49" t="n">
        <f aca="false">+IF(ISERR(+$E205/$E$221*H$196),0,+$E205/$E$221*H$196)</f>
        <v>0</v>
      </c>
      <c r="I205" s="49" t="n">
        <f aca="false">+IF(ISERR(+$E205/$E$221*I$196),0,+$E205/$E$221*I$196)</f>
        <v>0</v>
      </c>
      <c r="J205" s="49" t="n">
        <f aca="false">+IF(ISERR(+$E205/$E$221*J$196),0,+$E205/$E$221*J$196)</f>
        <v>0</v>
      </c>
      <c r="K205" s="49" t="n">
        <f aca="false">+IF(ISERR(+$E205/$E$221*K$196),0,+$E205/$E$221*K$196)</f>
        <v>0</v>
      </c>
      <c r="L205" s="49" t="n">
        <f aca="false">+IF(ISERR(+$E205/$E$221*L$196),0,+$E205/$E$221*L$196)</f>
        <v>0</v>
      </c>
      <c r="M205" s="13" t="n">
        <f aca="false">IF(ISERR(SUM(G205:L205)),0,SUM(G205:L205))</f>
        <v>0</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N</v>
      </c>
      <c r="D209" s="13" t="n">
        <f aca="false">+IF(C209="Y",+'bid input'!M10,0)</f>
        <v>0</v>
      </c>
      <c r="E209" s="17" t="n">
        <f aca="false">+D209*$D$223</f>
        <v>0</v>
      </c>
      <c r="G209" s="49" t="n">
        <f aca="false">+IF(ISERR(+$E209/$E$221*G$196),0,+$E209/$E$221*G$196)</f>
        <v>0</v>
      </c>
      <c r="H209" s="49" t="n">
        <f aca="false">+IF(ISERR(+$E209/$E$221*H$196),0,+$E209/$E$221*H$196)</f>
        <v>0</v>
      </c>
      <c r="I209" s="49" t="n">
        <f aca="false">+IF(ISERR(+$E209/$E$221*I$196),0,+$E209/$E$221*I$196)</f>
        <v>0</v>
      </c>
      <c r="J209" s="49" t="n">
        <f aca="false">+IF(ISERR(+$E209/$E$221*J$196),0,+$E209/$E$221*J$196)</f>
        <v>0</v>
      </c>
      <c r="K209" s="49" t="n">
        <f aca="false">+IF(ISERR(+$E209/$E$221*K$196),0,+$E209/$E$221*K$196)</f>
        <v>0</v>
      </c>
      <c r="L209" s="49" t="n">
        <f aca="false">+IF(ISERR(+$E209/$E$221*L$196),0,+$E209/$E$221*L$196)</f>
        <v>0</v>
      </c>
      <c r="M209" s="13" t="n">
        <f aca="false">IF(ISERR(SUM(G209:L209)),0,SUM(G209:L209))</f>
        <v>0</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N</v>
      </c>
      <c r="D213" s="13" t="n">
        <f aca="false">+IF(C213="Y",+'bid input'!M14,0)</f>
        <v>0</v>
      </c>
      <c r="E213" s="17" t="n">
        <f aca="false">+D213*$D$223</f>
        <v>0</v>
      </c>
      <c r="G213" s="49" t="n">
        <f aca="false">+IF(ISERR(+$E213/$E$221*G$196),0,+$E213/$E$221*G$196)</f>
        <v>0</v>
      </c>
      <c r="H213" s="49" t="n">
        <f aca="false">+IF(ISERR(+$E213/$E$221*H$196),0,+$E213/$E$221*H$196)</f>
        <v>0</v>
      </c>
      <c r="I213" s="49" t="n">
        <f aca="false">+IF(ISERR(+$E213/$E$221*I$196),0,+$E213/$E$221*I$196)</f>
        <v>0</v>
      </c>
      <c r="J213" s="49" t="n">
        <f aca="false">+IF(ISERR(+$E213/$E$221*J$196),0,+$E213/$E$221*J$196)</f>
        <v>0</v>
      </c>
      <c r="K213" s="49" t="n">
        <f aca="false">+IF(ISERR(+$E213/$E$221*K$196),0,+$E213/$E$221*K$196)</f>
        <v>0</v>
      </c>
      <c r="L213" s="49" t="n">
        <f aca="false">+IF(ISERR(+$E213/$E$221*L$196),0,+$E213/$E$221*L$196)</f>
        <v>0</v>
      </c>
      <c r="M213" s="13" t="n">
        <f aca="false">IF(ISERR(SUM(G213:L213)),0,SUM(G213:L213))</f>
        <v>0</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N</v>
      </c>
      <c r="D217" s="13" t="n">
        <f aca="false">+IF(C217="Y",+'bid input'!M18,0)</f>
        <v>0</v>
      </c>
      <c r="E217" s="17" t="n">
        <f aca="false">+D217*$D$223</f>
        <v>0</v>
      </c>
      <c r="G217" s="49" t="n">
        <f aca="false">+IF(ISERR(+$E217/$E$221*G$196),0,+$E217/$E$221*G$196)</f>
        <v>0</v>
      </c>
      <c r="H217" s="49" t="n">
        <f aca="false">+IF(ISERR(+$E217/$E$221*H$196),0,+$E217/$E$221*H$196)</f>
        <v>0</v>
      </c>
      <c r="I217" s="49" t="n">
        <f aca="false">+IF(ISERR(+$E217/$E$221*I$196),0,+$E217/$E$221*I$196)</f>
        <v>0</v>
      </c>
      <c r="J217" s="49" t="n">
        <f aca="false">+IF(ISERR(+$E217/$E$221*J$196),0,+$E217/$E$221*J$196)</f>
        <v>0</v>
      </c>
      <c r="K217" s="49" t="n">
        <f aca="false">+IF(ISERR(+$E217/$E$221*K$196),0,+$E217/$E$221*K$196)</f>
        <v>0</v>
      </c>
      <c r="L217" s="49" t="n">
        <f aca="false">+IF(ISERR(+$E217/$E$221*L$196),0,+$E217/$E$221*L$196)</f>
        <v>0</v>
      </c>
      <c r="M217" s="13" t="n">
        <f aca="false">IF(ISERR(SUM(G217:L217)),0,SUM(G217:L217))</f>
        <v>0</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76</v>
      </c>
      <c r="C221" s="0" t="n">
        <f aca="false">+COUNTIF(C201:C220,"Y")</f>
        <v>0</v>
      </c>
      <c r="D221" s="13" t="n">
        <f aca="false">SUM(D201:D220)</f>
        <v>0</v>
      </c>
      <c r="E221" s="13" t="n">
        <f aca="false">SUM(E201:E220)</f>
        <v>0</v>
      </c>
      <c r="H221" s="13"/>
      <c r="I221" s="13"/>
      <c r="J221" s="13"/>
      <c r="K221" s="13"/>
      <c r="L221" s="13"/>
      <c r="M221" s="13"/>
    </row>
    <row collapsed="false" customFormat="false" customHeight="false" hidden="true" ht="14" outlineLevel="1" r="222">
      <c r="B222" s="0" t="s">
        <v>77</v>
      </c>
      <c r="D222" s="13" t="n">
        <f aca="false">+M196</f>
        <v>905641.5</v>
      </c>
      <c r="E222" s="17"/>
    </row>
    <row collapsed="false" customFormat="false" customHeight="false" hidden="true" ht="14" outlineLevel="1" r="223">
      <c r="B223" s="0" t="s">
        <v>78</v>
      </c>
      <c r="D223" s="67" t="n">
        <f aca="false">+IF(ISERR(D222/D221),0,D222/D221)</f>
        <v>0</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71</v>
      </c>
      <c r="E225" s="22"/>
      <c r="F225" s="22"/>
      <c r="G225" s="23" t="n">
        <f aca="false">IF(ISERR(SUM(G201:G220)),0,SUM(G201:G220))</f>
        <v>0</v>
      </c>
      <c r="H225" s="23" t="n">
        <f aca="false">IF(ISERR(SUM(H201:H220)),0,SUM(H201:H220))</f>
        <v>0</v>
      </c>
      <c r="I225" s="23" t="n">
        <f aca="false">IF(ISERR(SUM(I201:I220)),0,SUM(I201:I220))</f>
        <v>0</v>
      </c>
      <c r="J225" s="23" t="n">
        <f aca="false">IF(ISERR(SUM(J201:J220)),0,SUM(J201:J220))</f>
        <v>0</v>
      </c>
      <c r="K225" s="23" t="n">
        <f aca="false">IF(ISERR(SUM(K201:K220)),0,SUM(K201:K220))</f>
        <v>0</v>
      </c>
      <c r="L225" s="23" t="n">
        <f aca="false">IF(ISERR(SUM(L201:L220)),0,SUM(L201:L220))</f>
        <v>0</v>
      </c>
      <c r="M225" s="24" t="n">
        <f aca="false">SUM(G225:L225)</f>
        <v>0</v>
      </c>
    </row>
    <row collapsed="false" customFormat="false" customHeight="false" hidden="false" ht="14" outlineLevel="0" r="226">
      <c r="D226" s="25" t="s">
        <v>38</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46</v>
      </c>
      <c r="E228" s="34"/>
      <c r="F228" s="34"/>
      <c r="G228" s="35" t="n">
        <f aca="false">+G193+G225</f>
        <v>414342.5</v>
      </c>
      <c r="H228" s="35" t="n">
        <f aca="false">+H193+H225</f>
        <v>225411</v>
      </c>
      <c r="I228" s="35" t="n">
        <f aca="false">+I193+I225</f>
        <v>95975</v>
      </c>
      <c r="J228" s="35" t="n">
        <f aca="false">+J193+J225</f>
        <v>525400</v>
      </c>
      <c r="K228" s="35" t="n">
        <f aca="false">+K193+K225</f>
        <v>533340</v>
      </c>
      <c r="L228" s="35" t="n">
        <f aca="false">+L193+L225</f>
        <v>0</v>
      </c>
      <c r="M228" s="36" t="n">
        <f aca="false">+M193+M225</f>
        <v>1794468.5</v>
      </c>
    </row>
    <row collapsed="false" customFormat="false" customHeight="false" hidden="false" ht="14" outlineLevel="0" r="229">
      <c r="D229" s="41" t="s">
        <v>38</v>
      </c>
      <c r="E229" s="42"/>
      <c r="F229" s="42"/>
      <c r="G229" s="43" t="n">
        <f aca="false">+IF(G228=0,0,IF(ISERR(G194),G226,((G225*G226)+(G193*G194))/G228))</f>
        <v>0.035</v>
      </c>
      <c r="H229" s="43" t="n">
        <f aca="false">+IF(H228=0,0,IF(ISERR(H194),H226,((H225*H226)+(H193*H194))/H228))</f>
        <v>0.035</v>
      </c>
      <c r="I229" s="43" t="n">
        <f aca="false">+IF(I228=0,0,IF(ISERR(I194),I226,((I225*I226)+(I193*I194))/I228))</f>
        <v>0.035</v>
      </c>
      <c r="J229" s="43" t="n">
        <f aca="false">+IF(J228=0,0,IF(ISERR(J194),J226,((J225*J226)+(J193*J194))/J228))</f>
        <v>0.035</v>
      </c>
      <c r="K229" s="43" t="n">
        <f aca="false">+IF(K228=0,0,IF(ISERR(K194),K226,((K225*K226)+(K193*K194))/K228))</f>
        <v>0.035</v>
      </c>
      <c r="L229" s="43" t="n">
        <f aca="false">+IF(L228=0,0,IF(ISERR(L194),L226,((L225*L226)+(L193*L194))/L228))</f>
        <v>0</v>
      </c>
      <c r="M229" s="44" t="n">
        <f aca="false">+SUMPRODUCT(G229:L229*G228:L228)/M228</f>
        <v>0.035</v>
      </c>
    </row>
    <row collapsed="false" customFormat="false" customHeight="false" hidden="false" ht="14" outlineLevel="0" r="230">
      <c r="E230" s="17"/>
    </row>
    <row collapsed="false" customFormat="false" customHeight="false" hidden="false" ht="14" outlineLevel="0" r="231">
      <c r="D231" s="0" t="s">
        <v>39</v>
      </c>
      <c r="G231" s="13" t="n">
        <f aca="false">+G4-G228</f>
        <v>-95617.5</v>
      </c>
      <c r="H231" s="13" t="n">
        <f aca="false">+H4-H228</f>
        <v>150274</v>
      </c>
      <c r="I231" s="13" t="n">
        <f aca="false">+I4-I228</f>
        <v>383900</v>
      </c>
      <c r="J231" s="13" t="n">
        <f aca="false">+J4-J228</f>
        <v>0</v>
      </c>
      <c r="K231" s="13" t="n">
        <f aca="false">+K4-K228</f>
        <v>-17915</v>
      </c>
      <c r="L231" s="13" t="n">
        <f aca="false">+L4-L228</f>
        <v>485000</v>
      </c>
      <c r="M231" s="13" t="n">
        <f aca="false">+M4-M228</f>
        <v>905641.5</v>
      </c>
    </row>
    <row collapsed="false" customFormat="false" customHeight="false" hidden="false" ht="14" outlineLevel="0" r="232">
      <c r="D232" s="0" t="s">
        <v>40</v>
      </c>
      <c r="G232" s="29" t="str">
        <f aca="false">+IF(G231=0,"NA",IF(G231&lt;0,"OVER","UNDER"))</f>
        <v>OVER</v>
      </c>
      <c r="H232" s="29" t="str">
        <f aca="false">+IF(H231=0,"NA",IF(H231&lt;0,"OVER","UNDER"))</f>
        <v>UNDER</v>
      </c>
      <c r="I232" s="29" t="str">
        <f aca="false">+IF(I231=0,"NA",IF(I231&lt;0,"OVER","UNDER"))</f>
        <v>UNDER</v>
      </c>
      <c r="J232" s="29" t="str">
        <f aca="false">+IF(J231=0,"NA",IF(J231&lt;0,"OVER","UNDER"))</f>
        <v>NA</v>
      </c>
      <c r="K232" s="29" t="str">
        <f aca="false">+IF(K231=0,"NA",IF(K231&lt;0,"OVER","UNDER"))</f>
        <v>OVER</v>
      </c>
      <c r="L232" s="29" t="str">
        <f aca="false">+IF(L231=0,"NA",IF(L231&lt;0,"OVER","UNDER"))</f>
        <v>UNDER</v>
      </c>
      <c r="M232" s="29" t="str">
        <f aca="false">+IF(M231=0,"NA",IF(M231&lt;0,"OVER","UNDER"))</f>
        <v>UNDER</v>
      </c>
    </row>
    <row collapsed="false" customFormat="false" customHeight="false" hidden="false" ht="14" outlineLevel="0" r="233">
      <c r="E233" s="17"/>
    </row>
    <row collapsed="false" customFormat="false" customHeight="false" hidden="false" ht="14" outlineLevel="0" r="234">
      <c r="A234" s="0" t="s">
        <v>79</v>
      </c>
      <c r="E234" s="17"/>
    </row>
    <row collapsed="false" customFormat="false" customHeight="false" hidden="true" ht="14" outlineLevel="1" r="235">
      <c r="E235" s="17"/>
    </row>
    <row collapsed="false" customFormat="false" customHeight="false" hidden="true" ht="14" outlineLevel="1" r="236">
      <c r="B236" s="14" t="s">
        <v>33</v>
      </c>
      <c r="C236" s="14" t="s">
        <v>36</v>
      </c>
      <c r="D236" s="14" t="s">
        <v>80</v>
      </c>
      <c r="E236" s="17" t="s">
        <v>81</v>
      </c>
    </row>
    <row collapsed="false" customFormat="false" customHeight="false" hidden="true" ht="14" outlineLevel="1" r="237">
      <c r="B237" s="0" t="n">
        <f aca="false">+'bid input'!B2</f>
        <v>1104134</v>
      </c>
      <c r="C237" s="60" t="n">
        <f aca="false">+IF(D237&gt;0,IF(M29&gt;0,F29,0)+IF(M79&gt;0,SUMPRODUCT(G$57:L$57,G79:L79)/M79,0)+E161+IF(M201&gt;0,M$226,0),0)</f>
        <v>0</v>
      </c>
      <c r="D237" s="13" t="n">
        <f aca="false">+M237</f>
        <v>0</v>
      </c>
      <c r="E237" s="17" t="n">
        <f aca="false">'bid input'!M2-D237</f>
        <v>187500</v>
      </c>
      <c r="G237" s="13" t="n">
        <f aca="false">+IF(G$232="NA",+G201+G161+G79+G29,0)</f>
        <v>0</v>
      </c>
      <c r="H237" s="13" t="n">
        <f aca="false">+IF(H$232="NA",+H201+H161+H79+H29,0)</f>
        <v>0</v>
      </c>
      <c r="I237" s="13" t="n">
        <f aca="false">+IF(I$232="NA",+I201+I161+I79+I29,0)</f>
        <v>0</v>
      </c>
      <c r="J237" s="13" t="n">
        <f aca="false">+IF(J$232="NA",+J201+J161+J79+J29,0)</f>
        <v>0</v>
      </c>
      <c r="K237" s="13" t="n">
        <f aca="false">+IF(K$232="NA",+K201+K161+K79+K29,0)</f>
        <v>0</v>
      </c>
      <c r="L237" s="13" t="n">
        <f aca="false">+IF(L$232="NA",+L201+L161+L79+L29,0)</f>
        <v>0</v>
      </c>
      <c r="M237" s="13" t="n">
        <f aca="false">SUM(G237:L237)</f>
        <v>0</v>
      </c>
    </row>
    <row collapsed="false" customFormat="false" customHeight="false" hidden="true" ht="14" outlineLevel="1" r="238">
      <c r="B238" s="0" t="n">
        <f aca="false">+'bid input'!B3</f>
        <v>1104143</v>
      </c>
      <c r="C238" s="60" t="n">
        <f aca="false">+IF(D238&gt;0,IF(M30&gt;0,F30,0)+IF(M80&gt;0,SUMPRODUCT(G$57:L$57,G80:L80)/M80,0)+E162+IF(M202&gt;0,M$226,0),0)</f>
        <v>0</v>
      </c>
      <c r="D238" s="13" t="n">
        <f aca="false">+M238</f>
        <v>0</v>
      </c>
      <c r="E238" s="17" t="n">
        <f aca="false">'bid input'!M3-D238</f>
        <v>500000</v>
      </c>
      <c r="G238" s="13" t="n">
        <f aca="false">+IF(G$232="NA",+G202+G162+G80+G30,0)</f>
        <v>0</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0</v>
      </c>
    </row>
    <row collapsed="false" customFormat="false" customHeight="false" hidden="true" ht="14" outlineLevel="1" r="239">
      <c r="B239" s="0" t="n">
        <f aca="false">+'bid input'!B4</f>
        <v>1104154</v>
      </c>
      <c r="C239" s="60" t="n">
        <f aca="false">+IF(D239&gt;0,IF(M31&gt;0,F31,0)+IF(M81&gt;0,SUMPRODUCT(G$57:L$57,G81:L81)/M81,0)+E163+IF(M203&gt;0,M$226,0),0)</f>
        <v>0</v>
      </c>
      <c r="D239" s="13" t="n">
        <f aca="false">+M239</f>
        <v>0</v>
      </c>
      <c r="E239" s="17" t="n">
        <f aca="false">'bid input'!M4-D239</f>
        <v>185000</v>
      </c>
      <c r="G239" s="13" t="n">
        <f aca="false">+IF(G$232="NA",+G203+G163+G81+G31,0)</f>
        <v>0</v>
      </c>
      <c r="H239" s="13" t="n">
        <f aca="false">+IF(H$232="NA",+H203+H163+H81+H31,0)</f>
        <v>0</v>
      </c>
      <c r="I239" s="13" t="n">
        <f aca="false">+IF(I$232="NA",+I203+I163+I81+I31,0)</f>
        <v>0</v>
      </c>
      <c r="J239" s="13" t="n">
        <f aca="false">+IF(J$232="NA",+J203+J163+J81+J31,0)</f>
        <v>0</v>
      </c>
      <c r="K239" s="13" t="n">
        <f aca="false">+IF(K$232="NA",+K203+K163+K81+K31,0)</f>
        <v>0</v>
      </c>
      <c r="L239" s="13" t="n">
        <f aca="false">+IF(L$232="NA",+L203+L163+L81+L31,0)</f>
        <v>0</v>
      </c>
      <c r="M239" s="13" t="n">
        <f aca="false">SUM(G239:L239)</f>
        <v>0</v>
      </c>
    </row>
    <row collapsed="false" customFormat="false" customHeight="false" hidden="true" ht="14" outlineLevel="1" r="240">
      <c r="B240" s="0" t="n">
        <f aca="false">+'bid input'!B5</f>
        <v>1104152</v>
      </c>
      <c r="C240" s="60" t="n">
        <f aca="false">+IF(D240&gt;0,IF(M32&gt;0,F32,0)+IF(M82&gt;0,SUMPRODUCT(G$57:L$57,G82:L82)/M82,0)+E164+IF(M204&gt;0,M$226,0),0)</f>
        <v>0.035</v>
      </c>
      <c r="D240" s="13" t="n">
        <f aca="false">+M240</f>
        <v>105080</v>
      </c>
      <c r="E240" s="17" t="n">
        <f aca="false">'bid input'!M5-D240</f>
        <v>1394920</v>
      </c>
      <c r="G240" s="13" t="n">
        <f aca="false">+IF(G$232="NA",+G204+G164+G82+G32,0)</f>
        <v>0</v>
      </c>
      <c r="H240" s="13" t="n">
        <f aca="false">+IF(H$232="NA",+H204+H164+H82+H32,0)</f>
        <v>0</v>
      </c>
      <c r="I240" s="13" t="n">
        <f aca="false">+IF(I$232="NA",+I204+I164+I82+I32,0)</f>
        <v>0</v>
      </c>
      <c r="J240" s="13" t="n">
        <f aca="false">+IF(J$232="NA",+J204+J164+J82+J32,0)</f>
        <v>105080</v>
      </c>
      <c r="K240" s="13" t="n">
        <f aca="false">+IF(K$232="NA",+K204+K164+K82+K32,0)</f>
        <v>0</v>
      </c>
      <c r="L240" s="13" t="n">
        <f aca="false">+IF(L$232="NA",+L204+L164+L82+L32,0)</f>
        <v>0</v>
      </c>
      <c r="M240" s="13" t="n">
        <f aca="false">SUM(G240:L240)</f>
        <v>105080</v>
      </c>
    </row>
    <row collapsed="false" customFormat="false" customHeight="false" hidden="true" ht="14" outlineLevel="1" r="241">
      <c r="B241" s="0" t="n">
        <f aca="false">+'bid input'!B6</f>
        <v>1104136</v>
      </c>
      <c r="C241" s="60" t="n">
        <f aca="false">+IF(D241&gt;0,IF(M33&gt;0,F33,0)+IF(M83&gt;0,SUMPRODUCT(G$57:L$57,G83:L83)/M83,0)+E165+IF(M205&gt;0,M$226,0),0)</f>
        <v>0.035</v>
      </c>
      <c r="D241" s="13" t="n">
        <f aca="false">+M241</f>
        <v>105080</v>
      </c>
      <c r="E241" s="17" t="n">
        <f aca="false">'bid input'!M6-D241</f>
        <v>754920</v>
      </c>
      <c r="G241" s="13" t="n">
        <f aca="false">+IF(G$232="NA",+G205+G165+G83+G33,0)</f>
        <v>0</v>
      </c>
      <c r="H241" s="13" t="n">
        <f aca="false">+IF(H$232="NA",+H205+H165+H83+H33,0)</f>
        <v>0</v>
      </c>
      <c r="I241" s="13" t="n">
        <f aca="false">+IF(I$232="NA",+I205+I165+I83+I33,0)</f>
        <v>0</v>
      </c>
      <c r="J241" s="13" t="n">
        <f aca="false">+IF(J$232="NA",+J205+J165+J83+J33,0)</f>
        <v>105080</v>
      </c>
      <c r="K241" s="13" t="n">
        <f aca="false">+IF(K$232="NA",+K205+K165+K83+K33,0)</f>
        <v>0</v>
      </c>
      <c r="L241" s="13" t="n">
        <f aca="false">+IF(L$232="NA",+L205+L165+L83+L33,0)</f>
        <v>0</v>
      </c>
      <c r="M241" s="13" t="n">
        <f aca="false">SUM(G241:L241)</f>
        <v>105080</v>
      </c>
    </row>
    <row collapsed="false" customFormat="false" customHeight="false" hidden="true" ht="14" outlineLevel="1" r="242">
      <c r="B242" s="0" t="n">
        <f aca="false">+'bid input'!B7</f>
        <v>1104138</v>
      </c>
      <c r="C242" s="60" t="n">
        <f aca="false">+IF(D242&gt;0,IF(M34&gt;0,F34,0)+IF(M84&gt;0,SUMPRODUCT(G$57:L$57,G84:L84)/M84,0)+E166+IF(M206&gt;0,M$226,0),0)</f>
        <v>0</v>
      </c>
      <c r="D242" s="13" t="n">
        <f aca="false">+M242</f>
        <v>0</v>
      </c>
      <c r="E242" s="17" t="n">
        <f aca="false">'bid input'!M7-D242</f>
        <v>300000</v>
      </c>
      <c r="G242" s="13" t="n">
        <f aca="false">+IF(G$232="NA",+G206+G166+G84+G34,0)</f>
        <v>0</v>
      </c>
      <c r="H242" s="13" t="n">
        <f aca="false">+IF(H$232="NA",+H206+H166+H84+H34,0)</f>
        <v>0</v>
      </c>
      <c r="I242" s="13" t="n">
        <f aca="false">+IF(I$232="NA",+I206+I166+I84+I34,0)</f>
        <v>0</v>
      </c>
      <c r="J242" s="13" t="n">
        <f aca="false">+IF(J$232="NA",+J206+J166+J84+J34,0)</f>
        <v>0</v>
      </c>
      <c r="K242" s="13" t="n">
        <f aca="false">+IF(K$232="NA",+K206+K166+K84+K34,0)</f>
        <v>0</v>
      </c>
      <c r="L242" s="13" t="n">
        <f aca="false">+IF(L$232="NA",+L206+L166+L84+L34,0)</f>
        <v>0</v>
      </c>
      <c r="M242" s="13" t="n">
        <f aca="false">SUM(G242:L242)</f>
        <v>0</v>
      </c>
    </row>
    <row collapsed="false" customFormat="false" customHeight="false" hidden="true" ht="14" outlineLevel="1" r="243">
      <c r="B243" s="0" t="n">
        <f aca="false">+'bid input'!B8</f>
        <v>1104139</v>
      </c>
      <c r="C243" s="60" t="n">
        <f aca="false">+IF(D243&gt;0,IF(M35&gt;0,F35,0)+IF(M85&gt;0,SUMPRODUCT(G$57:L$57,G85:L85)/M85,0)+E167+IF(M207&gt;0,M$226,0),0)</f>
        <v>0</v>
      </c>
      <c r="D243" s="13" t="n">
        <f aca="false">+M243</f>
        <v>0</v>
      </c>
      <c r="E243" s="17" t="n">
        <f aca="false">'bid input'!M8-D243</f>
        <v>250000</v>
      </c>
      <c r="G243" s="13" t="n">
        <f aca="false">+IF(G$232="NA",+G207+G167+G85+G35,0)</f>
        <v>0</v>
      </c>
      <c r="H243" s="13" t="n">
        <f aca="false">+IF(H$232="NA",+H207+H167+H85+H35,0)</f>
        <v>0</v>
      </c>
      <c r="I243" s="13" t="n">
        <f aca="false">+IF(I$232="NA",+I207+I167+I85+I35,0)</f>
        <v>0</v>
      </c>
      <c r="J243" s="13" t="n">
        <f aca="false">+IF(J$232="NA",+J207+J167+J85+J35,0)</f>
        <v>0</v>
      </c>
      <c r="K243" s="13" t="n">
        <f aca="false">+IF(K$232="NA",+K207+K167+K85+K35,0)</f>
        <v>0</v>
      </c>
      <c r="L243" s="13" t="n">
        <f aca="false">+IF(L$232="NA",+L207+L167+L85+L35,0)</f>
        <v>0</v>
      </c>
      <c r="M243" s="13" t="n">
        <f aca="false">SUM(G243:L243)</f>
        <v>0</v>
      </c>
    </row>
    <row collapsed="false" customFormat="false" customHeight="false" hidden="true" ht="14" outlineLevel="1" r="244">
      <c r="B244" s="0" t="n">
        <f aca="false">+'bid input'!B9</f>
        <v>1104140</v>
      </c>
      <c r="C244" s="60" t="n">
        <f aca="false">+IF(D244&gt;0,IF(M36&gt;0,F36,0)+IF(M86&gt;0,SUMPRODUCT(G$57:L$57,G86:L86)/M86,0)+E168+IF(M208&gt;0,M$226,0),0)</f>
        <v>0</v>
      </c>
      <c r="D244" s="13" t="n">
        <f aca="false">+M244</f>
        <v>0</v>
      </c>
      <c r="E244" s="17" t="n">
        <f aca="false">'bid input'!M9-D244</f>
        <v>74000</v>
      </c>
      <c r="G244" s="13" t="n">
        <f aca="false">+IF(G$232="NA",+G208+G168+G86+G36,0)</f>
        <v>0</v>
      </c>
      <c r="H244" s="13" t="n">
        <f aca="false">+IF(H$232="NA",+H208+H168+H86+H36,0)</f>
        <v>0</v>
      </c>
      <c r="I244" s="13" t="n">
        <f aca="false">+IF(I$232="NA",+I208+I168+I86+I36,0)</f>
        <v>0</v>
      </c>
      <c r="J244" s="13" t="n">
        <f aca="false">+IF(J$232="NA",+J208+J168+J86+J36,0)</f>
        <v>0</v>
      </c>
      <c r="K244" s="13" t="n">
        <f aca="false">+IF(K$232="NA",+K208+K168+K86+K36,0)</f>
        <v>0</v>
      </c>
      <c r="L244" s="13" t="n">
        <f aca="false">+IF(L$232="NA",+L208+L168+L86+L36,0)</f>
        <v>0</v>
      </c>
      <c r="M244" s="13" t="n">
        <f aca="false">SUM(G244:L244)</f>
        <v>0</v>
      </c>
    </row>
    <row collapsed="false" customFormat="false" customHeight="false" hidden="true" ht="14" outlineLevel="1" r="245">
      <c r="B245" s="0" t="n">
        <f aca="false">+'bid input'!B10</f>
        <v>1104141</v>
      </c>
      <c r="C245" s="60" t="n">
        <f aca="false">+IF(D245&gt;0,IF(M37&gt;0,F37,0)+IF(M87&gt;0,SUMPRODUCT(G$57:L$57,G87:L87)/M87,0)+E169+IF(M209&gt;0,M$226,0),0)</f>
        <v>0</v>
      </c>
      <c r="D245" s="13" t="n">
        <f aca="false">+M245</f>
        <v>0</v>
      </c>
      <c r="E245" s="17" t="n">
        <f aca="false">'bid input'!M10-D245</f>
        <v>285000</v>
      </c>
      <c r="G245" s="13" t="n">
        <f aca="false">+IF(G$232="NA",+G209+G169+G87+G37,0)</f>
        <v>0</v>
      </c>
      <c r="H245" s="13" t="n">
        <f aca="false">+IF(H$232="NA",+H209+H169+H87+H37,0)</f>
        <v>0</v>
      </c>
      <c r="I245" s="13" t="n">
        <f aca="false">+IF(I$232="NA",+I209+I169+I87+I37,0)</f>
        <v>0</v>
      </c>
      <c r="J245" s="13" t="n">
        <f aca="false">+IF(J$232="NA",+J209+J169+J87+J37,0)</f>
        <v>0</v>
      </c>
      <c r="K245" s="13" t="n">
        <f aca="false">+IF(K$232="NA",+K209+K169+K87+K37,0)</f>
        <v>0</v>
      </c>
      <c r="L245" s="13" t="n">
        <f aca="false">+IF(L$232="NA",+L209+L169+L87+L37,0)</f>
        <v>0</v>
      </c>
      <c r="M245" s="13" t="n">
        <f aca="false">SUM(G245:L245)</f>
        <v>0</v>
      </c>
    </row>
    <row collapsed="false" customFormat="false" customHeight="false" hidden="true" ht="14" outlineLevel="1" r="246">
      <c r="B246" s="0" t="n">
        <f aca="false">+'bid input'!B11</f>
        <v>1104159</v>
      </c>
      <c r="C246" s="60" t="n">
        <f aca="false">+IF(D246&gt;0,IF(M38&gt;0,F38,0)+IF(M88&gt;0,SUMPRODUCT(G$57:L$57,G88:L88)/M88,0)+E170+IF(M210&gt;0,M$226,0),0)</f>
        <v>0</v>
      </c>
      <c r="D246" s="13" t="n">
        <f aca="false">+M246</f>
        <v>0</v>
      </c>
      <c r="E246" s="17" t="n">
        <f aca="false">'bid input'!M11-D246</f>
        <v>532000</v>
      </c>
      <c r="G246" s="13" t="n">
        <f aca="false">+IF(G$232="NA",+G210+G170+G88+G38,0)</f>
        <v>0</v>
      </c>
      <c r="H246" s="13" t="n">
        <f aca="false">+IF(H$232="NA",+H210+H170+H88+H38,0)</f>
        <v>0</v>
      </c>
      <c r="I246" s="13" t="n">
        <f aca="false">+IF(I$232="NA",+I210+I170+I88+I38,0)</f>
        <v>0</v>
      </c>
      <c r="J246" s="13" t="n">
        <f aca="false">+IF(J$232="NA",+J210+J170+J88+J38,0)</f>
        <v>0</v>
      </c>
      <c r="K246" s="13" t="n">
        <f aca="false">+IF(K$232="NA",+K210+K170+K88+K38,0)</f>
        <v>0</v>
      </c>
      <c r="L246" s="13" t="n">
        <f aca="false">+IF(L$232="NA",+L210+L170+L88+L38,0)</f>
        <v>0</v>
      </c>
      <c r="M246" s="13" t="n">
        <f aca="false">SUM(G246:L246)</f>
        <v>0</v>
      </c>
    </row>
    <row collapsed="false" customFormat="false" customHeight="false" hidden="true" ht="14" outlineLevel="1" r="247">
      <c r="B247" s="0" t="n">
        <f aca="false">+'bid input'!B12</f>
        <v>1104161</v>
      </c>
      <c r="C247" s="60" t="n">
        <f aca="false">+IF(D247&gt;0,IF(M39&gt;0,F39,0)+IF(M89&gt;0,SUMPRODUCT(G$57:L$57,G89:L89)/M89,0)+E171+IF(M211&gt;0,M$226,0),0)</f>
        <v>0.035</v>
      </c>
      <c r="D247" s="13" t="n">
        <f aca="false">+M247</f>
        <v>105080</v>
      </c>
      <c r="E247" s="17" t="n">
        <f aca="false">'bid input'!M12-D247</f>
        <v>186920</v>
      </c>
      <c r="G247" s="13" t="n">
        <f aca="false">+IF(G$232="NA",+G211+G171+G89+G39,0)</f>
        <v>0</v>
      </c>
      <c r="H247" s="13" t="n">
        <f aca="false">+IF(H$232="NA",+H211+H171+H89+H39,0)</f>
        <v>0</v>
      </c>
      <c r="I247" s="13" t="n">
        <f aca="false">+IF(I$232="NA",+I211+I171+I89+I39,0)</f>
        <v>0</v>
      </c>
      <c r="J247" s="13" t="n">
        <f aca="false">+IF(J$232="NA",+J211+J171+J89+J39,0)</f>
        <v>105080</v>
      </c>
      <c r="K247" s="13" t="n">
        <f aca="false">+IF(K$232="NA",+K211+K171+K89+K39,0)</f>
        <v>0</v>
      </c>
      <c r="L247" s="13" t="n">
        <f aca="false">+IF(L$232="NA",+L211+L171+L89+L39,0)</f>
        <v>0</v>
      </c>
      <c r="M247" s="13" t="n">
        <f aca="false">SUM(G247:L247)</f>
        <v>105080</v>
      </c>
    </row>
    <row collapsed="false" customFormat="false" customHeight="false" hidden="true" ht="14" outlineLevel="1" r="248">
      <c r="B248" s="0" t="n">
        <f aca="false">+'bid input'!B13</f>
        <v>1104145</v>
      </c>
      <c r="C248" s="60" t="n">
        <f aca="false">+IF(D248&gt;0,IF(M40&gt;0,F40,0)+IF(M90&gt;0,SUMPRODUCT(G$57:L$57,G90:L90)/M90,0)+E172+IF(M212&gt;0,M$226,0),0)</f>
        <v>0</v>
      </c>
      <c r="D248" s="13" t="n">
        <f aca="false">+M248</f>
        <v>0</v>
      </c>
      <c r="E248" s="17" t="n">
        <f aca="false">'bid input'!M13-D248</f>
        <v>752000</v>
      </c>
      <c r="G248" s="13" t="n">
        <f aca="false">+IF(G$232="NA",+G212+G172+G90+G40,0)</f>
        <v>0</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0</v>
      </c>
    </row>
    <row collapsed="false" customFormat="false" customHeight="false" hidden="true" ht="14" outlineLevel="1" r="249">
      <c r="B249" s="0" t="n">
        <f aca="false">+'bid input'!B14</f>
        <v>1104133</v>
      </c>
      <c r="C249" s="60" t="n">
        <f aca="false">+IF(D249&gt;0,IF(M41&gt;0,F41,0)+IF(M91&gt;0,SUMPRODUCT(G$57:L$57,G91:L91)/M91,0)+E173+IF(M213&gt;0,M$226,0),0)</f>
        <v>0.035</v>
      </c>
      <c r="D249" s="13" t="n">
        <f aca="false">+M249</f>
        <v>105080</v>
      </c>
      <c r="E249" s="17" t="n">
        <f aca="false">'bid input'!M14-D249</f>
        <v>312920</v>
      </c>
      <c r="G249" s="13" t="n">
        <f aca="false">+IF(G$232="NA",+G213+G173+G91+G41,0)</f>
        <v>0</v>
      </c>
      <c r="H249" s="13" t="n">
        <f aca="false">+IF(H$232="NA",+H213+H173+H91+H41,0)</f>
        <v>0</v>
      </c>
      <c r="I249" s="13" t="n">
        <f aca="false">+IF(I$232="NA",+I213+I173+I91+I41,0)</f>
        <v>0</v>
      </c>
      <c r="J249" s="13" t="n">
        <f aca="false">+IF(J$232="NA",+J213+J173+J91+J41,0)</f>
        <v>105080</v>
      </c>
      <c r="K249" s="13" t="n">
        <f aca="false">+IF(K$232="NA",+K213+K173+K91+K41,0)</f>
        <v>0</v>
      </c>
      <c r="L249" s="13" t="n">
        <f aca="false">+IF(L$232="NA",+L213+L173+L91+L41,0)</f>
        <v>0</v>
      </c>
      <c r="M249" s="13" t="n">
        <f aca="false">SUM(G249:L249)</f>
        <v>105080</v>
      </c>
    </row>
    <row collapsed="false" customFormat="false" customHeight="false" hidden="true" ht="14" outlineLevel="1" r="250">
      <c r="B250" s="0" t="n">
        <f aca="false">+'bid input'!B15</f>
        <v>1104149</v>
      </c>
      <c r="C250" s="60" t="n">
        <f aca="false">+IF(D250&gt;0,IF(M42&gt;0,F42,0)+IF(M92&gt;0,SUMPRODUCT(G$57:L$57,G92:L92)/M92,0)+E174+IF(M214&gt;0,M$226,0),0)</f>
        <v>0</v>
      </c>
      <c r="D250" s="13" t="n">
        <f aca="false">+M250</f>
        <v>0</v>
      </c>
      <c r="E250" s="17" t="n">
        <f aca="false">'bid input'!M15-D250</f>
        <v>47000</v>
      </c>
      <c r="G250" s="13" t="n">
        <f aca="false">+IF(G$232="NA",+G214+G174+G92+G42,0)</f>
        <v>0</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0</v>
      </c>
    </row>
    <row collapsed="false" customFormat="false" customHeight="false" hidden="true" ht="14" outlineLevel="1" r="251">
      <c r="B251" s="0" t="n">
        <f aca="false">+'bid input'!B16</f>
        <v>1104151</v>
      </c>
      <c r="C251" s="60" t="n">
        <f aca="false">+IF(D251&gt;0,IF(M43&gt;0,F43,0)+IF(M93&gt;0,SUMPRODUCT(G$57:L$57,G93:L93)/M93,0)+E175+IF(M215&gt;0,M$226,0),0)</f>
        <v>0</v>
      </c>
      <c r="D251" s="13" t="n">
        <f aca="false">+M251</f>
        <v>0</v>
      </c>
      <c r="E251" s="17" t="n">
        <f aca="false">'bid input'!M16-D251</f>
        <v>283000</v>
      </c>
      <c r="G251" s="13" t="n">
        <f aca="false">+IF(G$232="NA",+G215+G175+G93+G43,0)</f>
        <v>0</v>
      </c>
      <c r="H251" s="13" t="n">
        <f aca="false">+IF(H$232="NA",+H215+H175+H93+H43,0)</f>
        <v>0</v>
      </c>
      <c r="I251" s="13" t="n">
        <f aca="false">+IF(I$232="NA",+I215+I175+I93+I43,0)</f>
        <v>0</v>
      </c>
      <c r="J251" s="13" t="n">
        <f aca="false">+IF(J$232="NA",+J215+J175+J93+J43,0)</f>
        <v>0</v>
      </c>
      <c r="K251" s="13" t="n">
        <f aca="false">+IF(K$232="NA",+K215+K175+K93+K43,0)</f>
        <v>0</v>
      </c>
      <c r="L251" s="13" t="n">
        <f aca="false">+IF(L$232="NA",+L215+L175+L93+L43,0)</f>
        <v>0</v>
      </c>
      <c r="M251" s="13" t="n">
        <f aca="false">SUM(G251:L251)</f>
        <v>0</v>
      </c>
    </row>
    <row collapsed="false" customFormat="false" customHeight="false" hidden="true" ht="14" outlineLevel="1" r="252">
      <c r="B252" s="0" t="n">
        <f aca="false">+'bid input'!B17</f>
        <v>1104131</v>
      </c>
      <c r="C252" s="60" t="n">
        <f aca="false">+IF(D252&gt;0,IF(M44&gt;0,F44,0)+IF(M94&gt;0,SUMPRODUCT(G$57:L$57,G94:L94)/M94,0)+E176+IF(M216&gt;0,M$226,0),0)</f>
        <v>0.035</v>
      </c>
      <c r="D252" s="13" t="n">
        <f aca="false">+M252</f>
        <v>105080</v>
      </c>
      <c r="E252" s="17" t="n">
        <f aca="false">'bid input'!M17-D252</f>
        <v>492920</v>
      </c>
      <c r="G252" s="13" t="n">
        <f aca="false">+IF(G$232="NA",+G216+G176+G94+G44,0)</f>
        <v>0</v>
      </c>
      <c r="H252" s="13" t="n">
        <f aca="false">+IF(H$232="NA",+H216+H176+H94+H44,0)</f>
        <v>0</v>
      </c>
      <c r="I252" s="13" t="n">
        <f aca="false">+IF(I$232="NA",+I216+I176+I94+I44,0)</f>
        <v>0</v>
      </c>
      <c r="J252" s="13" t="n">
        <f aca="false">+IF(J$232="NA",+J216+J176+J94+J44,0)</f>
        <v>105080</v>
      </c>
      <c r="K252" s="13" t="n">
        <f aca="false">+IF(K$232="NA",+K216+K176+K94+K44,0)</f>
        <v>0</v>
      </c>
      <c r="L252" s="13" t="n">
        <f aca="false">+IF(L$232="NA",+L216+L176+L94+L44,0)</f>
        <v>0</v>
      </c>
      <c r="M252" s="13" t="n">
        <f aca="false">SUM(G252:L252)</f>
        <v>105080</v>
      </c>
    </row>
    <row collapsed="false" customFormat="false" customHeight="false" hidden="true" ht="14" outlineLevel="1" r="253">
      <c r="B253" s="0" t="n">
        <f aca="false">+'bid input'!B18</f>
        <v>1104155</v>
      </c>
      <c r="C253" s="60" t="n">
        <f aca="false">+IF(D253&gt;0,IF(M45&gt;0,F45,0)+IF(M95&gt;0,SUMPRODUCT(G$57:L$57,G95:L95)/M95,0)+E177+IF(M217&gt;0,M$226,0),0)</f>
        <v>0</v>
      </c>
      <c r="D253" s="13" t="n">
        <f aca="false">+M253</f>
        <v>0</v>
      </c>
      <c r="E253" s="17" t="n">
        <f aca="false">'bid input'!M18-D253</f>
        <v>639000</v>
      </c>
      <c r="G253" s="13" t="n">
        <f aca="false">+IF(G$232="NA",+G217+G177+G95+G45,0)</f>
        <v>0</v>
      </c>
      <c r="H253" s="13" t="n">
        <f aca="false">+IF(H$232="NA",+H217+H177+H95+H45,0)</f>
        <v>0</v>
      </c>
      <c r="I253" s="13" t="n">
        <f aca="false">+IF(I$232="NA",+I217+I177+I95+I45,0)</f>
        <v>0</v>
      </c>
      <c r="J253" s="13" t="n">
        <f aca="false">+IF(J$232="NA",+J217+J177+J95+J45,0)</f>
        <v>0</v>
      </c>
      <c r="K253" s="13" t="n">
        <f aca="false">+IF(K$232="NA",+K217+K177+K95+K45,0)</f>
        <v>0</v>
      </c>
      <c r="L253" s="13" t="n">
        <f aca="false">+IF(L$232="NA",+L217+L177+L95+L45,0)</f>
        <v>0</v>
      </c>
      <c r="M253" s="13" t="n">
        <f aca="false">SUM(G253:L253)</f>
        <v>0</v>
      </c>
    </row>
    <row collapsed="false" customFormat="false" customHeight="false" hidden="true" ht="14" outlineLevel="1" r="254">
      <c r="B254" s="0" t="n">
        <f aca="false">+'bid input'!B19</f>
        <v>1104156</v>
      </c>
      <c r="C254" s="60" t="n">
        <f aca="false">+IF(D254&gt;0,IF(M46&gt;0,F46,0)+IF(M96&gt;0,SUMPRODUCT(G$57:L$57,G96:L96)/M96,0)+E178+IF(M218&gt;0,M$226,0),0)</f>
        <v>0</v>
      </c>
      <c r="D254" s="13" t="n">
        <f aca="false">+M254</f>
        <v>0</v>
      </c>
      <c r="E254" s="17" t="n">
        <f aca="false">'bid input'!M19-D254</f>
        <v>274000</v>
      </c>
      <c r="G254" s="13" t="n">
        <f aca="false">+IF(G$232="NA",+G218+G178+G96+G46,0)</f>
        <v>0</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0</v>
      </c>
    </row>
    <row collapsed="false" customFormat="false" customHeight="false" hidden="true" ht="14" outlineLevel="1" r="255">
      <c r="B255" s="0" t="n">
        <f aca="false">+'bid input'!B20</f>
        <v>1104157</v>
      </c>
      <c r="C255" s="60" t="n">
        <f aca="false">+IF(D255&gt;0,IF(M47&gt;0,F47,0)+IF(M97&gt;0,SUMPRODUCT(G$57:L$57,G97:L97)/M97,0)+E179+IF(M219&gt;0,M$226,0),0)</f>
        <v>0</v>
      </c>
      <c r="D255" s="13" t="n">
        <f aca="false">+M255</f>
        <v>0</v>
      </c>
      <c r="E255" s="17" t="n">
        <f aca="false">'bid input'!M20-D255</f>
        <v>629000</v>
      </c>
      <c r="G255" s="13" t="n">
        <f aca="false">+IF(G$232="NA",+G219+G179+G97+G47,0)</f>
        <v>0</v>
      </c>
      <c r="H255" s="13" t="n">
        <f aca="false">+IF(H$232="NA",+H219+H179+H97+H47,0)</f>
        <v>0</v>
      </c>
      <c r="I255" s="13" t="n">
        <f aca="false">+IF(I$232="NA",+I219+I179+I97+I47,0)</f>
        <v>0</v>
      </c>
      <c r="J255" s="13" t="n">
        <f aca="false">+IF(J$232="NA",+J219+J179+J97+J47,0)</f>
        <v>0</v>
      </c>
      <c r="K255" s="13" t="n">
        <f aca="false">+IF(K$232="NA",+K219+K179+K97+K47,0)</f>
        <v>0</v>
      </c>
      <c r="L255" s="13" t="n">
        <f aca="false">+IF(L$232="NA",+L219+L179+L97+L47,0)</f>
        <v>0</v>
      </c>
      <c r="M255" s="13" t="n">
        <f aca="false">SUM(G255:L255)</f>
        <v>0</v>
      </c>
    </row>
    <row collapsed="false" customFormat="false" customHeight="false" hidden="true" ht="14" outlineLevel="1" r="256">
      <c r="B256" s="0" t="n">
        <f aca="false">+'bid input'!B21</f>
        <v>1104158</v>
      </c>
      <c r="C256" s="60" t="n">
        <f aca="false">+IF(D256&gt;0,IF(M48&gt;0,F48,0)+IF(M98&gt;0,SUMPRODUCT(G$57:L$57,G98:L98)/M98,0)+E180+IF(M220&gt;0,M$226,0),0)</f>
        <v>0</v>
      </c>
      <c r="D256" s="13" t="n">
        <f aca="false">+M256</f>
        <v>0</v>
      </c>
      <c r="E256" s="17" t="n">
        <f aca="false">'bid input'!M21-D256</f>
        <v>562000</v>
      </c>
      <c r="G256" s="13" t="n">
        <f aca="false">+IF(G$232="NA",+G220+G180+G98+G48,0)</f>
        <v>0</v>
      </c>
      <c r="H256" s="13" t="n">
        <f aca="false">+IF(H$232="NA",+H220+H180+H98+H48,0)</f>
        <v>0</v>
      </c>
      <c r="I256" s="13" t="n">
        <f aca="false">+IF(I$232="NA",+I220+I180+I98+I48,0)</f>
        <v>0</v>
      </c>
      <c r="J256" s="13" t="n">
        <f aca="false">+IF(J$232="NA",+J220+J180+J98+J48,0)</f>
        <v>0</v>
      </c>
      <c r="K256" s="13" t="n">
        <f aca="false">+IF(K$232="NA",+K220+K180+K98+K48,0)</f>
        <v>0</v>
      </c>
      <c r="L256" s="13" t="n">
        <f aca="false">+IF(L$232="NA",+L220+L180+L98+L48,0)</f>
        <v>0</v>
      </c>
      <c r="M256" s="13" t="n">
        <f aca="false">SUM(G256:L256)</f>
        <v>0</v>
      </c>
    </row>
    <row collapsed="false" customFormat="false" customHeight="false" hidden="false" ht="14.9" outlineLevel="0" r="257">
      <c r="B257" s="2" t="s">
        <v>82</v>
      </c>
      <c r="C257" s="60" t="n">
        <f aca="false">+SUMPRODUCT(C237:C256,M237:M256)/M257</f>
        <v>0.035</v>
      </c>
      <c r="D257" s="13" t="n">
        <f aca="false">SUM(D237:D256)</f>
        <v>525400</v>
      </c>
      <c r="E257" s="17"/>
      <c r="G257" s="13" t="n">
        <f aca="false">SUM(G237:G256)</f>
        <v>0</v>
      </c>
      <c r="H257" s="13" t="n">
        <f aca="false">SUM(H237:H256)</f>
        <v>0</v>
      </c>
      <c r="I257" s="13" t="n">
        <f aca="false">SUM(I237:I256)</f>
        <v>0</v>
      </c>
      <c r="J257" s="13" t="n">
        <f aca="false">SUM(J237:J256)</f>
        <v>525400</v>
      </c>
      <c r="K257" s="13" t="n">
        <f aca="false">SUM(K237:K256)</f>
        <v>0</v>
      </c>
      <c r="L257" s="13" t="n">
        <f aca="false">SUM(L237:L256)</f>
        <v>0</v>
      </c>
      <c r="M257" s="13" t="n">
        <f aca="false">SUM(G257:L257)</f>
        <v>525400</v>
      </c>
    </row>
    <row collapsed="false" customFormat="false" customHeight="false" hidden="false" ht="14" outlineLevel="0" r="258">
      <c r="C258" s="60"/>
    </row>
    <row collapsed="false" customFormat="false" customHeight="false" hidden="false" ht="14" outlineLevel="0" r="259">
      <c r="B259" s="0" t="s">
        <v>83</v>
      </c>
      <c r="C259" s="18" t="n">
        <v>0.01</v>
      </c>
    </row>
    <row collapsed="false" customFormat="false" customHeight="false" hidden="false" ht="14" outlineLevel="0" r="261">
      <c r="B261" s="0" t="s">
        <v>84</v>
      </c>
      <c r="C261" s="18" t="inlineStr">
        <f aca="false">+C259+C257</f>
        <is>
          <t/>
        </is>
      </c>
      <c r="G261" s="60" t="n">
        <f aca="false">+IF(G232="NA",G229+$C$259,0)</f>
        <v>0</v>
      </c>
      <c r="H261" s="60" t="n">
        <f aca="false">+IF(H232="NA",H229+$C$259,0)</f>
        <v>0</v>
      </c>
      <c r="I261" s="60" t="n">
        <f aca="false">+IF(I232="NA",I229+$C$259,0)</f>
        <v>0</v>
      </c>
      <c r="J261" s="60" t="inlineStr">
        <f aca="false">+IF(J232="NA",J229+$C$259,0)</f>
        <is>
          <t/>
        </is>
      </c>
      <c r="K261" s="60" t="n">
        <f aca="false">+IF(K232="NA",K229+$C$259,0)</f>
        <v>0</v>
      </c>
      <c r="L261" s="60" t="n">
        <f aca="false">+IF(L232="NA",L229+$C$259,0)</f>
        <v>0</v>
      </c>
      <c r="M261" s="60" t="n">
        <f aca="false">+SUMPRODUCT(G257:L257,G261:L261)/M257</f>
        <v>0.045</v>
      </c>
    </row>
    <row collapsed="false" customFormat="false" customHeight="false" hidden="false" ht="14" outlineLevel="0" r="262">
      <c r="G262" s="68" t="str">
        <f aca="false">+IF(G261=0, "NOT FUNDED","")</f>
        <v>NOT FUNDED</v>
      </c>
      <c r="H262" s="68" t="str">
        <f aca="false">+IF(H261=0, "NOT FUNDED","")</f>
        <v>NOT FUNDED</v>
      </c>
      <c r="I262" s="68" t="str">
        <f aca="false">+IF(I261=0, "NOT FUNDED","")</f>
        <v>NOT FUNDED</v>
      </c>
      <c r="J262" s="68" t="str">
        <f aca="false">+IF(J261=0, "NOT FUNDED","")</f>
        <v/>
      </c>
      <c r="K262" s="68" t="str">
        <f aca="false">+IF(K261=0, "NOT FUNDED","")</f>
        <v>NOT FUNDED</v>
      </c>
      <c r="L262" s="68" t="str">
        <f aca="false">+IF(L261=0,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LibreOffice_project/340m1$Build-502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