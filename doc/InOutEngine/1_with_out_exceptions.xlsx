
<file path=[Content_Types].xml><?xml version="1.0" encoding="utf-8"?>
<Types xmlns="http://schemas.openxmlformats.org/package/2006/content-types">
  <Override PartName="/_rels/.rels" ContentType="application/vnd.openxmlformats-package.relationship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sharedStrings.xml" ContentType="application/vnd.openxmlformats-officedocument.spreadsheetml.sharedStrings+xml"/>
  <Override PartName="/xl/workbook.xml" ContentType="application/vnd.openxmlformats-officedocument.spreadsheetml.sheet.main+xml"/>
  <Override PartName="/xl/styles.xml" ContentType="application/vnd.openxmlformats-officedocument.spreadsheetml.style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G17">
      <text>
        <r>
          <rPr>
            <rFont val="Tahoma"/>
            <charset val="1"/>
            <family val="2"/>
            <b val="true"/>
            <color rgb="00000000"/>
            <sz val="8"/>
          </rPr>
          <t xml:space="preserve">duHadway:
</t>
        </r>
        <r>
          <rPr>
            <rFont val="Tahoma"/>
            <charset val="1"/>
            <family val="2"/>
            <color rgb="00000000"/>
            <sz val="8"/>
          </rPr>
          <t xml:space="preserve">manually reduce allotment.  While the highest rate, the later bid was killed resulting a residual over allotment which requires this bid to be reduced in allotment.</t>
        </r>
      </text>
    </comment>
    <comment authorId="0" ref="G22">
      <text>
        <r>
          <rPr>
            <rFont val="Tahoma"/>
            <charset val="1"/>
            <family val="2"/>
            <b val="true"/>
            <color rgb="00000000"/>
            <sz val="8"/>
          </rPr>
          <t xml:space="preserve">duHadway:
</t>
        </r>
        <r>
          <rPr>
            <rFont val="Tahoma"/>
            <charset val="1"/>
            <family val="2"/>
            <color rgb="00000000"/>
            <sz val="8"/>
          </rPr>
          <t xml:space="preserve">manually kill higest rate to reach equilibrium.  Since a tie in rate, goes to LIFO method</t>
        </r>
      </text>
    </comment>
    <comment authorId="0" ref="K26">
      <text>
        <r>
          <rPr>
            <rFont val="Tahoma"/>
            <charset val="1"/>
            <family val="2"/>
            <b val="true"/>
            <color rgb="00000000"/>
            <sz val="8"/>
          </rPr>
          <t xml:space="preserve">duHadway:
</t>
        </r>
        <r>
          <rPr>
            <rFont val="Tahoma"/>
            <charset val="1"/>
            <family val="2"/>
            <color rgb="00000000"/>
            <sz val="8"/>
          </rPr>
          <t xml:space="preserve">manually killed highest rate to get to equilibrium.</t>
        </r>
      </text>
    </commen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<sst xmlns="http://schemas.openxmlformats.org/spreadsheetml/2006/main" count="198" uniqueCount="84">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</sst>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pane activePane="topLeft" topLeftCell="A1" xSplit="0" ySplit="-1"/>
      <selection activeCell="C2" activeCellId="0" pane="topLeft" sqref="C2"/>
      <selection activeCell="A1" activeCellId="0" pane="bottomLeft" sqref="A1"/>
    </sheetView>
  </sheetViews>
  <cols>
    <col collapsed="false" hidden="false" max="1" min="1" style="0" width="11.4588235294118"/>
    <col collapsed="false" hidden="false" max="3" min="2" style="0" width="8.88235294117647"/>
    <col collapsed="false" hidden="false" max="4" min="4" style="0" width="15.3294117647059"/>
    <col collapsed="false" hidden="false" max="8" min="5" style="0" width="8.88235294117647"/>
    <col collapsed="false" hidden="false" max="9" min="9" style="0" width="15.4745098039216"/>
    <col collapsed="false" hidden="false" max="10" min="10" style="0" width="15.9019607843137"/>
    <col collapsed="false" hidden="false" max="11" min="11" style="0" width="13.321568627451"/>
    <col collapsed="false" hidden="false" max="12" min="12" style="0" width="9.73725490196078"/>
    <col collapsed="false" hidden="false" max="13" min="13" style="0" width="16.8980392156863"/>
    <col collapsed="false" hidden="false" max="14" min="14" style="0" width="17.0509803921569"/>
    <col collapsed="false" hidden="false" max="16" min="15" style="0" width="9.45882352941177"/>
    <col collapsed="false" hidden="false" max="18" min="17" style="0" width="8.88235294117647"/>
    <col collapsed="false" hidden="false" max="19" min="19" style="1" width="10.8823529411765"/>
    <col collapsed="false" hidden="false" max="20" min="20" style="0" width="12.0313725490196"/>
    <col collapsed="false" hidden="false" max="1025" min="21" style="0" width="8.8823529411764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t="n">
        <v>0.03</v>
      </c>
      <c r="L2" s="5" t="s">
        <v>21</v>
      </c>
      <c r="M2" s="6" t="n">
        <v>187500</v>
      </c>
      <c r="N2" s="9" t="n">
        <v>40892.5370949074</v>
      </c>
      <c r="O2" s="10" t="n">
        <f aca="false">+IF(AND(C2="Specified",J2="Competitive"),1,0)</f>
        <v>1</v>
      </c>
      <c r="P2" s="10" t="n">
        <f aca="false">+IF(AND(C2="Specified",J2="Noncompetitive"),1,0)</f>
        <v>0</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0.2</v>
      </c>
      <c r="G3" s="5" t="s">
        <v>22</v>
      </c>
      <c r="H3" s="5"/>
      <c r="I3" s="5" t="s">
        <v>23</v>
      </c>
      <c r="J3" s="5" t="s">
        <v>20</v>
      </c>
      <c r="K3" s="8" t="n">
        <v>0.03125</v>
      </c>
      <c r="L3" s="5" t="s">
        <v>21</v>
      </c>
      <c r="M3" s="6" t="n">
        <v>500000</v>
      </c>
      <c r="N3" s="9" t="n">
        <v>40897.3636342593</v>
      </c>
      <c r="O3" s="10" t="n">
        <f aca="false">+IF(AND(C3="Specified",J3="Competitive"),1,0)</f>
        <v>1</v>
      </c>
      <c r="P3" s="10" t="n">
        <f aca="false">+IF(AND(C3="Specified",J3="Noncompetitive"),1,0)</f>
        <v>0</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0.2</v>
      </c>
      <c r="G4" s="5" t="s">
        <v>19</v>
      </c>
      <c r="H4" s="5" t="n">
        <v>2</v>
      </c>
      <c r="I4" s="5"/>
      <c r="J4" s="5" t="s">
        <v>20</v>
      </c>
      <c r="K4" s="8" t="n">
        <v>0.03</v>
      </c>
      <c r="L4" s="5" t="s">
        <v>21</v>
      </c>
      <c r="M4" s="6" t="n">
        <v>185000</v>
      </c>
      <c r="N4" s="9" t="n">
        <v>40913.3866666667</v>
      </c>
      <c r="O4" s="10" t="n">
        <f aca="false">+IF(AND(C4="Specified",J4="Competitive"),1,0)</f>
        <v>1</v>
      </c>
      <c r="P4" s="10" t="n">
        <f aca="false">+IF(AND(C4="Specified",J4="Noncompetitive"),1,0)</f>
        <v>0</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22</v>
      </c>
      <c r="H5" s="5"/>
      <c r="I5" s="5" t="s">
        <v>24</v>
      </c>
      <c r="J5" s="5" t="s">
        <v>20</v>
      </c>
      <c r="K5" s="8" t="n">
        <v>0.03</v>
      </c>
      <c r="L5" s="5" t="s">
        <v>21</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t="n">
        <v>0.06</v>
      </c>
      <c r="L6" s="5" t="s">
        <v>25</v>
      </c>
      <c r="M6" s="6" t="n">
        <v>860000</v>
      </c>
      <c r="N6" s="9"/>
      <c r="O6" s="10" t="n">
        <f aca="false">+IF(AND(C6="Specified",J6="Competitive"),1,0)</f>
        <v>1</v>
      </c>
      <c r="P6" s="10" t="n">
        <f aca="false">+IF(AND(C6="Specified",J6="Noncompetitive"),1,0)</f>
        <v>0</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t="n">
        <v>0.02125</v>
      </c>
      <c r="L7" s="5" t="s">
        <v>25</v>
      </c>
      <c r="M7" s="6" t="n">
        <v>300000</v>
      </c>
      <c r="N7" s="9"/>
      <c r="O7" s="10" t="n">
        <f aca="false">+IF(AND(C7="Specified",J7="Competitive"),1,0)</f>
        <v>1</v>
      </c>
      <c r="P7" s="10" t="n">
        <f aca="false">+IF(AND(C7="Specified",J7="Noncompetitive"),1,0)</f>
        <v>0</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t="n">
        <v>0.0225</v>
      </c>
      <c r="L8" s="5" t="s">
        <v>25</v>
      </c>
      <c r="M8" s="6" t="n">
        <v>250000</v>
      </c>
      <c r="N8" s="9"/>
      <c r="O8" s="10" t="n">
        <f aca="false">+IF(AND(C8="Specified",J8="Competitive"),1,0)</f>
        <v>1</v>
      </c>
      <c r="P8" s="10" t="n">
        <f aca="false">+IF(AND(C8="Specified",J8="Noncompetitive"),1,0)</f>
        <v>0</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t="n">
        <v>0.025</v>
      </c>
      <c r="L9" s="5" t="s">
        <v>25</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t="n">
        <v>0.025</v>
      </c>
      <c r="L10" s="5" t="s">
        <v>25</v>
      </c>
      <c r="M10" s="6" t="n">
        <v>285000</v>
      </c>
      <c r="N10" s="9"/>
      <c r="O10" s="10" t="n">
        <f aca="false">+IF(AND(C10="Specified",J10="Competitive"),1,0)</f>
        <v>1</v>
      </c>
      <c r="P10" s="10" t="n">
        <f aca="false">+IF(AND(C10="Specified",J10="Noncompetitive"),1,0)</f>
        <v>0</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t="n">
        <v>0.035</v>
      </c>
      <c r="L11" s="5" t="s">
        <v>25</v>
      </c>
      <c r="M11" s="6" t="n">
        <v>532000</v>
      </c>
      <c r="N11" s="9"/>
      <c r="O11" s="10" t="n">
        <f aca="false">+IF(AND(C11="Specified",J11="Competitive"),1,0)</f>
        <v>1</v>
      </c>
      <c r="P11" s="10" t="n">
        <f aca="false">+IF(AND(C11="Specified",J11="Noncompetitive"),1,0)</f>
        <v>0</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t="n">
        <v>0.0375</v>
      </c>
      <c r="L12" s="5" t="s">
        <v>25</v>
      </c>
      <c r="M12" s="6" t="n">
        <v>292000</v>
      </c>
      <c r="N12" s="9"/>
      <c r="O12" s="10" t="n">
        <f aca="false">+IF(AND(C12="Specified",J12="Competitive"),1,0)</f>
        <v>1</v>
      </c>
      <c r="P12" s="10" t="n">
        <f aca="false">+IF(AND(C12="Specified",J12="Noncompetitive"),1,0)</f>
        <v>0</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t="n">
        <v>0.015</v>
      </c>
      <c r="L13" s="5" t="s">
        <v>25</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t="n">
        <v>0.04</v>
      </c>
      <c r="L14" s="5" t="s">
        <v>25</v>
      </c>
      <c r="M14" s="6" t="n">
        <v>418000</v>
      </c>
      <c r="N14" s="9"/>
      <c r="O14" s="10" t="n">
        <f aca="false">+IF(AND(C14="Specified",J14="Competitive"),1,0)</f>
        <v>1</v>
      </c>
      <c r="P14" s="10" t="n">
        <f aca="false">+IF(AND(C14="Specified",J14="Noncompetitive"),1,0)</f>
        <v>0</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t="n">
        <v>0.03625</v>
      </c>
      <c r="L15" s="5" t="s">
        <v>25</v>
      </c>
      <c r="M15" s="6" t="n">
        <v>47000</v>
      </c>
      <c r="N15" s="9"/>
      <c r="O15" s="10" t="n">
        <f aca="false">+IF(AND(C15="Specified",J15="Competitive"),1,0)</f>
        <v>1</v>
      </c>
      <c r="P15" s="10" t="n">
        <f aca="false">+IF(AND(C15="Specified",J15="Noncompetitive"),1,0)</f>
        <v>0</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t="n">
        <v>0.035</v>
      </c>
      <c r="L16" s="5" t="s">
        <v>25</v>
      </c>
      <c r="M16" s="6" t="n">
        <v>283000</v>
      </c>
      <c r="N16" s="9"/>
      <c r="O16" s="10" t="n">
        <f aca="false">+IF(AND(C16="Specified",J16="Competitive"),1,0)</f>
        <v>1</v>
      </c>
      <c r="P16" s="10" t="n">
        <f aca="false">+IF(AND(C16="Specified",J16="Noncompetitive"),1,0)</f>
        <v>0</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t="n">
        <v>0.03375</v>
      </c>
      <c r="L17" s="5" t="s">
        <v>25</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t="n">
        <v>0.02125</v>
      </c>
      <c r="L18" s="5" t="s">
        <v>25</v>
      </c>
      <c r="M18" s="6" t="n">
        <v>639000</v>
      </c>
      <c r="N18" s="9"/>
      <c r="O18" s="10" t="n">
        <f aca="false">+IF(AND(C18="Specified",J18="Competitive"),1,0)</f>
        <v>1</v>
      </c>
      <c r="P18" s="10" t="n">
        <f aca="false">+IF(AND(C18="Specified",J18="Noncompetitive"),1,0)</f>
        <v>0</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t="n">
        <v>0.02875</v>
      </c>
      <c r="L19" s="5" t="s">
        <v>25</v>
      </c>
      <c r="M19" s="6" t="n">
        <v>274000</v>
      </c>
      <c r="N19" s="9"/>
      <c r="O19" s="10" t="n">
        <f aca="false">+IF(AND(C19="Specified",J19="Competitive"),1,0)</f>
        <v>1</v>
      </c>
      <c r="P19" s="10" t="n">
        <f aca="false">+IF(AND(C19="Specified",J19="Noncompetitive"),1,0)</f>
        <v>0</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t="n">
        <v>0.025</v>
      </c>
      <c r="L20" s="5" t="s">
        <v>25</v>
      </c>
      <c r="M20" s="6" t="n">
        <v>629000</v>
      </c>
      <c r="N20" s="9"/>
      <c r="O20" s="10" t="n">
        <f aca="false">+IF(AND(C20="Specified",J20="Competitive"),1,0)</f>
        <v>1</v>
      </c>
      <c r="P20" s="10" t="n">
        <f aca="false">+IF(AND(C20="Specified",J20="Noncompetitive"),1,0)</f>
        <v>0</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t="n">
        <v>0.0225</v>
      </c>
      <c r="L21" s="5" t="s">
        <v>25</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pane activePane="topLeft" topLeftCell="A1" xSplit="0" ySplit="-1"/>
      <selection activeCell="G22" activeCellId="0" pane="topLeft" sqref="G22"/>
      <selection activeCell="A1" activeCellId="0" pane="bottomLeft" sqref="A1"/>
    </sheetView>
  </sheetViews>
  <cols>
    <col collapsed="false" hidden="false" max="1" min="1" style="0" width="8.88235294117647"/>
    <col collapsed="false" hidden="false" max="2" min="2" style="0" width="12.8901960784314"/>
    <col collapsed="false" hidden="false" max="3" min="3" style="0" width="14.8980392156863"/>
    <col collapsed="false" hidden="true" max="6" min="4" style="0" width="0"/>
    <col collapsed="false" hidden="false" max="7" min="7" style="0" width="13.4666666666667"/>
    <col collapsed="false" hidden="false" max="9" min="8" style="0" width="15.043137254902"/>
    <col collapsed="false" hidden="false" max="10" min="10" style="0" width="19.1921568627451"/>
    <col collapsed="false" hidden="false" max="11" min="11" style="0" width="14.8980392156863"/>
    <col collapsed="false" hidden="false" max="12" min="12" style="0" width="13.8941176470588"/>
    <col collapsed="false" hidden="false" max="13" min="13" style="0" width="14.3254901960784"/>
    <col collapsed="false" hidden="false" max="14" min="14" style="0" width="8.88235294117647"/>
    <col collapsed="false" hidden="false" max="15" min="15" style="0" width="8.16078431372549"/>
    <col collapsed="false" hidden="false" max="16" min="16" style="0" width="17.4745098039216"/>
    <col collapsed="false" hidden="false" max="17" min="17" style="0" width="15.9019607843137"/>
    <col collapsed="false" hidden="false" max="18" min="18" style="0" width="12.1764705882353"/>
    <col collapsed="false" hidden="false" max="1025" min="19" style="0" width="8.88235294117647"/>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false" ht="28.35" outlineLevel="1" r="7">
      <c r="B7" s="15" t="s">
        <v>33</v>
      </c>
      <c r="C7" s="15" t="s">
        <v>34</v>
      </c>
      <c r="D7" s="15" t="s">
        <v>22</v>
      </c>
      <c r="E7" s="16" t="s">
        <v>35</v>
      </c>
      <c r="F7" s="15" t="s">
        <v>36</v>
      </c>
      <c r="K7" s="14"/>
    </row>
    <row collapsed="false" customFormat="false" customHeight="false" hidden="false" ht="14" outlineLevel="1" r="8">
      <c r="B8" s="10" t="n">
        <f aca="false">+'bid input'!B2</f>
        <v>1104134</v>
      </c>
      <c r="C8" s="17" t="n">
        <f aca="false">+'bid input'!H2</f>
        <v>1</v>
      </c>
      <c r="D8" s="10" t="n">
        <f aca="false">+'bid input'!I2</f>
        <v>0</v>
      </c>
      <c r="E8" s="18" t="str">
        <f aca="false">+IF('bid input'!O2=1,"Y","N")</f>
        <v>Y</v>
      </c>
      <c r="F8" s="19" t="inlineStr">
        <f aca="false">+'bid input'!K2</f>
        <is>
          <t/>
        </is>
      </c>
      <c r="G8" s="14" t="n">
        <f aca="false">+IF(AND($E8="Y",$C8=G$2,$C8&gt;0),'bid input'!$F2,IF(AND($E8="Y",$D8=G$3,$C8=0),'bid input'!$F2,0))*G$4</f>
        <v>63745</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63745</v>
      </c>
    </row>
    <row collapsed="false" customFormat="false" customHeight="false" hidden="false" ht="14" outlineLevel="1" r="9">
      <c r="B9" s="10" t="n">
        <f aca="false">+'bid input'!B3</f>
        <v>1104143</v>
      </c>
      <c r="C9" s="17" t="n">
        <f aca="false">+'bid input'!H3</f>
        <v>0</v>
      </c>
      <c r="D9" s="0" t="str">
        <f aca="false">+'bid input'!I3</f>
        <v>ABC Mortgage</v>
      </c>
      <c r="E9" s="18" t="str">
        <f aca="false">+IF('bid input'!O3=1,"Y","N")</f>
        <v>Y</v>
      </c>
      <c r="F9" s="19" t="inlineStr">
        <f aca="false">+'bid input'!K3</f>
        <is>
          <t/>
        </is>
      </c>
      <c r="G9" s="14" t="n">
        <f aca="false">+IF(AND($E9="Y",$C9=G$2,$C9&gt;0),'bid input'!$F3,IF(AND($E9="Y",$D9=G$3,$C9=0),'bid input'!$F3,0))*G$4</f>
        <v>63745</v>
      </c>
      <c r="H9" s="14" t="n">
        <f aca="false">+IF(AND($E9="Y",$C9=H$2,$C9&gt;0),'bid input'!$F3,IF(AND($E9="Y",$D9=H$3,$C9=0),'bid input'!$F3,0))*H$4</f>
        <v>75137</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138882</v>
      </c>
    </row>
    <row collapsed="false" customFormat="false" customHeight="false" hidden="false" ht="14" outlineLevel="1" r="10">
      <c r="B10" s="10" t="n">
        <f aca="false">+'bid input'!B4</f>
        <v>1104154</v>
      </c>
      <c r="C10" s="17" t="n">
        <f aca="false">+'bid input'!H4</f>
        <v>2</v>
      </c>
      <c r="D10" s="10" t="n">
        <f aca="false">+'bid input'!I4</f>
        <v>0</v>
      </c>
      <c r="E10" s="18" t="str">
        <f aca="false">+IF('bid input'!O4=1,"Y","N")</f>
        <v>Y</v>
      </c>
      <c r="F10" s="19" t="inlineStr">
        <f aca="false">+'bid input'!K4</f>
        <is>
          <t/>
        </is>
      </c>
      <c r="G10" s="14" t="n">
        <f aca="false">+IF(AND($E10="Y",$C10=G$2,$C10&gt;0),'bid input'!$F4,IF(AND($E10="Y",$D10=G$3,$C10=0),'bid input'!$F4,0))*G$4</f>
        <v>0</v>
      </c>
      <c r="H10" s="14" t="n">
        <f aca="false">+IF(AND($E10="Y",$C10=H$2,$C10&gt;0),'bid input'!$F4,IF(AND($E10="Y",$D10=H$3,$C10=0),'bid input'!$F4,0))*H$4</f>
        <v>75137</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75137</v>
      </c>
    </row>
    <row collapsed="false" customFormat="false" customHeight="false" hidden="false" ht="14" outlineLevel="1" r="11">
      <c r="B11" s="10" t="n">
        <f aca="false">+'bid input'!B5</f>
        <v>1104152</v>
      </c>
      <c r="C11" s="17" t="n">
        <f aca="false">+'bid input'!H5</f>
        <v>0</v>
      </c>
      <c r="D11" s="0" t="str">
        <f aca="false">+'bid input'!I5</f>
        <v>Prime Lending</v>
      </c>
      <c r="E11" s="18" t="str">
        <f aca="false">+IF('bid input'!O5=1,"Y","N")</f>
        <v>Y</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95975</v>
      </c>
      <c r="J11" s="14" t="n">
        <f aca="false">+IF(AND($E11="Y",$C11=J$2,$C11&gt;0),'bid input'!$F5,IF(AND($E11="Y",$D11=J$3,$C11=0),'bid input'!$F5,0))*J$4</f>
        <v>105080</v>
      </c>
      <c r="K11" s="14" t="n">
        <f aca="false">+IF(AND($E11="Y",$C11=K$2,$C11&gt;0),'bid input'!$F5,IF(AND($E11="Y",$D11=K$3,$C11=0),'bid input'!$F5,0))*K$4</f>
        <v>0</v>
      </c>
      <c r="L11" s="14" t="n">
        <f aca="false">+IF(AND($E11="Y",$C11=L$2,$C11&gt;0),'bid input'!$F5,IF(AND($E11="Y",$D11=L$3,$C11=0),'bid input'!$F5,0))*L$4</f>
        <v>0</v>
      </c>
      <c r="M11" s="14" t="n">
        <f aca="false">SUM(G11:L11)</f>
        <v>201055</v>
      </c>
    </row>
    <row collapsed="false" customFormat="false" customHeight="false" hidden="false" ht="14" outlineLevel="1" r="12">
      <c r="B12" s="10" t="n">
        <f aca="false">+'bid input'!B6</f>
        <v>1104136</v>
      </c>
      <c r="C12" s="17" t="n">
        <f aca="false">+'bid input'!H6</f>
        <v>4</v>
      </c>
      <c r="D12" s="10" t="n">
        <f aca="false">+'bid input'!I6</f>
        <v>0</v>
      </c>
      <c r="E12" s="18" t="str">
        <f aca="false">+IF('bid input'!O6=1,"Y","N")</f>
        <v>Y</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105080</v>
      </c>
      <c r="K12" s="14" t="n">
        <f aca="false">+IF(AND($E12="Y",$C12=K$2,$C12&gt;0),'bid input'!$F6,IF(AND($E12="Y",$D12=K$3,$C12=0),'bid input'!$F6,0))*K$4</f>
        <v>0</v>
      </c>
      <c r="L12" s="14" t="n">
        <f aca="false">+IF(AND($E12="Y",$C12=L$2,$C12&gt;0),'bid input'!$F6,IF(AND($E12="Y",$D12=L$3,$C12=0),'bid input'!$F6,0))*L$4</f>
        <v>0</v>
      </c>
      <c r="M12" s="14" t="n">
        <f aca="false">SUM(G12:L12)</f>
        <v>105080</v>
      </c>
    </row>
    <row collapsed="false" customFormat="false" customHeight="false" hidden="false" ht="14" outlineLevel="1" r="13">
      <c r="B13" s="10" t="n">
        <f aca="false">+'bid input'!B7</f>
        <v>1104138</v>
      </c>
      <c r="C13" s="17" t="n">
        <f aca="false">+'bid input'!H7</f>
        <v>0</v>
      </c>
      <c r="D13" s="0" t="str">
        <f aca="false">+'bid input'!I7</f>
        <v>Best Loans Inc</v>
      </c>
      <c r="E13" s="18" t="str">
        <f aca="false">+IF('bid input'!O7=1,"Y","N")</f>
        <v>Y</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103085</v>
      </c>
      <c r="L13" s="14" t="n">
        <f aca="false">+IF(AND($E13="Y",$C13=L$2,$C13&gt;0),'bid input'!$F7,IF(AND($E13="Y",$D13=L$3,$C13=0),'bid input'!$F7,0))*L$4</f>
        <v>0</v>
      </c>
      <c r="M13" s="14" t="n">
        <f aca="false">SUM(G13:L13)</f>
        <v>103085</v>
      </c>
    </row>
    <row collapsed="false" customFormat="false" customHeight="false" hidden="false" ht="14" outlineLevel="1" r="14">
      <c r="B14" s="10" t="n">
        <f aca="false">+'bid input'!B8</f>
        <v>1104139</v>
      </c>
      <c r="C14" s="17" t="n">
        <f aca="false">+'bid input'!H8</f>
        <v>1</v>
      </c>
      <c r="D14" s="10" t="n">
        <f aca="false">+'bid input'!I8</f>
        <v>0</v>
      </c>
      <c r="E14" s="18" t="str">
        <f aca="false">+IF('bid input'!O8=1,"Y","N")</f>
        <v>Y</v>
      </c>
      <c r="F14" s="19" t="inlineStr">
        <f aca="false">+'bid input'!K8</f>
        <is>
          <t/>
        </is>
      </c>
      <c r="G14" s="14" t="n">
        <f aca="false">+IF(AND($E14="Y",$C14=G$2,$C14&gt;0),'bid input'!$F8,IF(AND($E14="Y",$D14=G$3,$C14=0),'bid input'!$F8,0))*G$4</f>
        <v>63745</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63745</v>
      </c>
    </row>
    <row collapsed="false" customFormat="false" customHeight="false" hidden="false" ht="14" outlineLevel="1" r="15">
      <c r="B15" s="10" t="n">
        <f aca="false">+'bid input'!B9</f>
        <v>1104140</v>
      </c>
      <c r="C15" s="17" t="n">
        <f aca="false">+'bid input'!H9</f>
        <v>5</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103085</v>
      </c>
      <c r="L15" s="14" t="n">
        <f aca="false">+IF(AND($E15="Y",$C15=L$2,$C15&gt;0),'bid input'!$F9,IF(AND($E15="Y",$D15=L$3,$C15=0),'bid input'!$F9,0))*L$4</f>
        <v>0</v>
      </c>
      <c r="M15" s="14" t="n">
        <f aca="false">SUM(G15:L15)</f>
        <v>103085</v>
      </c>
    </row>
    <row collapsed="false" customFormat="false" customHeight="false" hidden="false" ht="14" outlineLevel="1" r="16">
      <c r="B16" s="10" t="n">
        <f aca="false">+'bid input'!B10</f>
        <v>1104141</v>
      </c>
      <c r="C16" s="17" t="n">
        <f aca="false">+'bid input'!H10</f>
        <v>5</v>
      </c>
      <c r="D16" s="10" t="n">
        <f aca="false">+'bid input'!I10</f>
        <v>0</v>
      </c>
      <c r="E16" s="18" t="str">
        <f aca="false">+IF('bid input'!O10=1,"Y","N")</f>
        <v>Y</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103085</v>
      </c>
      <c r="L16" s="14" t="n">
        <f aca="false">+IF(AND($E16="Y",$C16=L$2,$C16&gt;0),'bid input'!$F10,IF(AND($E16="Y",$D16=L$3,$C16=0),'bid input'!$F10,0))*L$4</f>
        <v>0</v>
      </c>
      <c r="M16" s="14" t="n">
        <f aca="false">SUM(G16:L16)</f>
        <v>103085</v>
      </c>
    </row>
    <row collapsed="false" customFormat="false" customHeight="false" hidden="false" ht="14" outlineLevel="1" r="17">
      <c r="B17" s="10" t="n">
        <f aca="false">+'bid input'!B11</f>
        <v>1104159</v>
      </c>
      <c r="C17" s="17" t="n">
        <f aca="false">+'bid input'!H11</f>
        <v>1</v>
      </c>
      <c r="D17" s="10" t="n">
        <f aca="false">+'bid input'!I11</f>
        <v>0</v>
      </c>
      <c r="E17" s="18" t="str">
        <f aca="false">+IF('bid input'!O11=1,"Y","N")</f>
        <v>Y</v>
      </c>
      <c r="F17" s="19" t="inlineStr">
        <f aca="false">+'bid input'!K11</f>
        <is>
          <t/>
        </is>
      </c>
      <c r="G17" s="14" t="n">
        <f aca="false">+IF(AND($E17="Y",$C17=G$2,$C17&gt;0),'bid input'!$F11,IF(AND($E17="Y",$D17=G$3,$C17=0),'bid input'!$F11,0))*G$4</f>
        <v>63745</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63745</v>
      </c>
    </row>
    <row collapsed="false" customFormat="false" customHeight="false" hidden="false" ht="14" outlineLevel="1" r="18">
      <c r="B18" s="10" t="n">
        <f aca="false">+'bid input'!B12</f>
        <v>1104161</v>
      </c>
      <c r="C18" s="17" t="n">
        <f aca="false">+'bid input'!H12</f>
        <v>4</v>
      </c>
      <c r="D18" s="10" t="n">
        <f aca="false">+'bid input'!I12</f>
        <v>0</v>
      </c>
      <c r="E18" s="18" t="str">
        <f aca="false">+IF('bid input'!O12=1,"Y","N")</f>
        <v>Y</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105080</v>
      </c>
      <c r="K18" s="14" t="n">
        <f aca="false">+IF(AND($E18="Y",$C18=K$2,$C18&gt;0),'bid input'!$F12,IF(AND($E18="Y",$D18=K$3,$C18=0),'bid input'!$F12,0))*K$4</f>
        <v>0</v>
      </c>
      <c r="L18" s="14" t="n">
        <f aca="false">+IF(AND($E18="Y",$C18=L$2,$C18&gt;0),'bid input'!$F12,IF(AND($E18="Y",$D18=L$3,$C18=0),'bid input'!$F12,0))*L$4</f>
        <v>0</v>
      </c>
      <c r="M18" s="14" t="n">
        <f aca="false">SUM(G18:L18)</f>
        <v>105080</v>
      </c>
    </row>
    <row collapsed="false" customFormat="false" customHeight="false" hidden="fals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false" ht="14" outlineLevel="1" r="20">
      <c r="B20" s="10" t="n">
        <f aca="false">+'bid input'!B14</f>
        <v>1104133</v>
      </c>
      <c r="C20" s="17" t="n">
        <f aca="false">+'bid input'!H14</f>
        <v>4</v>
      </c>
      <c r="D20" s="10" t="n">
        <f aca="false">+'bid input'!I14</f>
        <v>0</v>
      </c>
      <c r="E20" s="18" t="str">
        <f aca="false">+IF('bid input'!O14=1,"Y","N")</f>
        <v>Y</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105080</v>
      </c>
      <c r="K20" s="14" t="n">
        <f aca="false">+IF(AND($E20="Y",$C20=K$2,$C20&gt;0),'bid input'!$F14,IF(AND($E20="Y",$D20=K$3,$C20=0),'bid input'!$F14,0))*K$4</f>
        <v>0</v>
      </c>
      <c r="L20" s="14" t="n">
        <f aca="false">+IF(AND($E20="Y",$C20=L$2,$C20&gt;0),'bid input'!$F14,IF(AND($E20="Y",$D20=L$3,$C20=0),'bid input'!$F14,0))*L$4</f>
        <v>0</v>
      </c>
      <c r="M20" s="14" t="n">
        <f aca="false">SUM(G20:L20)</f>
        <v>105080</v>
      </c>
    </row>
    <row collapsed="false" customFormat="false" customHeight="false" hidden="false" ht="14" outlineLevel="1" r="21">
      <c r="B21" s="10" t="n">
        <f aca="false">+'bid input'!B15</f>
        <v>1104149</v>
      </c>
      <c r="C21" s="17" t="n">
        <f aca="false">+'bid input'!H15</f>
        <v>5</v>
      </c>
      <c r="D21" s="10" t="n">
        <f aca="false">+'bid input'!I15</f>
        <v>0</v>
      </c>
      <c r="E21" s="18" t="str">
        <f aca="false">+IF('bid input'!O15=1,"Y","N")</f>
        <v>Y</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103085</v>
      </c>
      <c r="L21" s="14" t="n">
        <f aca="false">+IF(AND($E21="Y",$C21=L$2,$C21&gt;0),'bid input'!$F15,IF(AND($E21="Y",$D21=L$3,$C21=0),'bid input'!$F15,0))*L$4</f>
        <v>0</v>
      </c>
      <c r="M21" s="14" t="n">
        <f aca="false">SUM(G21:L21)</f>
        <v>103085</v>
      </c>
    </row>
    <row collapsed="false" customFormat="false" customHeight="false" hidden="false" ht="14" outlineLevel="1" r="22">
      <c r="B22" s="10" t="n">
        <f aca="false">+'bid input'!B16</f>
        <v>1104151</v>
      </c>
      <c r="C22" s="17" t="n">
        <f aca="false">+'bid input'!H16</f>
        <v>1</v>
      </c>
      <c r="D22" s="10" t="n">
        <f aca="false">+'bid input'!I16</f>
        <v>0</v>
      </c>
      <c r="E22" s="18" t="str">
        <f aca="false">+IF('bid input'!O16=1,"Y","N")</f>
        <v>Y</v>
      </c>
      <c r="F22" s="19" t="inlineStr">
        <f aca="false">+'bid input'!K16</f>
        <is>
          <t/>
        </is>
      </c>
      <c r="G22" s="14" t="n">
        <f aca="false">+IF(AND($E22="Y",$C22=G$2,$C22&gt;0),'bid input'!$F16,IF(AND($E22="Y",$D22=G$3,$C22=0),'bid input'!$F16,0))*G$4</f>
        <v>63745</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63745</v>
      </c>
    </row>
    <row collapsed="false" customFormat="false" customHeight="false" hidden="false" ht="14" outlineLevel="1" r="23">
      <c r="B23" s="10" t="n">
        <f aca="false">+'bid input'!B17</f>
        <v>1104131</v>
      </c>
      <c r="C23" s="17" t="n">
        <f aca="false">+'bid input'!H17</f>
        <v>4</v>
      </c>
      <c r="D23" s="10" t="n">
        <f aca="false">+'bid input'!I17</f>
        <v>0</v>
      </c>
      <c r="E23" s="18" t="str">
        <f aca="false">+IF('bid input'!O17=1,"Y","N")</f>
        <v>Y</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105080</v>
      </c>
      <c r="K23" s="14" t="n">
        <f aca="false">+IF(AND($E23="Y",$C23=K$2,$C23&gt;0),'bid input'!$F17,IF(AND($E23="Y",$D23=K$3,$C23=0),'bid input'!$F17,0))*K$4</f>
        <v>0</v>
      </c>
      <c r="L23" s="14" t="n">
        <f aca="false">+IF(AND($E23="Y",$C23=L$2,$C23&gt;0),'bid input'!$F17,IF(AND($E23="Y",$D23=L$3,$C23=0),'bid input'!$F17,0))*L$4</f>
        <v>0</v>
      </c>
      <c r="M23" s="14" t="n">
        <f aca="false">SUM(G23:L23)</f>
        <v>105080</v>
      </c>
    </row>
    <row collapsed="false" customFormat="false" customHeight="false" hidden="false" ht="14" outlineLevel="1" r="24">
      <c r="B24" s="10" t="n">
        <f aca="false">+'bid input'!B18</f>
        <v>1104155</v>
      </c>
      <c r="C24" s="17" t="n">
        <f aca="false">+'bid input'!H18</f>
        <v>0</v>
      </c>
      <c r="D24" s="0" t="str">
        <f aca="false">+'bid input'!I18</f>
        <v>Best Loans Inc</v>
      </c>
      <c r="E24" s="18" t="str">
        <f aca="false">+IF('bid input'!O18=1,"Y","N")</f>
        <v>Y</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103085</v>
      </c>
      <c r="L24" s="14" t="n">
        <f aca="false">+IF(AND($E24="Y",$C24=L$2,$C24&gt;0),'bid input'!$F18,IF(AND($E24="Y",$D24=L$3,$C24=0),'bid input'!$F18,0))*L$4</f>
        <v>0</v>
      </c>
      <c r="M24" s="14" t="n">
        <f aca="false">SUM(G24:L24)</f>
        <v>103085</v>
      </c>
    </row>
    <row collapsed="false" customFormat="false" customHeight="false" hidden="false" ht="14" outlineLevel="1" r="25">
      <c r="B25" s="10" t="n">
        <f aca="false">+'bid input'!B19</f>
        <v>1104156</v>
      </c>
      <c r="C25" s="17" t="n">
        <f aca="false">+'bid input'!H19</f>
        <v>2</v>
      </c>
      <c r="D25" s="10" t="n">
        <f aca="false">+'bid input'!I19</f>
        <v>0</v>
      </c>
      <c r="E25" s="18" t="str">
        <f aca="false">+IF('bid input'!O19=1,"Y","N")</f>
        <v>Y</v>
      </c>
      <c r="F25" s="19" t="inlineStr">
        <f aca="false">+'bid input'!K19</f>
        <is>
          <t/>
        </is>
      </c>
      <c r="G25" s="14" t="n">
        <f aca="false">+IF(AND($E25="Y",$C25=G$2,$C25&gt;0),'bid input'!$F19,IF(AND($E25="Y",$D25=G$3,$C25=0),'bid input'!$F19,0))*G$4</f>
        <v>0</v>
      </c>
      <c r="H25" s="14" t="n">
        <f aca="false">+IF(AND($E25="Y",$C25=H$2,$C25&gt;0),'bid input'!$F19,IF(AND($E25="Y",$D25=H$3,$C25=0),'bid input'!$F19,0))*H$4</f>
        <v>75137</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75137</v>
      </c>
    </row>
    <row collapsed="false" customFormat="false" customHeight="false" hidden="false" ht="14" outlineLevel="1" r="26">
      <c r="B26" s="10" t="n">
        <f aca="false">+'bid input'!B20</f>
        <v>1104157</v>
      </c>
      <c r="C26" s="17" t="n">
        <f aca="false">+'bid input'!H20</f>
        <v>0</v>
      </c>
      <c r="D26" s="0" t="str">
        <f aca="false">+'bid input'!I20</f>
        <v>Best Loans Inc</v>
      </c>
      <c r="E26" s="18" t="str">
        <f aca="false">+IF('bid input'!O20=1,"Y","N")</f>
        <v>Y</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103085</v>
      </c>
      <c r="L26" s="14" t="n">
        <f aca="false">+IF(AND($E26="Y",$C26=L$2,$C26&gt;0),'bid input'!$F20,IF(AND($E26="Y",$D26=L$3,$C26=0),'bid input'!$F20,0))*L$4</f>
        <v>0</v>
      </c>
      <c r="M26" s="14" t="n">
        <f aca="false">SUM(G26:L26)</f>
        <v>103085</v>
      </c>
    </row>
    <row collapsed="false" customFormat="false" customHeight="false" hidden="false" ht="14" outlineLevel="1" r="27">
      <c r="B27" s="10" t="n">
        <f aca="false">+'bid input'!B21</f>
        <v>1104158</v>
      </c>
      <c r="C27" s="17" t="n">
        <f aca="false">+'bid input'!H21</f>
        <v>1</v>
      </c>
      <c r="D27" s="10" t="n">
        <f aca="false">+'bid input'!I21</f>
        <v>0</v>
      </c>
      <c r="E27" s="18" t="str">
        <f aca="false">+IF('bid input'!O21=1,"Y","N")</f>
        <v>Y</v>
      </c>
      <c r="F27" s="19" t="inlineStr">
        <f aca="false">+'bid input'!K21</f>
        <is>
          <t/>
        </is>
      </c>
      <c r="G27" s="14" t="n">
        <f aca="false">+IF(AND($E27="Y",$C27=G$2,$C27&gt;0),'bid input'!$F21,IF(AND($E27="Y",$D27=G$3,$C27=0),'bid input'!$F21,0))*G$4</f>
        <v>63745</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63745</v>
      </c>
    </row>
    <row collapsed="false" customFormat="false" customHeight="false" hidden="false" ht="14" outlineLevel="1" r="28">
      <c r="D28" s="17"/>
      <c r="E28" s="18"/>
      <c r="F28" s="19"/>
      <c r="G28" s="14"/>
      <c r="H28" s="14"/>
      <c r="I28" s="14"/>
      <c r="J28" s="14"/>
      <c r="K28" s="14"/>
      <c r="L28" s="14"/>
    </row>
    <row collapsed="false" customFormat="false" customHeight="false" hidden="false" ht="14" outlineLevel="0" r="29">
      <c r="D29" s="20" t="s">
        <v>37</v>
      </c>
      <c r="E29" s="21"/>
      <c r="F29" s="21"/>
      <c r="G29" s="22" t="n">
        <f aca="false">SUM(G8:G28)</f>
        <v>414342.5</v>
      </c>
      <c r="H29" s="22" t="n">
        <f aca="false">SUM(H8:H28)</f>
        <v>225411</v>
      </c>
      <c r="I29" s="22" t="n">
        <f aca="false">SUM(I8:I28)</f>
        <v>95975</v>
      </c>
      <c r="J29" s="22" t="n">
        <f aca="false">SUM(J8:J28)</f>
        <v>525400</v>
      </c>
      <c r="K29" s="22" t="n">
        <f aca="false">SUM(K8:K28)</f>
        <v>618510</v>
      </c>
      <c r="L29" s="22" t="n">
        <f aca="false">SUM(L8:L28)</f>
        <v>0</v>
      </c>
      <c r="M29" s="23" t="n">
        <f aca="false">SUM(G29:L29)</f>
        <v>1879638.5</v>
      </c>
    </row>
    <row collapsed="false" customFormat="false" customHeight="false" hidden="false" ht="14" outlineLevel="0" r="30">
      <c r="D30" s="24" t="s">
        <v>38</v>
      </c>
      <c r="E30" s="25"/>
      <c r="F30" s="25"/>
      <c r="G30" s="26" t="n">
        <f aca="false">+IF(G29&gt;0,SUMPRODUCT($F$8:$F$27,G$8:G$27)/G$29,"")</f>
        <v>0.0282692307692308</v>
      </c>
      <c r="H30" s="26" t="n">
        <f aca="false">+IF(H29&gt;0,SUMPRODUCT($F$8:$F$27,H$8:H$27)/H$29,"")</f>
        <v>0.03</v>
      </c>
      <c r="I30" s="26" t="n">
        <f aca="false">+IF(I29&gt;0,SUMPRODUCT($F$8:$F$27,I$8:I$27)/I$29,"")</f>
        <v>0.03</v>
      </c>
      <c r="J30" s="26" t="n">
        <f aca="false">+IF(J29&gt;0,SUMPRODUCT($F$8:$F$27,J$8:J$27)/J$29,"")</f>
        <v>0.04025</v>
      </c>
      <c r="K30" s="26" t="n">
        <f aca="false">+IF(K29&gt;0,SUMPRODUCT($F$8:$F$27,K$8:K$27)/K$29,"")</f>
        <v>0.025625</v>
      </c>
      <c r="L30" s="26" t="str">
        <f aca="false">+IF(L29&gt;0,SUMPRODUCT($F$8:$F$27,L$8:L$27)/L$29,"")</f>
        <v/>
      </c>
      <c r="M30" s="27" t="n">
        <f aca="false">+SUMPRODUCT(G29:L29,G30:L30)/M29</f>
        <v>0.031043944088185</v>
      </c>
    </row>
    <row collapsed="false" customFormat="false" customHeight="false" hidden="false" ht="14" outlineLevel="0" r="32">
      <c r="D32" s="0" t="s">
        <v>39</v>
      </c>
      <c r="G32" s="14" t="n">
        <f aca="false">+G4-G29</f>
        <v>-95617.5</v>
      </c>
      <c r="H32" s="14" t="n">
        <f aca="false">+H4-H29</f>
        <v>150274</v>
      </c>
      <c r="I32" s="14" t="n">
        <f aca="false">+I4-I29</f>
        <v>383900</v>
      </c>
      <c r="J32" s="14" t="n">
        <f aca="false">+J4-J29</f>
        <v>0</v>
      </c>
      <c r="K32" s="14" t="n">
        <f aca="false">+K4-K29</f>
        <v>-103085</v>
      </c>
      <c r="L32" s="14" t="n">
        <f aca="false">+L4-L29</f>
        <v>485000</v>
      </c>
      <c r="M32" s="14" t="n">
        <f aca="false">SUM(G32:L32)</f>
        <v>820471.5</v>
      </c>
    </row>
    <row collapsed="false" customFormat="false" customHeight="false" hidden="false" ht="14" outlineLevel="0" r="33">
      <c r="D33" s="0" t="s">
        <v>40</v>
      </c>
      <c r="G33" s="28" t="str">
        <f aca="false">+IF(G32=0,"NA",IF(G32&lt;0,"OVER","UNDER"))</f>
        <v>OVER</v>
      </c>
      <c r="H33" s="28" t="str">
        <f aca="false">+IF(H32=0,"NA",IF(H32&lt;0,"OVER","UNDER"))</f>
        <v>UNDER</v>
      </c>
      <c r="I33" s="28" t="str">
        <f aca="false">+IF(I32=0,"NA",IF(I32&lt;0,"OVER","UNDER"))</f>
        <v>UNDER</v>
      </c>
      <c r="J33" s="28" t="str">
        <f aca="false">+IF(J32=0,"NA",IF(J32&lt;0,"OVER","UNDER"))</f>
        <v>NA</v>
      </c>
      <c r="K33" s="28" t="str">
        <f aca="false">+IF(K32=0,"NA",IF(K32&lt;0,"OVER","UNDER"))</f>
        <v>OVER</v>
      </c>
      <c r="L33" s="28" t="str">
        <f aca="false">+IF(L32=0,"NA",IF(L32&lt;0,"OVER","UNDER"))</f>
        <v>UNDER</v>
      </c>
      <c r="M33" s="28" t="str">
        <f aca="false">+IF(M32=0,"NA",IF(M32&lt;0,"OVER","UNDER"))</f>
        <v>UNDER</v>
      </c>
    </row>
    <row collapsed="false" customFormat="false" customHeight="false" hidden="false" ht="14" outlineLevel="0" r="35">
      <c r="A35" s="0" t="s">
        <v>41</v>
      </c>
    </row>
    <row collapsed="false" customFormat="false" customHeight="true" hidden="false" ht="27.95" outlineLevel="1" r="36">
      <c r="B36" s="15" t="s">
        <v>33</v>
      </c>
      <c r="C36" s="15" t="s">
        <v>34</v>
      </c>
      <c r="D36" s="15" t="s">
        <v>22</v>
      </c>
      <c r="E36" s="16" t="s">
        <v>42</v>
      </c>
      <c r="F36" s="15" t="s">
        <v>43</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false" ht="14.1" outlineLevel="1" r="37">
      <c r="B37" s="10" t="n">
        <f aca="false">+B8</f>
        <v>1104134</v>
      </c>
      <c r="C37" s="10" t="n">
        <f aca="false">+C8</f>
        <v>1</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false" ht="14.1" outlineLevel="1" r="38">
      <c r="B38" s="10" t="n">
        <f aca="false">+B9</f>
        <v>1104143</v>
      </c>
      <c r="C38" s="10" t="n">
        <f aca="false">+C9</f>
        <v>0</v>
      </c>
      <c r="D38" s="0" t="str">
        <f aca="false">+D9</f>
        <v>ABC Mortgage</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false" ht="14.1" outlineLevel="1" r="39">
      <c r="B39" s="10" t="n">
        <f aca="false">+B10</f>
        <v>1104154</v>
      </c>
      <c r="C39" s="10" t="n">
        <f aca="false">+C10</f>
        <v>2</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false" ht="14.1" outlineLevel="1" r="40">
      <c r="B40" s="10" t="n">
        <f aca="false">+B11</f>
        <v>1104152</v>
      </c>
      <c r="C40" s="10" t="n">
        <f aca="false">+C11</f>
        <v>0</v>
      </c>
      <c r="D40" s="0" t="str">
        <f aca="false">+D11</f>
        <v>Prime Lending</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false" ht="14.1" outlineLevel="1" r="41">
      <c r="B41" s="10" t="n">
        <f aca="false">+B12</f>
        <v>1104136</v>
      </c>
      <c r="C41" s="10" t="n">
        <f aca="false">+C12</f>
        <v>4</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false" ht="14.1" outlineLevel="1" r="42">
      <c r="B42" s="10" t="n">
        <f aca="false">+B13</f>
        <v>1104138</v>
      </c>
      <c r="C42" s="10" t="n">
        <f aca="false">+C13</f>
        <v>0</v>
      </c>
      <c r="D42" s="0" t="str">
        <f aca="false">+D13</f>
        <v>Best Loans Inc</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false" ht="14.1" outlineLevel="1" r="43">
      <c r="B43" s="10" t="n">
        <f aca="false">+B14</f>
        <v>1104139</v>
      </c>
      <c r="C43" s="10" t="n">
        <f aca="false">+C14</f>
        <v>1</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false" ht="14.1" outlineLevel="1" r="44">
      <c r="B44" s="10" t="n">
        <f aca="false">+B15</f>
        <v>1104140</v>
      </c>
      <c r="C44" s="10" t="n">
        <f aca="false">+C15</f>
        <v>5</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false" ht="14.1" outlineLevel="1" r="45">
      <c r="B45" s="10" t="n">
        <f aca="false">+B16</f>
        <v>1104141</v>
      </c>
      <c r="C45" s="10" t="n">
        <f aca="false">+C16</f>
        <v>5</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false" ht="14.1" outlineLevel="1" r="46">
      <c r="B46" s="10" t="n">
        <f aca="false">+B17</f>
        <v>1104159</v>
      </c>
      <c r="C46" s="10" t="n">
        <f aca="false">+C17</f>
        <v>1</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false" ht="14.1" outlineLevel="1" r="47">
      <c r="B47" s="10" t="n">
        <f aca="false">+B18</f>
        <v>1104161</v>
      </c>
      <c r="C47" s="10" t="n">
        <f aca="false">+C18</f>
        <v>4</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fals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false" ht="14.1" outlineLevel="1" r="49">
      <c r="B49" s="10" t="n">
        <f aca="false">+B20</f>
        <v>1104133</v>
      </c>
      <c r="C49" s="10" t="n">
        <f aca="false">+C20</f>
        <v>4</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false" ht="14.1" outlineLevel="1" r="50">
      <c r="B50" s="10" t="n">
        <f aca="false">+B21</f>
        <v>1104149</v>
      </c>
      <c r="C50" s="10" t="n">
        <f aca="false">+C21</f>
        <v>5</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false" ht="14.1" outlineLevel="1" r="51">
      <c r="B51" s="10" t="n">
        <f aca="false">+B22</f>
        <v>1104151</v>
      </c>
      <c r="C51" s="10" t="n">
        <f aca="false">+C22</f>
        <v>1</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false" ht="14.1" outlineLevel="1" r="52">
      <c r="B52" s="10" t="n">
        <f aca="false">+B23</f>
        <v>1104131</v>
      </c>
      <c r="C52" s="10" t="n">
        <f aca="false">+C23</f>
        <v>4</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false" ht="14.1" outlineLevel="1" r="53">
      <c r="B53" s="10" t="n">
        <f aca="false">+B24</f>
        <v>1104155</v>
      </c>
      <c r="C53" s="10" t="n">
        <f aca="false">+C24</f>
        <v>0</v>
      </c>
      <c r="D53" s="0" t="str">
        <f aca="false">+D24</f>
        <v>Best Loans Inc</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false" ht="14.1" outlineLevel="1" r="54">
      <c r="B54" s="10" t="n">
        <f aca="false">+B25</f>
        <v>1104156</v>
      </c>
      <c r="C54" s="10" t="n">
        <f aca="false">+C25</f>
        <v>2</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false" ht="14.1" outlineLevel="1" r="55">
      <c r="B55" s="10" t="n">
        <f aca="false">+B26</f>
        <v>1104157</v>
      </c>
      <c r="C55" s="10" t="n">
        <f aca="false">+C26</f>
        <v>0</v>
      </c>
      <c r="D55" s="0" t="str">
        <f aca="false">+D26</f>
        <v>Best Loans Inc</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false" ht="14.1" outlineLevel="1" r="56">
      <c r="B56" s="10" t="n">
        <f aca="false">+B27</f>
        <v>1104158</v>
      </c>
      <c r="C56" s="10" t="n">
        <f aca="false">+C27</f>
        <v>1</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44</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38</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39</v>
      </c>
      <c r="G61" s="14" t="n">
        <f aca="false">+G32-G58</f>
        <v>-95617.5</v>
      </c>
      <c r="H61" s="14" t="n">
        <f aca="false">+H32-H58</f>
        <v>150274</v>
      </c>
      <c r="I61" s="14" t="n">
        <f aca="false">+I32-I58</f>
        <v>383900</v>
      </c>
      <c r="J61" s="14" t="n">
        <f aca="false">+J32-J58</f>
        <v>0</v>
      </c>
      <c r="K61" s="14" t="n">
        <f aca="false">+K32-K58</f>
        <v>-103085</v>
      </c>
      <c r="L61" s="14" t="n">
        <f aca="false">+L32-L58</f>
        <v>485000</v>
      </c>
      <c r="M61" s="14" t="n">
        <f aca="false">+M32-M58</f>
        <v>820471.5</v>
      </c>
    </row>
    <row collapsed="false" customFormat="false" customHeight="false" hidden="false" ht="14" outlineLevel="0" r="62">
      <c r="D62" s="0" t="s">
        <v>40</v>
      </c>
      <c r="G62" s="28" t="str">
        <f aca="false">+IF(G61=0,"NA",IF(G61&lt;0,"OVER","UNDER"))</f>
        <v>OVER</v>
      </c>
      <c r="H62" s="28" t="str">
        <f aca="false">+IF(H61=0,"NA",IF(H61&lt;0,"OVER","UNDER"))</f>
        <v>UNDER</v>
      </c>
      <c r="I62" s="28" t="str">
        <f aca="false">+IF(I61=0,"NA",IF(I61&lt;0,"OVER","UNDER"))</f>
        <v>UNDER</v>
      </c>
      <c r="J62" s="28" t="str">
        <f aca="false">+IF(J61=0,"NA",IF(J61&lt;0,"OVER","UNDER"))</f>
        <v>NA</v>
      </c>
      <c r="K62" s="28" t="str">
        <f aca="false">+IF(K61=0,"NA",IF(K61&lt;0,"OVER","UNDER"))</f>
        <v>OVER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1" t="s">
        <v>46</v>
      </c>
      <c r="E65" s="32"/>
      <c r="F65" s="32"/>
      <c r="G65" s="33" t="n">
        <f aca="false">+G29+G58</f>
        <v>414342.5</v>
      </c>
      <c r="H65" s="33" t="n">
        <f aca="false">+H29+H58</f>
        <v>225411</v>
      </c>
      <c r="I65" s="33" t="n">
        <f aca="false">+I29+I58</f>
        <v>95975</v>
      </c>
      <c r="J65" s="33" t="n">
        <f aca="false">+J29+J58</f>
        <v>525400</v>
      </c>
      <c r="K65" s="33" t="n">
        <f aca="false">+K29+K58</f>
        <v>618510</v>
      </c>
      <c r="L65" s="33" t="n">
        <f aca="false">+L29+L58</f>
        <v>0</v>
      </c>
      <c r="M65" s="34" t="n">
        <f aca="false">+M29+M58</f>
        <v>1879638.5</v>
      </c>
    </row>
    <row collapsed="false" customFormat="false" customHeight="false" hidden="false" ht="14" outlineLevel="0" r="66">
      <c r="D66" s="35" t="s">
        <v>47</v>
      </c>
      <c r="E66" s="36"/>
      <c r="F66" s="36"/>
      <c r="G66" s="37" t="n">
        <f aca="false">+G65/G4</f>
        <v>1.3</v>
      </c>
      <c r="H66" s="37" t="n">
        <f aca="false">+H65/H4</f>
        <v>0.6</v>
      </c>
      <c r="I66" s="37" t="n">
        <f aca="false">+I65/I4</f>
        <v>0.2</v>
      </c>
      <c r="J66" s="37" t="n">
        <f aca="false">+J65/J4</f>
        <v>1</v>
      </c>
      <c r="K66" s="37" t="n">
        <f aca="false">+K65/K4</f>
        <v>1.2</v>
      </c>
      <c r="L66" s="37" t="n">
        <f aca="false">+L65/L4</f>
        <v>0</v>
      </c>
      <c r="M66" s="38"/>
    </row>
    <row collapsed="false" customFormat="false" customHeight="false" hidden="false" ht="14" outlineLevel="0" r="67">
      <c r="D67" s="39" t="s">
        <v>38</v>
      </c>
      <c r="E67" s="40"/>
      <c r="F67" s="40"/>
      <c r="G67" s="41" t="n">
        <f aca="false">+IF(ISERR(IF(ISERR((G29*G30)+(G58*G59))/(G58+G29),G59,((G29*G30)+(G58*G59))/(G58+G29))),0,IF(ISERR((G29*G30)+(G58*G59))/(G58+G29),G59,((G29*G30)+(G58*G59))/(G58+G29)))</f>
        <v>0.0282692307692308</v>
      </c>
      <c r="H67" s="41" t="n">
        <f aca="false">+IF(ISERR(IF(ISERR((H29*H30)+(H58*H59))/(H58+H29),H59,((H29*H30)+(H58*H59))/(H58+H29))),0,IF(ISERR((H29*H30)+(H58*H59))/(H58+H29),H59,((H29*H30)+(H58*H59))/(H58+H29)))</f>
        <v>0.03</v>
      </c>
      <c r="I67" s="41" t="n">
        <f aca="false">+IF(ISERR(IF(ISERR((I29*I30)+(I58*I59))/(I58+I29),I59,((I29*I30)+(I58*I59))/(I58+I29))),0,IF(ISERR((I29*I30)+(I58*I59))/(I58+I29),I59,((I29*I30)+(I58*I59))/(I58+I29)))</f>
        <v>0.03</v>
      </c>
      <c r="J67" s="41" t="n">
        <f aca="false">+IF(ISERR(IF(ISERR((J29*J30)+(J58*J59))/(J58+J29),J59,((J29*J30)+(J58*J59))/(J58+J29))),0,IF(ISERR((J29*J30)+(J58*J59))/(J58+J29),J59,((J29*J30)+(J58*J59))/(J58+J29)))</f>
        <v>0.04025</v>
      </c>
      <c r="K67" s="41" t="n">
        <f aca="false">+IF(ISERR(IF(ISERR((K29*K30)+(K58*K59))/(K58+K29),K59,((K29*K30)+(K58*K59))/(K58+K29))),0,IF(ISERR((K29*K30)+(K58*K59))/(K58+K29),K59,((K29*K30)+(K58*K59))/(K58+K29)))</f>
        <v>0.025625</v>
      </c>
      <c r="L67" s="41" t="n">
        <f aca="false">+IF(ISERR(IF(ISERR((L29*L30)+(L58*L59))/(L58+L29),L59,((L29*L30)+(L58*L59))/(L58+L29))),0,IF(ISERR((L29*L30)+(L58*L59))/(L58+L29),L59,((L29*L30)+(L58*L59))/(L58+L29)))</f>
        <v>0</v>
      </c>
      <c r="M67" s="42" t="n">
        <f aca="false">+IF(ISERR(IF(ISERR((M29*M30)+(M58*M59))/(M58+M29),M59,((M29*M30)+(M58*M59))/(M58+M29))),0,IF(ISERR((M29*M30)+(M58*M59))/(M58+M29),M59,((M29*M30)+(M58*M59))/(M58+M29)))</f>
        <v>0.031043944088185</v>
      </c>
    </row>
    <row collapsed="false" customFormat="false" customHeight="false" hidden="false" ht="14" outlineLevel="0" r="69">
      <c r="A69" s="0" t="s">
        <v>48</v>
      </c>
    </row>
    <row collapsed="false" customFormat="false" customHeight="false" hidden="false" ht="28.35" outlineLevel="1" r="70">
      <c r="B70" s="15" t="s">
        <v>33</v>
      </c>
      <c r="C70" s="16" t="s">
        <v>49</v>
      </c>
      <c r="D70" s="15" t="s">
        <v>36</v>
      </c>
      <c r="E70" s="15" t="s">
        <v>50</v>
      </c>
      <c r="F70" s="43"/>
      <c r="G70" s="44" t="s">
        <v>51</v>
      </c>
      <c r="I70" s="43" t="s">
        <v>52</v>
      </c>
      <c r="J70" s="44" t="s">
        <v>53</v>
      </c>
      <c r="K70" s="44" t="s">
        <v>54</v>
      </c>
      <c r="L70" s="44" t="s">
        <v>55</v>
      </c>
      <c r="M70" s="44" t="s">
        <v>56</v>
      </c>
      <c r="N70" s="44" t="s">
        <v>57</v>
      </c>
      <c r="O70" s="44" t="s">
        <v>36</v>
      </c>
      <c r="P70" s="44" t="s">
        <v>33</v>
      </c>
      <c r="Q70" s="45"/>
      <c r="R70" s="44" t="s">
        <v>58</v>
      </c>
      <c r="S70" s="44" t="s">
        <v>56</v>
      </c>
      <c r="T70" s="44" t="s">
        <v>36</v>
      </c>
      <c r="U70" s="44" t="s">
        <v>33</v>
      </c>
    </row>
    <row collapsed="false" customFormat="false" customHeight="false" hidden="fals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fals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fals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fals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fals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fals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fals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fals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fals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fals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fals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fals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fals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fals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fals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fals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fals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fals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fals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fals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false" ht="14" outlineLevel="1" r="91">
      <c r="B91" s="0" t="s">
        <v>59</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false" ht="14" outlineLevel="1" r="92">
      <c r="D92" s="56"/>
      <c r="I92" s="19" t="n">
        <f aca="false">+IF(ISERR(SUMPRODUCT(D71:D90,I71:I90)/I91),0,SUMPRODUCT(D71:D90,I71:I90)/I91)</f>
        <v>0</v>
      </c>
    </row>
    <row collapsed="false" customFormat="false" customHeight="false" hidden="false" ht="14" outlineLevel="1" r="93">
      <c r="B93" s="0" t="s">
        <v>60</v>
      </c>
      <c r="E93" s="18" t="n">
        <f aca="false">IF(M62="UNDER",+M61,0)</f>
        <v>820471.5</v>
      </c>
      <c r="Q93" s="54"/>
      <c r="R93" s="54"/>
    </row>
    <row collapsed="false" customFormat="false" customHeight="false" hidden="false" ht="14" outlineLevel="1" r="94">
      <c r="B94" s="0" t="s">
        <v>61</v>
      </c>
      <c r="H94" s="1" t="s">
        <v>62</v>
      </c>
      <c r="I94" s="1" t="s">
        <v>63</v>
      </c>
      <c r="J94" s="1" t="s">
        <v>64</v>
      </c>
      <c r="Q94" s="54"/>
      <c r="R94" s="54"/>
    </row>
    <row collapsed="false" customFormat="false" customHeight="false" hidden="false" ht="14" outlineLevel="1" r="95">
      <c r="E95" s="18"/>
      <c r="F95" s="14"/>
      <c r="H95" s="1"/>
      <c r="I95" s="57" t="n">
        <f aca="false">E93</f>
        <v>820471.5</v>
      </c>
      <c r="J95" s="1"/>
      <c r="Q95" s="54"/>
      <c r="R95" s="54"/>
    </row>
    <row collapsed="false" customFormat="false" customHeight="false" hidden="false" ht="14" outlineLevel="1" r="96">
      <c r="E96" s="48"/>
      <c r="F96" s="18"/>
      <c r="G96" s="1" t="n">
        <v>1</v>
      </c>
      <c r="H96" s="58" t="n">
        <f aca="false">+IF(I95&gt;0,MIN(SUMIF($N$71:$N$90,G96,$E$71:$E$90),I95),0)</f>
        <v>0</v>
      </c>
      <c r="I96" s="57" t="n">
        <f aca="false">I95-H96</f>
        <v>820471.5</v>
      </c>
      <c r="J96" s="1" t="str">
        <f aca="false">IF(ISERROR(VLOOKUP(G96,R$71:U$90,4,0)),"",VLOOKUP(G96,R$71:U$90,4,0))</f>
        <v/>
      </c>
      <c r="K96" s="14" t="n">
        <f aca="false">+H96</f>
        <v>0</v>
      </c>
      <c r="Q96" s="54"/>
      <c r="R96" s="54"/>
    </row>
    <row collapsed="false" customFormat="false" customHeight="false" hidden="false" ht="14" outlineLevel="1" r="97">
      <c r="E97" s="48"/>
      <c r="F97" s="18"/>
      <c r="G97" s="1" t="n">
        <f aca="false">1+G96</f>
        <v>2</v>
      </c>
      <c r="H97" s="58" t="n">
        <f aca="false">+IF(I96&gt;0,MIN(SUMIF($N$71:$N$90,G97,$E$71:$E$90),I96),0)</f>
        <v>0</v>
      </c>
      <c r="I97" s="57" t="n">
        <f aca="false">I96-H97</f>
        <v>820471.5</v>
      </c>
      <c r="J97" s="1" t="str">
        <f aca="false">IF(ISERROR(VLOOKUP(G97,R$71:U$90,4,0)),"",VLOOKUP(G97,R$71:U$90,4,0))</f>
        <v/>
      </c>
      <c r="K97" s="14" t="n">
        <f aca="false">+H97</f>
        <v>0</v>
      </c>
      <c r="Q97" s="54"/>
      <c r="R97" s="54"/>
    </row>
    <row collapsed="false" customFormat="false" customHeight="false" hidden="false" ht="14" outlineLevel="1" r="98">
      <c r="E98" s="48"/>
      <c r="F98" s="18"/>
      <c r="G98" s="1" t="n">
        <f aca="false">1+G97</f>
        <v>3</v>
      </c>
      <c r="H98" s="58" t="n">
        <f aca="false">+IF(I97&gt;0,MIN(SUMIF($N$71:$N$90,G98,$E$71:$E$90),I97),0)</f>
        <v>0</v>
      </c>
      <c r="I98" s="57" t="n">
        <f aca="false">I97-H98</f>
        <v>820471.5</v>
      </c>
      <c r="J98" s="1" t="str">
        <f aca="false">IF(ISERROR(VLOOKUP(G98,R$71:U$90,4,0)),"",VLOOKUP(G98,R$71:U$90,4,0))</f>
        <v/>
      </c>
      <c r="K98" s="14" t="n">
        <f aca="false">+H98</f>
        <v>0</v>
      </c>
      <c r="Q98" s="54"/>
      <c r="R98" s="54"/>
    </row>
    <row collapsed="false" customFormat="false" customHeight="false" hidden="false" ht="14" outlineLevel="1" r="99">
      <c r="E99" s="48"/>
      <c r="F99" s="18"/>
      <c r="G99" s="1" t="n">
        <f aca="false">1+G98</f>
        <v>4</v>
      </c>
      <c r="H99" s="58" t="n">
        <f aca="false">+IF(I98&gt;0,MIN(SUMIF($N$71:$N$90,G99,$E$71:$E$90),I98),0)</f>
        <v>0</v>
      </c>
      <c r="I99" s="57" t="n">
        <f aca="false">I98-H99</f>
        <v>820471.5</v>
      </c>
      <c r="J99" s="1" t="str">
        <f aca="false">IF(ISERROR(VLOOKUP(G99,R$71:U$90,4,0)),"",VLOOKUP(G99,R$71:U$90,4,0))</f>
        <v/>
      </c>
      <c r="K99" s="14" t="n">
        <f aca="false">+H99</f>
        <v>0</v>
      </c>
      <c r="Q99" s="54"/>
      <c r="R99" s="54"/>
    </row>
    <row collapsed="false" customFormat="false" customHeight="false" hidden="false" ht="14" outlineLevel="1" r="100">
      <c r="E100" s="48"/>
      <c r="F100" s="18"/>
      <c r="G100" s="1" t="n">
        <f aca="false">1+G99</f>
        <v>5</v>
      </c>
      <c r="H100" s="58" t="n">
        <f aca="false">+IF(I99&gt;0,MIN(SUMIF($N$71:$N$90,G100,$E$71:$E$90),I99),0)</f>
        <v>0</v>
      </c>
      <c r="I100" s="57" t="n">
        <f aca="false">I99-H100</f>
        <v>820471.5</v>
      </c>
      <c r="J100" s="1" t="str">
        <f aca="false">IF(ISERROR(VLOOKUP(G100,R$71:U$90,4,0)),"",VLOOKUP(G100,R$71:U$90,4,0))</f>
        <v/>
      </c>
      <c r="K100" s="14" t="n">
        <f aca="false">+H100</f>
        <v>0</v>
      </c>
      <c r="Q100" s="54"/>
      <c r="R100" s="54"/>
    </row>
    <row collapsed="false" customFormat="false" customHeight="false" hidden="false" ht="14" outlineLevel="1" r="101">
      <c r="E101" s="48"/>
      <c r="F101" s="18"/>
      <c r="G101" s="1" t="n">
        <f aca="false">1+G100</f>
        <v>6</v>
      </c>
      <c r="H101" s="58" t="n">
        <f aca="false">+IF(I100&gt;0,MIN(SUMIF($N$71:$N$90,G101,$E$71:$E$90),I100),0)</f>
        <v>0</v>
      </c>
      <c r="I101" s="57" t="n">
        <f aca="false">I100-H101</f>
        <v>820471.5</v>
      </c>
      <c r="J101" s="1" t="str">
        <f aca="false">IF(ISERROR(VLOOKUP(G101,R$71:U$90,4,0)),"",VLOOKUP(G101,R$71:U$90,4,0))</f>
        <v/>
      </c>
      <c r="K101" s="14" t="n">
        <f aca="false">+H101</f>
        <v>0</v>
      </c>
      <c r="Q101" s="54"/>
      <c r="R101" s="54"/>
    </row>
    <row collapsed="false" customFormat="false" customHeight="false" hidden="false" ht="14" outlineLevel="1" r="102">
      <c r="E102" s="48"/>
      <c r="F102" s="18"/>
      <c r="G102" s="1" t="n">
        <f aca="false">1+G101</f>
        <v>7</v>
      </c>
      <c r="H102" s="58" t="n">
        <f aca="false">+IF(I101&gt;0,MIN(SUMIF($N$71:$N$90,G102,$E$71:$E$90),I101),0)</f>
        <v>0</v>
      </c>
      <c r="I102" s="57" t="n">
        <f aca="false">I101-H102</f>
        <v>820471.5</v>
      </c>
      <c r="J102" s="1" t="str">
        <f aca="false">IF(ISERROR(VLOOKUP(G102,R$71:U$90,4,0)),"",VLOOKUP(G102,R$71:U$90,4,0))</f>
        <v/>
      </c>
      <c r="K102" s="14" t="n">
        <f aca="false">+H102</f>
        <v>0</v>
      </c>
      <c r="Q102" s="54"/>
      <c r="R102" s="54"/>
    </row>
    <row collapsed="false" customFormat="false" customHeight="false" hidden="false" ht="14" outlineLevel="1" r="103">
      <c r="E103" s="48"/>
      <c r="F103" s="18"/>
      <c r="G103" s="1" t="n">
        <f aca="false">1+G102</f>
        <v>8</v>
      </c>
      <c r="H103" s="58" t="n">
        <f aca="false">+IF(I102&gt;0,MIN(SUMIF($N$71:$N$90,G103,$E$71:$E$90),I102),0)</f>
        <v>0</v>
      </c>
      <c r="I103" s="57" t="n">
        <f aca="false">I102-H103</f>
        <v>820471.5</v>
      </c>
      <c r="J103" s="1" t="str">
        <f aca="false">IF(ISERROR(VLOOKUP(G103,R$71:U$90,4,0)),"",VLOOKUP(G103,R$71:U$90,4,0))</f>
        <v/>
      </c>
      <c r="K103" s="14" t="n">
        <f aca="false">+H103</f>
        <v>0</v>
      </c>
      <c r="Q103" s="54"/>
      <c r="R103" s="54"/>
    </row>
    <row collapsed="false" customFormat="false" customHeight="false" hidden="false" ht="14" outlineLevel="1" r="104">
      <c r="E104" s="48"/>
      <c r="F104" s="18"/>
      <c r="G104" s="1" t="n">
        <f aca="false">1+G103</f>
        <v>9</v>
      </c>
      <c r="H104" s="58" t="n">
        <f aca="false">+IF(I103&gt;0,MIN(SUMIF($N$71:$N$90,G104,$E$71:$E$90),I103),0)</f>
        <v>0</v>
      </c>
      <c r="I104" s="57" t="n">
        <f aca="false">I103-H104</f>
        <v>820471.5</v>
      </c>
      <c r="J104" s="1" t="str">
        <f aca="false">IF(ISERROR(VLOOKUP(G104,R$71:U$90,4,0)),"",VLOOKUP(G104,R$71:U$90,4,0))</f>
        <v/>
      </c>
      <c r="K104" s="14" t="n">
        <f aca="false">+H104</f>
        <v>0</v>
      </c>
    </row>
    <row collapsed="false" customFormat="false" customHeight="false" hidden="false" ht="14" outlineLevel="1" r="105">
      <c r="E105" s="48"/>
      <c r="F105" s="18"/>
      <c r="G105" s="1" t="n">
        <f aca="false">1+G104</f>
        <v>10</v>
      </c>
      <c r="H105" s="58" t="n">
        <f aca="false">+IF(I104&gt;0,MIN(SUMIF($N$71:$N$90,G105,$E$71:$E$90),I104),0)</f>
        <v>0</v>
      </c>
      <c r="I105" s="57" t="n">
        <f aca="false">I104-H105</f>
        <v>820471.5</v>
      </c>
      <c r="J105" s="1" t="str">
        <f aca="false">IF(ISERROR(VLOOKUP(G105,R$71:U$90,4,0)),"",VLOOKUP(G105,R$71:U$90,4,0))</f>
        <v/>
      </c>
      <c r="K105" s="14" t="n">
        <f aca="false">+H105</f>
        <v>0</v>
      </c>
    </row>
    <row collapsed="false" customFormat="false" customHeight="false" hidden="false" ht="14" outlineLevel="1" r="106">
      <c r="E106" s="48"/>
      <c r="F106" s="18"/>
      <c r="G106" s="1" t="n">
        <f aca="false">1+G105</f>
        <v>11</v>
      </c>
      <c r="H106" s="58" t="n">
        <f aca="false">+IF(I105&gt;0,MIN(SUMIF($N$71:$N$90,G106,$E$71:$E$90),I105),0)</f>
        <v>0</v>
      </c>
      <c r="I106" s="57" t="n">
        <f aca="false">I105-H106</f>
        <v>820471.5</v>
      </c>
      <c r="J106" s="1" t="str">
        <f aca="false">IF(ISERROR(VLOOKUP(G106,R$71:U$90,4,0)),"",VLOOKUP(G106,R$71:U$90,4,0))</f>
        <v/>
      </c>
      <c r="K106" s="14" t="n">
        <f aca="false">+H106</f>
        <v>0</v>
      </c>
    </row>
    <row collapsed="false" customFormat="false" customHeight="false" hidden="false" ht="14" outlineLevel="1" r="107">
      <c r="E107" s="48"/>
      <c r="F107" s="18"/>
      <c r="G107" s="1" t="n">
        <f aca="false">1+G106</f>
        <v>12</v>
      </c>
      <c r="H107" s="58" t="n">
        <f aca="false">+IF(I106&gt;0,MIN(SUMIF($N$71:$N$90,G107,$E$71:$E$90),I106),0)</f>
        <v>0</v>
      </c>
      <c r="I107" s="57" t="n">
        <f aca="false">I106-H107</f>
        <v>820471.5</v>
      </c>
      <c r="J107" s="1" t="str">
        <f aca="false">IF(ISERROR(VLOOKUP(G107,R$71:U$90,4,0)),"",VLOOKUP(G107,R$71:U$90,4,0))</f>
        <v/>
      </c>
      <c r="K107" s="14" t="n">
        <f aca="false">+H107</f>
        <v>0</v>
      </c>
    </row>
    <row collapsed="false" customFormat="false" customHeight="false" hidden="false" ht="14" outlineLevel="1" r="108">
      <c r="E108" s="48"/>
      <c r="F108" s="18"/>
      <c r="G108" s="1" t="n">
        <f aca="false">1+G107</f>
        <v>13</v>
      </c>
      <c r="H108" s="58" t="n">
        <f aca="false">+IF(I107&gt;0,MIN(SUMIF($N$71:$N$90,G108,$E$71:$E$90),I107),0)</f>
        <v>0</v>
      </c>
      <c r="I108" s="57" t="n">
        <f aca="false">I107-H108</f>
        <v>820471.5</v>
      </c>
      <c r="J108" s="1" t="str">
        <f aca="false">IF(ISERROR(VLOOKUP(G108,R$71:U$90,4,0)),"",VLOOKUP(G108,R$71:U$90,4,0))</f>
        <v/>
      </c>
      <c r="K108" s="14" t="n">
        <f aca="false">+H108</f>
        <v>0</v>
      </c>
    </row>
    <row collapsed="false" customFormat="false" customHeight="false" hidden="false" ht="14" outlineLevel="1" r="109">
      <c r="E109" s="48"/>
      <c r="F109" s="18"/>
      <c r="G109" s="1" t="n">
        <f aca="false">1+G108</f>
        <v>14</v>
      </c>
      <c r="H109" s="58" t="n">
        <f aca="false">+IF(I108&gt;0,MIN(SUMIF($N$71:$N$90,G109,$E$71:$E$90),I108),0)</f>
        <v>0</v>
      </c>
      <c r="I109" s="57" t="n">
        <f aca="false">I108-H109</f>
        <v>820471.5</v>
      </c>
      <c r="J109" s="1" t="str">
        <f aca="false">IF(ISERROR(VLOOKUP(G109,R$71:U$90,4,0)),"",VLOOKUP(G109,R$71:U$90,4,0))</f>
        <v/>
      </c>
      <c r="K109" s="14" t="n">
        <f aca="false">+H109</f>
        <v>0</v>
      </c>
    </row>
    <row collapsed="false" customFormat="false" customHeight="false" hidden="false" ht="14" outlineLevel="1" r="110">
      <c r="E110" s="48"/>
      <c r="F110" s="18"/>
      <c r="G110" s="1" t="n">
        <f aca="false">1+G109</f>
        <v>15</v>
      </c>
      <c r="H110" s="58" t="n">
        <f aca="false">+IF(I109&gt;0,MIN(SUMIF($N$71:$N$90,G110,$E$71:$E$90),I109),0)</f>
        <v>0</v>
      </c>
      <c r="I110" s="57" t="n">
        <f aca="false">I109-H110</f>
        <v>820471.5</v>
      </c>
      <c r="J110" s="1" t="str">
        <f aca="false">IF(ISERROR(VLOOKUP(G110,R$71:U$90,4,0)),"",VLOOKUP(G110,R$71:U$90,4,0))</f>
        <v/>
      </c>
      <c r="K110" s="14" t="n">
        <f aca="false">+H110</f>
        <v>0</v>
      </c>
    </row>
    <row collapsed="false" customFormat="false" customHeight="false" hidden="false" ht="14" outlineLevel="1" r="111">
      <c r="E111" s="48"/>
      <c r="F111" s="18"/>
      <c r="G111" s="1" t="n">
        <f aca="false">1+G110</f>
        <v>16</v>
      </c>
      <c r="H111" s="58" t="n">
        <f aca="false">+IF(I110&gt;0,MIN(SUMIF($N$71:$N$90,G111,$E$71:$E$90),I110),0)</f>
        <v>0</v>
      </c>
      <c r="I111" s="57" t="n">
        <f aca="false">I110-H111</f>
        <v>820471.5</v>
      </c>
      <c r="J111" s="1" t="str">
        <f aca="false">IF(ISERROR(VLOOKUP(G111,R$71:U$90,4,0)),"",VLOOKUP(G111,R$71:U$90,4,0))</f>
        <v/>
      </c>
      <c r="K111" s="14" t="n">
        <f aca="false">+H111</f>
        <v>0</v>
      </c>
    </row>
    <row collapsed="false" customFormat="false" customHeight="false" hidden="false" ht="14" outlineLevel="1" r="112">
      <c r="E112" s="48"/>
      <c r="F112" s="18"/>
      <c r="G112" s="1" t="n">
        <f aca="false">1+G111</f>
        <v>17</v>
      </c>
      <c r="H112" s="58" t="n">
        <f aca="false">+IF(I111&gt;0,MIN(SUMIF($N$71:$N$90,G112,$E$71:$E$90),I111),0)</f>
        <v>0</v>
      </c>
      <c r="I112" s="57" t="n">
        <f aca="false">I111-H112</f>
        <v>820471.5</v>
      </c>
      <c r="J112" s="1" t="str">
        <f aca="false">IF(ISERROR(VLOOKUP(G112,R$71:U$90,4,0)),"",VLOOKUP(G112,R$71:U$90,4,0))</f>
        <v/>
      </c>
      <c r="K112" s="14" t="n">
        <f aca="false">+H112</f>
        <v>0</v>
      </c>
    </row>
    <row collapsed="false" customFormat="false" customHeight="false" hidden="false" ht="14" outlineLevel="1" r="113">
      <c r="E113" s="48"/>
      <c r="F113" s="18"/>
      <c r="G113" s="1" t="n">
        <f aca="false">1+G112</f>
        <v>18</v>
      </c>
      <c r="H113" s="58" t="n">
        <f aca="false">+IF(I112&gt;0,MIN(SUMIF($N$71:$N$90,G113,$E$71:$E$90),I112),0)</f>
        <v>0</v>
      </c>
      <c r="I113" s="57" t="n">
        <f aca="false">I112-H113</f>
        <v>820471.5</v>
      </c>
      <c r="J113" s="1" t="str">
        <f aca="false">IF(ISERROR(VLOOKUP(G113,R$71:U$90,4,0)),"",VLOOKUP(G113,R$71:U$90,4,0))</f>
        <v/>
      </c>
      <c r="K113" s="14" t="n">
        <f aca="false">+H113</f>
        <v>0</v>
      </c>
    </row>
    <row collapsed="false" customFormat="false" customHeight="false" hidden="false" ht="14" outlineLevel="1" r="114">
      <c r="E114" s="48"/>
      <c r="F114" s="18"/>
      <c r="G114" s="1" t="n">
        <f aca="false">1+G113</f>
        <v>19</v>
      </c>
      <c r="H114" s="58" t="n">
        <f aca="false">+IF(I113&gt;0,MIN(SUMIF($N$71:$N$90,G114,$E$71:$E$90),I113),0)</f>
        <v>0</v>
      </c>
      <c r="I114" s="57" t="n">
        <f aca="false">I113-H114</f>
        <v>820471.5</v>
      </c>
      <c r="J114" s="1" t="str">
        <f aca="false">IF(ISERROR(VLOOKUP(G114,R$71:U$90,4,0)),"",VLOOKUP(G114,R$71:U$90,4,0))</f>
        <v/>
      </c>
      <c r="K114" s="14" t="n">
        <f aca="false">+H114</f>
        <v>0</v>
      </c>
    </row>
    <row collapsed="false" customFormat="false" customHeight="false" hidden="false" ht="14" outlineLevel="1" r="115">
      <c r="E115" s="48"/>
      <c r="F115" s="18"/>
      <c r="G115" s="1" t="n">
        <f aca="false">1+G114</f>
        <v>20</v>
      </c>
      <c r="H115" s="58" t="n">
        <f aca="false">+IF(I114&gt;0,MIN(SUMIF($N$71:$N$90,G115,$E$71:$E$90),I114),0)</f>
        <v>0</v>
      </c>
      <c r="I115" s="57" t="n">
        <f aca="false">I114-H115</f>
        <v>820471.5</v>
      </c>
      <c r="J115" s="1" t="str">
        <f aca="false">IF(ISERROR(VLOOKUP(G115,R$71:U$90,4,0)),"",VLOOKUP(G115,R$71:U$90,4,0))</f>
        <v/>
      </c>
      <c r="K115" s="14" t="n">
        <f aca="false">+H115</f>
        <v>0</v>
      </c>
    </row>
    <row collapsed="false" customFormat="false" customHeight="false" hidden="false" ht="14" outlineLevel="1" r="116">
      <c r="E116" s="18"/>
    </row>
    <row collapsed="false" customFormat="false" customHeight="false" hidden="false" ht="14" outlineLevel="1" r="117">
      <c r="E117" s="18"/>
      <c r="G117" s="14" t="n">
        <f aca="false">+G61</f>
        <v>-95617.5</v>
      </c>
      <c r="H117" s="14" t="n">
        <f aca="false">+H61</f>
        <v>150274</v>
      </c>
      <c r="I117" s="14" t="n">
        <f aca="false">+I61</f>
        <v>383900</v>
      </c>
      <c r="J117" s="14" t="n">
        <f aca="false">+J61</f>
        <v>0</v>
      </c>
      <c r="K117" s="14" t="n">
        <f aca="false">+K61</f>
        <v>-103085</v>
      </c>
      <c r="L117" s="14" t="n">
        <f aca="false">+L61</f>
        <v>485000</v>
      </c>
      <c r="M117" s="14" t="n">
        <f aca="false">+M61</f>
        <v>820471.5</v>
      </c>
    </row>
    <row collapsed="false" customFormat="false" customHeight="false" hidden="false" ht="14" outlineLevel="1" r="118">
      <c r="B118" s="15" t="s">
        <v>33</v>
      </c>
      <c r="C118" s="15" t="s">
        <v>36</v>
      </c>
      <c r="D118" s="15" t="s">
        <v>65</v>
      </c>
      <c r="E118" s="15" t="s">
        <v>66</v>
      </c>
    </row>
    <row collapsed="false" customFormat="false" customHeight="false" hidden="fals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fals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fals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fals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fals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fals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fals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fals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fals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fals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fals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fals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fals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fals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fals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fals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fals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fals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fals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fals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fals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fals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fals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false" ht="14" outlineLevel="1" r="142">
      <c r="B142" s="0" t="s">
        <v>67</v>
      </c>
      <c r="D142" s="59" t="inlineStr">
        <f aca="false">+MAX(F8:F27,G36:L36)</f>
        <is>
          <t/>
        </is>
      </c>
      <c r="E142" s="18"/>
      <c r="G142" s="19"/>
      <c r="H142" s="19"/>
      <c r="I142" s="19"/>
      <c r="J142" s="19"/>
      <c r="K142" s="19"/>
      <c r="L142" s="19"/>
      <c r="M142" s="19"/>
    </row>
    <row collapsed="false" customFormat="false" customHeight="false" hidden="false" ht="14" outlineLevel="1" r="143">
      <c r="B143" s="0" t="s">
        <v>68</v>
      </c>
      <c r="D143" s="62" t="inlineStr">
        <f aca="false">+M67</f>
        <is>
          <t/>
        </is>
      </c>
      <c r="E143" s="18"/>
      <c r="G143" s="19"/>
      <c r="H143" s="19"/>
      <c r="I143" s="19"/>
      <c r="J143" s="19"/>
      <c r="K143" s="19"/>
      <c r="L143" s="19"/>
      <c r="M143" s="19"/>
    </row>
    <row collapsed="false" customFormat="false" customHeight="false" hidden="false" ht="14" outlineLevel="1" r="144">
      <c r="B144" s="0" t="s">
        <v>69</v>
      </c>
      <c r="D144" s="63" t="inlineStr">
        <f aca="false">+D142-D143</f>
        <is>
          <t/>
        </is>
      </c>
      <c r="E144" s="18"/>
      <c r="G144" s="19"/>
      <c r="H144" s="19"/>
      <c r="I144" s="19"/>
      <c r="J144" s="19"/>
      <c r="K144" s="19"/>
      <c r="L144" s="19"/>
      <c r="M144" s="19"/>
    </row>
    <row collapsed="false" customFormat="false" customHeight="false" hidden="false" ht="14" outlineLevel="1" r="145">
      <c r="B145" s="0" t="s">
        <v>70</v>
      </c>
      <c r="E145" s="64"/>
      <c r="G145" s="19" t="n">
        <f aca="false">+(1-G66)*$D$144</f>
        <v>-0.00868681677354449</v>
      </c>
      <c r="H145" s="19" t="n">
        <f aca="false">+(1-H66)*$D$144</f>
        <v>0.011582422364726</v>
      </c>
      <c r="I145" s="19" t="n">
        <f aca="false">+(1-I66)*$D$144</f>
        <v>0.023164844729452</v>
      </c>
      <c r="J145" s="19" t="n">
        <f aca="false">+(1-J66)*$D$144</f>
        <v>0</v>
      </c>
      <c r="K145" s="19" t="n">
        <f aca="false">+(1-K66)*$D$144</f>
        <v>-0.00579121118236299</v>
      </c>
      <c r="L145" s="19" t="n">
        <f aca="false">+(1-L66)*$D$144</f>
        <v>0.028956055911815</v>
      </c>
      <c r="M145" s="19"/>
    </row>
    <row collapsed="false" customFormat="false" customHeight="false" hidden="fals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71</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38</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46</v>
      </c>
      <c r="E151" s="32"/>
      <c r="F151" s="32"/>
      <c r="G151" s="33" t="n">
        <f aca="false">+G65+G139</f>
        <v>414342.5</v>
      </c>
      <c r="H151" s="33" t="n">
        <f aca="false">+H65+H139</f>
        <v>225411</v>
      </c>
      <c r="I151" s="33" t="n">
        <f aca="false">+I65+I139</f>
        <v>95975</v>
      </c>
      <c r="J151" s="33" t="n">
        <f aca="false">+J65+J139</f>
        <v>525400</v>
      </c>
      <c r="K151" s="33" t="n">
        <f aca="false">+K65+K139</f>
        <v>618510</v>
      </c>
      <c r="L151" s="33" t="n">
        <f aca="false">+L65+L139</f>
        <v>0</v>
      </c>
      <c r="M151" s="34" t="n">
        <f aca="false">+M65+M139</f>
        <v>1879638.5</v>
      </c>
    </row>
    <row collapsed="false" customFormat="false" customHeight="false" hidden="false" ht="14" outlineLevel="0" r="152">
      <c r="D152" s="39" t="s">
        <v>38</v>
      </c>
      <c r="E152" s="40"/>
      <c r="F152" s="40"/>
      <c r="G152" s="41" t="n">
        <f aca="false">+IF(ISERR(+IF(ISERR(G67),G146,((G139*G146)+(G65*G67))/G151)),0,+IF(ISERR(G67),G146,((G139*G146)+(G65*G67))/G151))</f>
        <v>0.0282692307692308</v>
      </c>
      <c r="H152" s="41" t="n">
        <f aca="false">+IF(ISERR(+IF(ISERR(H67),H146,((H139*H146)+(H65*H67))/H151)),0,+IF(ISERR(H67),H146,((H139*H146)+(H65*H67))/H151))</f>
        <v>0.03</v>
      </c>
      <c r="I152" s="41" t="n">
        <f aca="false">+IF(ISERR(+IF(ISERR(I67),I146,((I139*I146)+(I65*I67))/I151)),0,+IF(ISERR(I67),I146,((I139*I146)+(I65*I67))/I151))</f>
        <v>0.03</v>
      </c>
      <c r="J152" s="41" t="n">
        <f aca="false">+IF(ISERR(+IF(ISERR(J67),J146,((J139*J146)+(J65*J67))/J151)),0,+IF(ISERR(J67),J146,((J139*J146)+(J65*J67))/J151))</f>
        <v>0.04025</v>
      </c>
      <c r="K152" s="41" t="n">
        <f aca="false">+IF(ISERR(+IF(ISERR(K67),K146,((K139*K146)+(K65*K67))/K151)),0,+IF(ISERR(K67),K146,((K139*K146)+(K65*K67))/K151))</f>
        <v>0.025625</v>
      </c>
      <c r="L152" s="41" t="n">
        <f aca="false">+IF(ISERR(+IF(ISERR(L67),L146,((L139*L146)+(L65*L67))/L151)),0,+IF(ISERR(L67),L146,((L139*L146)+(L65*L67))/L151))</f>
        <v>0</v>
      </c>
      <c r="M152" s="42" t="n">
        <f aca="false">+SUMPRODUCT(G151:L151,G152:L152)/M151</f>
        <v>0.031043944088185</v>
      </c>
    </row>
    <row collapsed="false" customFormat="false" customHeight="false" hidden="false" ht="14" outlineLevel="0" r="153">
      <c r="E153" s="18"/>
    </row>
    <row collapsed="false" customFormat="false" customHeight="false" hidden="false" ht="14" outlineLevel="0" r="154">
      <c r="D154" s="0" t="s">
        <v>39</v>
      </c>
      <c r="G154" s="14" t="n">
        <f aca="false">+G4-G151</f>
        <v>-95617.5</v>
      </c>
      <c r="H154" s="14" t="n">
        <f aca="false">+H4-H151</f>
        <v>150274</v>
      </c>
      <c r="I154" s="14" t="n">
        <f aca="false">+I4-I151</f>
        <v>383900</v>
      </c>
      <c r="J154" s="14" t="n">
        <f aca="false">+J4-J151</f>
        <v>0</v>
      </c>
      <c r="K154" s="14" t="n">
        <f aca="false">+K4-K151</f>
        <v>-103085</v>
      </c>
      <c r="L154" s="14" t="n">
        <f aca="false">+L4-L151</f>
        <v>485000</v>
      </c>
      <c r="M154" s="14" t="n">
        <f aca="false">+M4-M151</f>
        <v>820471.5</v>
      </c>
    </row>
    <row collapsed="false" customFormat="false" customHeight="false" hidden="false" ht="14" outlineLevel="0" r="155">
      <c r="D155" s="0" t="s">
        <v>40</v>
      </c>
      <c r="G155" s="28" t="str">
        <f aca="false">+IF(G154=0,"NA",IF(G154&lt;0,"OVER","UNDER"))</f>
        <v>OVER</v>
      </c>
      <c r="H155" s="28" t="str">
        <f aca="false">+IF(H154=0,"NA",IF(H154&lt;0,"OVER","UNDER"))</f>
        <v>UNDER</v>
      </c>
      <c r="I155" s="28" t="str">
        <f aca="false">+IF(I154=0,"NA",IF(I154&lt;0,"OVER","UNDER"))</f>
        <v>UNDER</v>
      </c>
      <c r="J155" s="28" t="str">
        <f aca="false">+IF(J154=0,"NA",IF(J154&lt;0,"OVER","UNDER"))</f>
        <v>NA</v>
      </c>
      <c r="K155" s="28" t="str">
        <f aca="false">+IF(K154=0,"NA",IF(K154&lt;0,"OVER","UNDER"))</f>
        <v>OVER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false" ht="28.35" outlineLevel="1" r="158">
      <c r="B158" s="15" t="s">
        <v>33</v>
      </c>
      <c r="C158" s="16" t="s">
        <v>73</v>
      </c>
      <c r="D158" s="15" t="s">
        <v>74</v>
      </c>
      <c r="E158" s="15" t="s">
        <v>75</v>
      </c>
    </row>
    <row collapsed="false" customFormat="false" customHeight="false" hidden="fals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fals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fals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fals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fals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fals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fals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fals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fals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fals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fals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fals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fals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fals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fals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fals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fals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fals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fals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fals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false" ht="14" outlineLevel="1" r="179">
      <c r="B179" s="0" t="s">
        <v>76</v>
      </c>
      <c r="C179" s="10" t="n">
        <f aca="false">+COUNTIF(C159:C178,"Y")</f>
        <v>0</v>
      </c>
      <c r="D179" s="14" t="n">
        <f aca="false">SUM(D159:D178)</f>
        <v>0</v>
      </c>
      <c r="E179" s="14" t="n">
        <f aca="false">SUM(E159:E178)</f>
        <v>0</v>
      </c>
      <c r="H179" s="14"/>
      <c r="I179" s="14"/>
      <c r="J179" s="14"/>
      <c r="K179" s="14"/>
      <c r="L179" s="14"/>
      <c r="M179" s="14"/>
    </row>
    <row collapsed="false" customFormat="false" customHeight="false" hidden="false" ht="14" outlineLevel="1" r="180">
      <c r="B180" s="0" t="s">
        <v>77</v>
      </c>
      <c r="D180" s="14" t="n">
        <f aca="false">+M154</f>
        <v>820471.5</v>
      </c>
      <c r="E180" s="18"/>
    </row>
    <row collapsed="false" customFormat="false" customHeight="false" hidden="false" ht="14" outlineLevel="1" r="181">
      <c r="B181" s="0" t="s">
        <v>78</v>
      </c>
      <c r="D181" s="66" t="n">
        <f aca="false">+IF(ISERR(D180/D179),0,D180/D179)</f>
        <v>0</v>
      </c>
      <c r="E181" s="18"/>
    </row>
    <row collapsed="false" customFormat="false" customHeight="false" hidden="false" ht="14" outlineLevel="1" r="182">
      <c r="E182" s="18"/>
      <c r="H182" s="59"/>
      <c r="I182" s="59"/>
      <c r="J182" s="59"/>
      <c r="K182" s="59"/>
      <c r="L182" s="59"/>
      <c r="M182" s="59"/>
    </row>
    <row collapsed="false" customFormat="false" customHeight="false" hidden="false" ht="14" outlineLevel="0" r="183">
      <c r="D183" s="20" t="s">
        <v>71</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38</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+IF(ISERROR(M67),M146,MAX(M67,M146))</f>
        <is>
          <t/>
        </is>
      </c>
    </row>
    <row collapsed="false" customFormat="false" customHeight="false" hidden="false" ht="14" outlineLevel="0" r="185">
      <c r="E185" s="18"/>
    </row>
    <row collapsed="false" customFormat="false" customHeight="false" hidden="false" ht="14" outlineLevel="0" r="186">
      <c r="D186" s="31" t="s">
        <v>46</v>
      </c>
      <c r="E186" s="32"/>
      <c r="F186" s="32"/>
      <c r="G186" s="33" t="n">
        <f aca="false">+G151+G183</f>
        <v>414342.5</v>
      </c>
      <c r="H186" s="33" t="n">
        <f aca="false">+H151+H183</f>
        <v>225411</v>
      </c>
      <c r="I186" s="33" t="n">
        <f aca="false">+I151+I183</f>
        <v>95975</v>
      </c>
      <c r="J186" s="33" t="n">
        <f aca="false">+J151+J183</f>
        <v>525400</v>
      </c>
      <c r="K186" s="33" t="n">
        <f aca="false">+K151+K183</f>
        <v>618510</v>
      </c>
      <c r="L186" s="33" t="n">
        <f aca="false">+L151+L183</f>
        <v>0</v>
      </c>
      <c r="M186" s="34" t="n">
        <f aca="false">+M151+M183</f>
        <v>1879638.5</v>
      </c>
    </row>
    <row collapsed="false" customFormat="false" customHeight="false" hidden="false" ht="14" outlineLevel="0" r="187">
      <c r="D187" s="39" t="s">
        <v>38</v>
      </c>
      <c r="E187" s="40"/>
      <c r="F187" s="40"/>
      <c r="G187" s="41" t="n">
        <f aca="false">+IF(G186=0,0,IF(ISERR(G152),G184,((G183*G184)+(G151*G152))/G186))</f>
        <v>0.0282692307692308</v>
      </c>
      <c r="H187" s="41" t="n">
        <f aca="false">+IF(H186=0,0,IF(ISERR(H152),H184,((H183*H184)+(H151*H152))/H186))</f>
        <v>0.03</v>
      </c>
      <c r="I187" s="41" t="n">
        <f aca="false">+IF(I186=0,0,IF(ISERR(I152),I184,((I183*I184)+(I151*I152))/I186))</f>
        <v>0.03</v>
      </c>
      <c r="J187" s="41" t="n">
        <f aca="false">+IF(J186=0,0,IF(ISERR(J152),J184,((J183*J184)+(J151*J152))/J186))</f>
        <v>0.04025</v>
      </c>
      <c r="K187" s="41" t="n">
        <f aca="false">+IF(K186=0,0,IF(ISERR(K152),K184,((K183*K184)+(K151*K152))/K186))</f>
        <v>0.025625</v>
      </c>
      <c r="L187" s="41" t="n">
        <f aca="false">+IF(L186=0,0,IF(ISERR(L152),L184,((L183*L184)+(L151*L152))/L186))</f>
        <v>0</v>
      </c>
      <c r="M187" s="42" t="n">
        <f aca="false">+SUMPRODUCT(G187:L187*G186:L186)/M186</f>
        <v>0.031043944088185</v>
      </c>
    </row>
    <row collapsed="false" customFormat="false" customHeight="false" hidden="false" ht="14" outlineLevel="0" r="188">
      <c r="E188" s="18"/>
    </row>
    <row collapsed="false" customFormat="false" customHeight="false" hidden="false" ht="14" outlineLevel="0" r="189">
      <c r="D189" s="0" t="s">
        <v>39</v>
      </c>
      <c r="G189" s="14" t="n">
        <f aca="false">+G4-G186</f>
        <v>-95617.5</v>
      </c>
      <c r="H189" s="14" t="n">
        <f aca="false">+H4-H186</f>
        <v>150274</v>
      </c>
      <c r="I189" s="14" t="n">
        <f aca="false">+I4-I186</f>
        <v>383900</v>
      </c>
      <c r="J189" s="14" t="n">
        <f aca="false">+J4-J186</f>
        <v>0</v>
      </c>
      <c r="K189" s="14" t="n">
        <f aca="false">+K4-K186</f>
        <v>-103085</v>
      </c>
      <c r="L189" s="14" t="n">
        <f aca="false">+L4-L186</f>
        <v>485000</v>
      </c>
      <c r="M189" s="14" t="n">
        <f aca="false">+M4-M186</f>
        <v>820471.5</v>
      </c>
    </row>
    <row collapsed="false" customFormat="false" customHeight="false" hidden="false" ht="14" outlineLevel="0" r="190">
      <c r="D190" s="0" t="s">
        <v>40</v>
      </c>
      <c r="G190" s="28" t="str">
        <f aca="false">+IF(G189=0,"NA",IF(G189&lt;0,"OVER","UNDER"))</f>
        <v>OVER</v>
      </c>
      <c r="H190" s="28" t="str">
        <f aca="false">+IF(H189=0,"NA",IF(H189&lt;0,"OVER","UNDER"))</f>
        <v>UNDER</v>
      </c>
      <c r="I190" s="28" t="str">
        <f aca="false">+IF(I189=0,"NA",IF(I189&lt;0,"OVER","UNDER"))</f>
        <v>UNDER</v>
      </c>
      <c r="J190" s="28" t="str">
        <f aca="false">+IF(J189=0,"NA",IF(J189&lt;0,"OVER","UNDER"))</f>
        <v>NA</v>
      </c>
      <c r="K190" s="28" t="str">
        <f aca="false">+IF(K189=0,"NA",IF(K189&lt;0,"OVER","UNDER"))</f>
        <v>OVER</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false" ht="14" outlineLevel="1" r="193">
      <c r="E193" s="18"/>
    </row>
    <row collapsed="false" customFormat="false" customHeight="false" hidden="false" ht="14" outlineLevel="1" r="194">
      <c r="B194" s="15" t="s">
        <v>33</v>
      </c>
      <c r="C194" s="15" t="s">
        <v>36</v>
      </c>
      <c r="D194" s="15" t="s">
        <v>80</v>
      </c>
      <c r="E194" s="18"/>
    </row>
    <row collapsed="false" customFormat="false" customHeight="false" hidden="false" ht="14" outlineLevel="1" r="195">
      <c r="B195" s="10" t="n">
        <f aca="false">+'bid input'!B2</f>
        <v>1104134</v>
      </c>
      <c r="C195" s="59" t="n">
        <f aca="false">+IF(D195&gt;0,IF(M8&gt;0,F8,0)+IF(M37&gt;0,SUMPRODUCT(G$36:L$36,G37:L37)/M37,0)+E119+IF(M159&gt;0,M$184,0),0)</f>
        <v>0</v>
      </c>
      <c r="D195" s="14" t="n">
        <f aca="false">+M195</f>
        <v>0</v>
      </c>
      <c r="E195" s="59" t="n">
        <f aca="false">+IF(M8&gt;0,F8,0)+IF(M37&gt;0,SUMPRODUCT(G$36:L$36,G37:L37)/M37,0)+E106+IF(M146&gt;0,M$171,0)</f>
        <v>0.03</v>
      </c>
      <c r="G195" s="14" t="n">
        <f aca="false">+IF(G$190="NA",+G159+G119+G37+G8,0)</f>
        <v>0</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0</v>
      </c>
    </row>
    <row collapsed="false" customFormat="false" customHeight="false" hidden="false" ht="14" outlineLevel="1" r="196">
      <c r="B196" s="10" t="n">
        <f aca="false">+'bid input'!B3</f>
        <v>1104143</v>
      </c>
      <c r="C196" s="59" t="n">
        <f aca="false">+IF(D196&gt;0,IF(M9&gt;0,F9,0)+IF(M38&gt;0,SUMPRODUCT(G$36:L$36,G38:L38)/M38,0)+E120+IF(M160&gt;0,M$184,0),0)</f>
        <v>0</v>
      </c>
      <c r="D196" s="14" t="n">
        <f aca="false">+M196</f>
        <v>0</v>
      </c>
      <c r="E196" s="59" t="n">
        <f aca="false">+IF(M9&gt;0,F9,0)+IF(M38&gt;0,SUMPRODUCT(G$36:L$36,G38:L38)/M38,0)+E120+IF(M160&gt;0,M$184,0)</f>
        <v>0.03125</v>
      </c>
      <c r="G196" s="14" t="n">
        <f aca="false">+IF(G$190="NA",+G160+G120+G38+G9,0)</f>
        <v>0</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0</v>
      </c>
    </row>
    <row collapsed="false" customFormat="false" customHeight="false" hidden="false" ht="14" outlineLevel="1" r="197">
      <c r="B197" s="10" t="n">
        <f aca="false">+'bid input'!B4</f>
        <v>1104154</v>
      </c>
      <c r="C197" s="59" t="n">
        <f aca="false">+IF(D197&gt;0,IF(M10&gt;0,F10,0)+IF(M39&gt;0,SUMPRODUCT(G$36:L$36,G39:L39)/M39,0)+E121+IF(M161&gt;0,M$184,0),0)</f>
        <v>0</v>
      </c>
      <c r="D197" s="14" t="n">
        <f aca="false">+M197</f>
        <v>0</v>
      </c>
      <c r="E197" s="59" t="n">
        <f aca="false">+IF(M10&gt;0,F10,0)+IF(M39&gt;0,SUMPRODUCT(G$36:L$36,G39:L39)/M39,0)+E121+IF(M161&gt;0,M$184,0)</f>
        <v>0.03</v>
      </c>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false" ht="14" outlineLevel="1" r="198">
      <c r="B198" s="10" t="n">
        <f aca="false">+'bid input'!B5</f>
        <v>1104152</v>
      </c>
      <c r="C198" s="59" t="n">
        <f aca="false">+IF(D198&gt;0,IF(M11&gt;0,F11,0)+IF(M40&gt;0,SUMPRODUCT(G$36:L$36,G40:L40)/M40,0)+E122+IF(M162&gt;0,M$184,0),0)</f>
        <v>0.03</v>
      </c>
      <c r="D198" s="14" t="n">
        <f aca="false">+M198</f>
        <v>105080</v>
      </c>
      <c r="E198" s="59" t="n">
        <f aca="false">+IF(M11&gt;0,F11,0)+IF(M40&gt;0,SUMPRODUCT(G$36:L$36,G40:L40)/M40,0)+E122+IF(M162&gt;0,M$184,0)</f>
        <v>0.03</v>
      </c>
      <c r="G198" s="14" t="n">
        <f aca="false">+IF(G$190="NA",+G162+G122+G40+G11,0)</f>
        <v>0</v>
      </c>
      <c r="H198" s="14" t="n">
        <f aca="false">+IF(H$190="NA",+H162+H122+H40+H11,0)</f>
        <v>0</v>
      </c>
      <c r="I198" s="14" t="n">
        <f aca="false">+IF(I$190="NA",+I162+I122+I40+I11,0)</f>
        <v>0</v>
      </c>
      <c r="J198" s="14" t="n">
        <f aca="false">+IF(J$190="NA",+J162+J122+J40+J11,0)</f>
        <v>105080</v>
      </c>
      <c r="K198" s="14" t="n">
        <f aca="false">+IF(K$190="NA",+K162+K122+K40+K11,0)</f>
        <v>0</v>
      </c>
      <c r="L198" s="14" t="n">
        <f aca="false">+IF(L$190="NA",+L162+L122+L40+L11,0)</f>
        <v>0</v>
      </c>
      <c r="M198" s="14" t="n">
        <f aca="false">SUM(G198:L198)</f>
        <v>105080</v>
      </c>
    </row>
    <row collapsed="false" customFormat="false" customHeight="false" hidden="false" ht="14" outlineLevel="1" r="199">
      <c r="B199" s="10" t="n">
        <f aca="false">+'bid input'!B6</f>
        <v>1104136</v>
      </c>
      <c r="C199" s="59" t="n">
        <f aca="false">+IF(D199&gt;0,IF(M12&gt;0,F12,0)+IF(M41&gt;0,SUMPRODUCT(G$36:L$36,G41:L41)/M41,0)+E123+IF(M163&gt;0,M$184,0),0)</f>
        <v>0.06</v>
      </c>
      <c r="D199" s="14" t="n">
        <f aca="false">+M199</f>
        <v>105080</v>
      </c>
      <c r="E199" s="59" t="n">
        <f aca="false">+IF(M12&gt;0,F12,0)+IF(M41&gt;0,SUMPRODUCT(G$36:L$36,G41:L41)/M41,0)+E123+IF(M163&gt;0,M$184,0)</f>
        <v>0.06</v>
      </c>
      <c r="G199" s="14" t="n">
        <f aca="false">+IF(G$190="NA",+G163+G123+G41+G12,0)</f>
        <v>0</v>
      </c>
      <c r="H199" s="14" t="n">
        <f aca="false">+IF(H$190="NA",+H163+H123+H41+H12,0)</f>
        <v>0</v>
      </c>
      <c r="I199" s="14" t="n">
        <f aca="false">+IF(I$190="NA",+I163+I123+I41+I12,0)</f>
        <v>0</v>
      </c>
      <c r="J199" s="14" t="n">
        <f aca="false">+IF(J$190="NA",+J163+J123+J41+J12,0)</f>
        <v>105080</v>
      </c>
      <c r="K199" s="14" t="n">
        <f aca="false">+IF(K$190="NA",+K163+K123+K41+K12,0)</f>
        <v>0</v>
      </c>
      <c r="L199" s="14" t="n">
        <f aca="false">+IF(L$190="NA",+L163+L123+L41+L12,0)</f>
        <v>0</v>
      </c>
      <c r="M199" s="14" t="n">
        <f aca="false">SUM(G199:L199)</f>
        <v>105080</v>
      </c>
    </row>
    <row collapsed="false" customFormat="false" customHeight="false" hidden="false" ht="14" outlineLevel="1" r="200">
      <c r="B200" s="10" t="n">
        <f aca="false">+'bid input'!B7</f>
        <v>1104138</v>
      </c>
      <c r="C200" s="59" t="n">
        <f aca="false">+IF(D200&gt;0,IF(M13&gt;0,F13,0)+IF(M42&gt;0,SUMPRODUCT(G$36:L$36,G42:L42)/M42,0)+E124+IF(M164&gt;0,M$184,0),0)</f>
        <v>0</v>
      </c>
      <c r="D200" s="14" t="n">
        <f aca="false">+M200</f>
        <v>0</v>
      </c>
      <c r="E200" s="59" t="n">
        <f aca="false">+IF(M13&gt;0,F13,0)+IF(M42&gt;0,SUMPRODUCT(G$36:L$36,G42:L42)/M42,0)+E124+IF(M164&gt;0,M$184,0)</f>
        <v>0.02125</v>
      </c>
      <c r="G200" s="14" t="n">
        <f aca="false">+IF(G$190="NA",+G164+G124+G42+G13,0)</f>
        <v>0</v>
      </c>
      <c r="H200" s="14" t="n">
        <f aca="false">+IF(H$190="NA",+H164+H124+H42+H13,0)</f>
        <v>0</v>
      </c>
      <c r="I200" s="14" t="n">
        <f aca="false">+IF(I$190="NA",+I164+I124+I42+I13,0)</f>
        <v>0</v>
      </c>
      <c r="J200" s="14" t="n">
        <f aca="false">+IF(J$190="NA",+J164+J124+J42+J13,0)</f>
        <v>0</v>
      </c>
      <c r="K200" s="14" t="n">
        <f aca="false">+IF(K$190="NA",+K164+K124+K42+K13,0)</f>
        <v>0</v>
      </c>
      <c r="L200" s="14" t="n">
        <f aca="false">+IF(L$190="NA",+L164+L124+L42+L13,0)</f>
        <v>0</v>
      </c>
      <c r="M200" s="14" t="n">
        <f aca="false">SUM(G200:L200)</f>
        <v>0</v>
      </c>
    </row>
    <row collapsed="false" customFormat="false" customHeight="false" hidden="false" ht="14" outlineLevel="1" r="201">
      <c r="B201" s="10" t="n">
        <f aca="false">+'bid input'!B8</f>
        <v>1104139</v>
      </c>
      <c r="C201" s="59" t="n">
        <f aca="false">+IF(D201&gt;0,IF(M14&gt;0,F14,0)+IF(M43&gt;0,SUMPRODUCT(G$36:L$36,G43:L43)/M43,0)+E125+IF(M165&gt;0,M$184,0),0)</f>
        <v>0</v>
      </c>
      <c r="D201" s="14" t="n">
        <f aca="false">+M201</f>
        <v>0</v>
      </c>
      <c r="E201" s="59" t="n">
        <f aca="false">+IF(M14&gt;0,F14,0)+IF(M43&gt;0,SUMPRODUCT(G$36:L$36,G43:L43)/M43,0)+E125+IF(M165&gt;0,M$184,0)</f>
        <v>0.0225</v>
      </c>
      <c r="G201" s="14" t="n">
        <f aca="false">+IF(G$190="NA",+G165+G125+G43+G14,0)</f>
        <v>0</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0</v>
      </c>
    </row>
    <row collapsed="false" customFormat="false" customHeight="false" hidden="false" ht="14" outlineLevel="1" r="202">
      <c r="B202" s="10" t="n">
        <f aca="false">+'bid input'!B9</f>
        <v>1104140</v>
      </c>
      <c r="C202" s="59" t="n">
        <f aca="false">+IF(D202&gt;0,IF(M15&gt;0,F15,0)+IF(M44&gt;0,SUMPRODUCT(G$36:L$36,G44:L44)/M44,0)+E126+IF(M166&gt;0,M$184,0),0)</f>
        <v>0</v>
      </c>
      <c r="D202" s="14" t="n">
        <f aca="false">+M202</f>
        <v>0</v>
      </c>
      <c r="E202" s="59" t="n">
        <f aca="false">+IF(M15&gt;0,F15,0)+IF(M44&gt;0,SUMPRODUCT(G$36:L$36,G44:L44)/M44,0)+E126+IF(M166&gt;0,M$184,0)</f>
        <v>0.025</v>
      </c>
      <c r="G202" s="14" t="n">
        <f aca="false">+IF(G$190="NA",+G166+G126+G44+G15,0)</f>
        <v>0</v>
      </c>
      <c r="H202" s="14" t="n">
        <f aca="false">+IF(H$190="NA",+H166+H126+H44+H15,0)</f>
        <v>0</v>
      </c>
      <c r="I202" s="14" t="n">
        <f aca="false">+IF(I$190="NA",+I166+I126+I44+I15,0)</f>
        <v>0</v>
      </c>
      <c r="J202" s="14" t="n">
        <f aca="false">+IF(J$190="NA",+J166+J126+J44+J15,0)</f>
        <v>0</v>
      </c>
      <c r="K202" s="14" t="n">
        <f aca="false">+IF(K$190="NA",+K166+K126+K44+K15,0)</f>
        <v>0</v>
      </c>
      <c r="L202" s="14" t="n">
        <f aca="false">+IF(L$190="NA",+L166+L126+L44+L15,0)</f>
        <v>0</v>
      </c>
      <c r="M202" s="14" t="n">
        <f aca="false">SUM(G202:L202)</f>
        <v>0</v>
      </c>
    </row>
    <row collapsed="false" customFormat="false" customHeight="false" hidden="false" ht="14" outlineLevel="1" r="203">
      <c r="B203" s="10" t="n">
        <f aca="false">+'bid input'!B10</f>
        <v>1104141</v>
      </c>
      <c r="C203" s="59" t="n">
        <f aca="false">+IF(D203&gt;0,IF(M16&gt;0,F16,0)+IF(M45&gt;0,SUMPRODUCT(G$36:L$36,G45:L45)/M45,0)+E127+IF(M167&gt;0,M$184,0),0)</f>
        <v>0</v>
      </c>
      <c r="D203" s="14" t="n">
        <f aca="false">+M203</f>
        <v>0</v>
      </c>
      <c r="E203" s="59" t="n">
        <f aca="false">+IF(M16&gt;0,F16,0)+IF(M45&gt;0,SUMPRODUCT(G$36:L$36,G45:L45)/M45,0)+E127+IF(M167&gt;0,M$184,0)</f>
        <v>0.025</v>
      </c>
      <c r="G203" s="14" t="n">
        <f aca="false">+IF(G$190="NA",+G167+G127+G45+G16,0)</f>
        <v>0</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0</v>
      </c>
    </row>
    <row collapsed="false" customFormat="false" customHeight="false" hidden="false" ht="14" outlineLevel="1" r="204">
      <c r="B204" s="10" t="n">
        <f aca="false">+'bid input'!B11</f>
        <v>1104159</v>
      </c>
      <c r="C204" s="59" t="n">
        <f aca="false">+IF(D204&gt;0,IF(M17&gt;0,F17,0)+IF(M46&gt;0,SUMPRODUCT(G$36:L$36,G46:L46)/M46,0)+E128+IF(M168&gt;0,M$184,0),0)</f>
        <v>0</v>
      </c>
      <c r="D204" s="14" t="n">
        <f aca="false">+M204</f>
        <v>0</v>
      </c>
      <c r="E204" s="59" t="n">
        <f aca="false">+IF(M17&gt;0,F17,0)+IF(M46&gt;0,SUMPRODUCT(G$36:L$36,G46:L46)/M46,0)+E128+IF(M168&gt;0,M$184,0)</f>
        <v>0.035</v>
      </c>
      <c r="G204" s="14" t="n">
        <f aca="false">+IF(G$190="NA",+G168+G128+G46+G17,0)</f>
        <v>0</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0</v>
      </c>
    </row>
    <row collapsed="false" customFormat="false" customHeight="false" hidden="false" ht="14" outlineLevel="1" r="205">
      <c r="B205" s="10" t="n">
        <f aca="false">+'bid input'!B12</f>
        <v>1104161</v>
      </c>
      <c r="C205" s="59" t="n">
        <f aca="false">+IF(D205&gt;0,IF(M18&gt;0,F18,0)+IF(M47&gt;0,SUMPRODUCT(G$36:L$36,G47:L47)/M47,0)+E129+IF(M169&gt;0,M$184,0),0)</f>
        <v>0.0375</v>
      </c>
      <c r="D205" s="14" t="n">
        <f aca="false">+M205</f>
        <v>105080</v>
      </c>
      <c r="E205" s="59" t="n">
        <f aca="false">+IF(M18&gt;0,F18,0)+IF(M47&gt;0,SUMPRODUCT(G$36:L$36,G47:L47)/M47,0)+E129+IF(M169&gt;0,M$184,0)</f>
        <v>0.0375</v>
      </c>
      <c r="G205" s="14" t="n">
        <f aca="false">+IF(G$190="NA",+G169+G129+G47+G18,0)</f>
        <v>0</v>
      </c>
      <c r="H205" s="14" t="n">
        <f aca="false">+IF(H$190="NA",+H169+H129+H47+H18,0)</f>
        <v>0</v>
      </c>
      <c r="I205" s="14" t="n">
        <f aca="false">+IF(I$190="NA",+I169+I129+I47+I18,0)</f>
        <v>0</v>
      </c>
      <c r="J205" s="14" t="n">
        <f aca="false">+IF(J$190="NA",+J169+J129+J47+J18,0)</f>
        <v>105080</v>
      </c>
      <c r="K205" s="14" t="n">
        <f aca="false">+IF(K$190="NA",+K169+K129+K47+K18,0)</f>
        <v>0</v>
      </c>
      <c r="L205" s="14" t="n">
        <f aca="false">+IF(L$190="NA",+L169+L129+L47+L18,0)</f>
        <v>0</v>
      </c>
      <c r="M205" s="14" t="n">
        <f aca="false">SUM(G205:L205)</f>
        <v>105080</v>
      </c>
    </row>
    <row collapsed="false" customFormat="false" customHeight="false" hidden="false" ht="14" outlineLevel="1" r="206">
      <c r="B206" s="10" t="n">
        <f aca="false">+'bid input'!B13</f>
        <v>1104145</v>
      </c>
      <c r="C206" s="59" t="n">
        <f aca="false">+IF(D206&gt;0,IF(M19&gt;0,F19,0)+IF(M48&gt;0,SUMPRODUCT(G$36:L$36,G48:L48)/M48,0)+E130+IF(M170&gt;0,M$184,0),0)</f>
        <v>0</v>
      </c>
      <c r="D206" s="14" t="n">
        <f aca="false">+M206</f>
        <v>0</v>
      </c>
      <c r="E206" s="59" t="n">
        <f aca="false">+IF(M19&gt;0,F19,0)+IF(M48&gt;0,SUMPRODUCT(G$36:L$36,G48:L48)/M48,0)+E130+IF(M170&gt;0,M$184,0)</f>
        <v>0.015</v>
      </c>
      <c r="G206" s="14" t="n">
        <f aca="false">+IF(G$190="NA",+G170+G130+G48+G19,0)</f>
        <v>0</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0</v>
      </c>
    </row>
    <row collapsed="false" customFormat="false" customHeight="false" hidden="false" ht="14" outlineLevel="1" r="207">
      <c r="B207" s="10" t="n">
        <f aca="false">+'bid input'!B14</f>
        <v>1104133</v>
      </c>
      <c r="C207" s="59" t="n">
        <f aca="false">+IF(D207&gt;0,IF(M20&gt;0,F20,0)+IF(M49&gt;0,SUMPRODUCT(G$36:L$36,G49:L49)/M49,0)+E131+IF(M171&gt;0,M$184,0),0)</f>
        <v>0.04</v>
      </c>
      <c r="D207" s="14" t="n">
        <f aca="false">+M207</f>
        <v>105080</v>
      </c>
      <c r="E207" s="59" t="n">
        <f aca="false">+IF(M20&gt;0,F20,0)+IF(M49&gt;0,SUMPRODUCT(G$36:L$36,G49:L49)/M49,0)+E131+IF(M171&gt;0,M$184,0)</f>
        <v>0.04</v>
      </c>
      <c r="G207" s="14" t="n">
        <f aca="false">+IF(G$190="NA",+G171+G131+G49+G20,0)</f>
        <v>0</v>
      </c>
      <c r="H207" s="14" t="n">
        <f aca="false">+IF(H$190="NA",+H171+H131+H49+H20,0)</f>
        <v>0</v>
      </c>
      <c r="I207" s="14" t="n">
        <f aca="false">+IF(I$190="NA",+I171+I131+I49+I20,0)</f>
        <v>0</v>
      </c>
      <c r="J207" s="14" t="n">
        <f aca="false">+IF(J$190="NA",+J171+J131+J49+J20,0)</f>
        <v>105080</v>
      </c>
      <c r="K207" s="14" t="n">
        <f aca="false">+IF(K$190="NA",+K171+K131+K49+K20,0)</f>
        <v>0</v>
      </c>
      <c r="L207" s="14" t="n">
        <f aca="false">+IF(L$190="NA",+L171+L131+L49+L20,0)</f>
        <v>0</v>
      </c>
      <c r="M207" s="14" t="n">
        <f aca="false">SUM(G207:L207)</f>
        <v>105080</v>
      </c>
    </row>
    <row collapsed="false" customFormat="false" customHeight="false" hidden="false" ht="14" outlineLevel="1" r="208">
      <c r="B208" s="10" t="n">
        <f aca="false">+'bid input'!B15</f>
        <v>1104149</v>
      </c>
      <c r="C208" s="59" t="n">
        <f aca="false">+IF(D208&gt;0,IF(M21&gt;0,F21,0)+IF(M50&gt;0,SUMPRODUCT(G$36:L$36,G50:L50)/M50,0)+E132+IF(M172&gt;0,M$184,0),0)</f>
        <v>0</v>
      </c>
      <c r="D208" s="14" t="n">
        <f aca="false">+M208</f>
        <v>0</v>
      </c>
      <c r="E208" s="59" t="n">
        <f aca="false">+IF(M21&gt;0,F21,0)+IF(M50&gt;0,SUMPRODUCT(G$36:L$36,G50:L50)/M50,0)+E132+IF(M172&gt;0,M$184,0)</f>
        <v>0.03625</v>
      </c>
      <c r="G208" s="14" t="n">
        <f aca="false">+IF(G$190="NA",+G172+G132+G50+G21,0)</f>
        <v>0</v>
      </c>
      <c r="H208" s="14" t="n">
        <f aca="false">+IF(H$190="NA",+H172+H132+H50+H21,0)</f>
        <v>0</v>
      </c>
      <c r="I208" s="14" t="n">
        <f aca="false">+IF(I$190="NA",+I172+I132+I50+I21,0)</f>
        <v>0</v>
      </c>
      <c r="J208" s="14" t="n">
        <f aca="false">+IF(J$190="NA",+J172+J132+J50+J21,0)</f>
        <v>0</v>
      </c>
      <c r="K208" s="14" t="n">
        <f aca="false">+IF(K$190="NA",+K172+K132+K50+K21,0)</f>
        <v>0</v>
      </c>
      <c r="L208" s="14" t="n">
        <f aca="false">+IF(L$190="NA",+L172+L132+L50+L21,0)</f>
        <v>0</v>
      </c>
      <c r="M208" s="14" t="n">
        <f aca="false">SUM(G208:L208)</f>
        <v>0</v>
      </c>
    </row>
    <row collapsed="false" customFormat="false" customHeight="false" hidden="false" ht="14" outlineLevel="1" r="209">
      <c r="B209" s="10" t="n">
        <f aca="false">+'bid input'!B16</f>
        <v>1104151</v>
      </c>
      <c r="C209" s="59" t="n">
        <f aca="false">+IF(D209&gt;0,IF(M22&gt;0,F22,0)+IF(M51&gt;0,SUMPRODUCT(G$36:L$36,G51:L51)/M51,0)+E133+IF(M173&gt;0,M$184,0),0)</f>
        <v>0</v>
      </c>
      <c r="D209" s="14" t="n">
        <f aca="false">+M209</f>
        <v>0</v>
      </c>
      <c r="E209" s="59" t="n">
        <f aca="false">+IF(M22&gt;0,F22,0)+IF(M51&gt;0,SUMPRODUCT(G$36:L$36,G51:L51)/M51,0)+E133+IF(M173&gt;0,M$184,0)</f>
        <v>0.035</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false" ht="14" outlineLevel="1" r="210">
      <c r="B210" s="10" t="n">
        <f aca="false">+'bid input'!B17</f>
        <v>1104131</v>
      </c>
      <c r="C210" s="59" t="n">
        <f aca="false">+IF(D210&gt;0,IF(M23&gt;0,F23,0)+IF(M52&gt;0,SUMPRODUCT(G$36:L$36,G52:L52)/M52,0)+E134+IF(M174&gt;0,M$184,0),0)</f>
        <v>0.03375</v>
      </c>
      <c r="D210" s="14" t="n">
        <f aca="false">+M210</f>
        <v>105080</v>
      </c>
      <c r="E210" s="59" t="n">
        <f aca="false">+IF(M23&gt;0,F23,0)+IF(M52&gt;0,SUMPRODUCT(G$36:L$36,G52:L52)/M52,0)+E134+IF(M174&gt;0,M$184,0)</f>
        <v>0.03375</v>
      </c>
      <c r="G210" s="14" t="n">
        <f aca="false">+IF(G$190="NA",+G174+G134+G52+G23,0)</f>
        <v>0</v>
      </c>
      <c r="H210" s="14" t="n">
        <f aca="false">+IF(H$190="NA",+H174+H134+H52+H23,0)</f>
        <v>0</v>
      </c>
      <c r="I210" s="14" t="n">
        <f aca="false">+IF(I$190="NA",+I174+I134+I52+I23,0)</f>
        <v>0</v>
      </c>
      <c r="J210" s="14" t="n">
        <f aca="false">+IF(J$190="NA",+J174+J134+J52+J23,0)</f>
        <v>105080</v>
      </c>
      <c r="K210" s="14" t="n">
        <f aca="false">+IF(K$190="NA",+K174+K134+K52+K23,0)</f>
        <v>0</v>
      </c>
      <c r="L210" s="14" t="n">
        <f aca="false">+IF(L$190="NA",+L174+L134+L52+L23,0)</f>
        <v>0</v>
      </c>
      <c r="M210" s="14" t="n">
        <f aca="false">SUM(G210:L210)</f>
        <v>105080</v>
      </c>
    </row>
    <row collapsed="false" customFormat="false" customHeight="false" hidden="false" ht="14" outlineLevel="1" r="211">
      <c r="B211" s="10" t="n">
        <f aca="false">+'bid input'!B18</f>
        <v>1104155</v>
      </c>
      <c r="C211" s="59" t="n">
        <f aca="false">+IF(D211&gt;0,IF(M24&gt;0,F24,0)+IF(M53&gt;0,SUMPRODUCT(G$36:L$36,G53:L53)/M53,0)+E135+IF(M175&gt;0,M$184,0),0)</f>
        <v>0</v>
      </c>
      <c r="D211" s="14" t="n">
        <f aca="false">+M211</f>
        <v>0</v>
      </c>
      <c r="E211" s="59" t="n">
        <f aca="false">+IF(M24&gt;0,F24,0)+IF(M53&gt;0,SUMPRODUCT(G$36:L$36,G53:L53)/M53,0)+E135+IF(M175&gt;0,M$184,0)</f>
        <v>0.02125</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false" ht="14" outlineLevel="1" r="212">
      <c r="B212" s="10" t="n">
        <f aca="false">+'bid input'!B19</f>
        <v>1104156</v>
      </c>
      <c r="C212" s="59" t="n">
        <f aca="false">+IF(D212&gt;0,IF(M25&gt;0,F25,0)+IF(M54&gt;0,SUMPRODUCT(G$36:L$36,G54:L54)/M54,0)+E136+IF(M176&gt;0,M$184,0),0)</f>
        <v>0</v>
      </c>
      <c r="D212" s="14" t="n">
        <f aca="false">+M212</f>
        <v>0</v>
      </c>
      <c r="E212" s="59" t="n">
        <f aca="false">+IF(M25&gt;0,F25,0)+IF(M54&gt;0,SUMPRODUCT(G$36:L$36,G54:L54)/M54,0)+E136+IF(M176&gt;0,M$184,0)</f>
        <v>0.02875</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false" ht="14" outlineLevel="1" r="213">
      <c r="B213" s="10" t="n">
        <f aca="false">+'bid input'!B20</f>
        <v>1104157</v>
      </c>
      <c r="C213" s="59" t="n">
        <f aca="false">+IF(D213&gt;0,IF(M26&gt;0,F26,0)+IF(M55&gt;0,SUMPRODUCT(G$36:L$36,G55:L55)/M55,0)+E137+IF(M177&gt;0,M$184,0),0)</f>
        <v>0</v>
      </c>
      <c r="D213" s="14" t="n">
        <f aca="false">+M213</f>
        <v>0</v>
      </c>
      <c r="E213" s="59" t="n">
        <f aca="false">+IF(M26&gt;0,F26,0)+IF(M55&gt;0,SUMPRODUCT(G$36:L$36,G55:L55)/M55,0)+E137+IF(M177&gt;0,M$184,0)</f>
        <v>0.025</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false" ht="14" outlineLevel="1" r="214">
      <c r="B214" s="10" t="n">
        <f aca="false">+'bid input'!B21</f>
        <v>1104158</v>
      </c>
      <c r="C214" s="59" t="n">
        <f aca="false">+IF(D214&gt;0,IF(M27&gt;0,F27,0)+IF(M56&gt;0,SUMPRODUCT(G$36:L$36,G56:L56)/M56,0)+E138+IF(M178&gt;0,M$184,0),0)</f>
        <v>0</v>
      </c>
      <c r="D214" s="14" t="n">
        <f aca="false">+M214</f>
        <v>0</v>
      </c>
      <c r="E214" s="59" t="n">
        <f aca="false">+IF(M27&gt;0,F27,0)+IF(M56&gt;0,SUMPRODUCT(G$36:L$36,G56:L56)/M56,0)+E138+IF(M178&gt;0,M$184,0)</f>
        <v>0.0225</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81</v>
      </c>
      <c r="C215" s="59" t="n">
        <f aca="false">+SUMPRODUCT(C195:C214,M195:M214)/M215</f>
        <v>0.04025</v>
      </c>
      <c r="D215" s="14" t="n">
        <f aca="false">SUM(D195:D214)</f>
        <v>525400</v>
      </c>
      <c r="G215" s="14" t="n">
        <f aca="false">SUM(G195:G214)</f>
        <v>0</v>
      </c>
      <c r="H215" s="14" t="n">
        <f aca="false">SUM(H195:H214)</f>
        <v>0</v>
      </c>
      <c r="I215" s="14" t="n">
        <f aca="false">SUM(I195:I214)</f>
        <v>0</v>
      </c>
      <c r="J215" s="14" t="n">
        <f aca="false">SUM(J195:J214)</f>
        <v>525400</v>
      </c>
      <c r="K215" s="14" t="n">
        <f aca="false">SUM(K195:K214)</f>
        <v>0</v>
      </c>
      <c r="L215" s="14" t="n">
        <f aca="false">SUM(L195:L214)</f>
        <v>0</v>
      </c>
      <c r="M215" s="14" t="n">
        <f aca="false">SUM(G215:L215)</f>
        <v>525400</v>
      </c>
    </row>
    <row collapsed="false" customFormat="false" customHeight="false" hidden="false" ht="14" outlineLevel="0" r="216">
      <c r="C216" s="59"/>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59" t="n">
        <f aca="false">+IF(G190="NA",G187+$C$217,0)</f>
        <v>0</v>
      </c>
      <c r="H219" s="59" t="n">
        <f aca="false">+IF(H190="NA",H187+$C$217,0)</f>
        <v>0</v>
      </c>
      <c r="I219" s="59" t="n">
        <f aca="false">+IF(I190="NA",I187+$C$217,0)</f>
        <v>0</v>
      </c>
      <c r="J219" s="59" t="inlineStr">
        <f aca="false">+IF(J190="NA",J187+$C$217,0)</f>
        <is>
          <t/>
        </is>
      </c>
      <c r="K219" s="59" t="n">
        <f aca="false">+IF(K190="NA",K187+$C$217,0)</f>
        <v>0</v>
      </c>
      <c r="L219" s="59" t="n">
        <f aca="false">+IF(L190="NA",L187+$C$217,0)</f>
        <v>0</v>
      </c>
      <c r="M219" s="59" t="n">
        <f aca="false">+SUMPRODUCT(G215:L215,G219:L219)/M215</f>
        <v>0.05025</v>
      </c>
    </row>
    <row collapsed="false" customFormat="false" customHeight="false" hidden="false" ht="14" outlineLevel="0" r="220">
      <c r="G220" s="67" t="str">
        <f aca="false">+IF(G219=0, "NOT FUNDED","")</f>
        <v>NOT FUNDED</v>
      </c>
      <c r="H220" s="67" t="str">
        <f aca="false">+IF(H219=0, "NOT FUNDED","")</f>
        <v>NOT FUNDED</v>
      </c>
      <c r="I220" s="67" t="str">
        <f aca="false">+IF(I219=0, "NOT FUNDED","")</f>
        <v>NOT FUNDED</v>
      </c>
      <c r="J220" s="67" t="str">
        <f aca="false">+IF(J219=0, "NOT FUNDED","")</f>
        <v/>
      </c>
      <c r="K220" s="67" t="str">
        <f aca="false">+IF(K219=0, "NOT FUNDED","")</f>
        <v>NOT FUNDED</v>
      </c>
      <c r="L220" s="67"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