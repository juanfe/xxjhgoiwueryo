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600"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_xlnm._FilterDatabase"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D33">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36">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H45">
      <text>
        <r>
          <rPr>
            <rFont val="Tahoma"/>
            <charset val="1"/>
            <family val="2"/>
            <b val="true"/>
            <color rgb="00000000"/>
            <sz val="8"/>
          </rPr>
          <t xml:space="preserve">duHadway:
</t>
        </r>
        <r>
          <rPr>
            <rFont val="Tahoma"/>
            <charset val="1"/>
            <family val="2"/>
            <color rgb="00000000"/>
            <sz val="8"/>
          </rPr>
          <t xml:space="preserve">allotment reduced due to oversubscribed position based upon LIFO</t>
        </r>
      </text>
    </comment>
    <comment authorId="0" ref="D62">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70">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70">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70">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70">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70">
      <text>
        <r>
          <rPr>
            <rFont val="Calibri"/>
            <charset val="1"/>
            <family val="2"/>
            <b val="true"/>
            <color rgb="00000000"/>
            <sz val="9"/>
          </rPr>
          <t xml:space="preserve">Hang Zhang:
</t>
        </r>
        <r>
          <rPr>
            <rFont val="Calibri"/>
            <charset val="1"/>
            <family val="2"/>
            <color rgb="00000000"/>
            <sz val="9"/>
          </rPr>
          <t xml:space="preserve">link rate</t>
        </r>
      </text>
    </comment>
    <comment authorId="0" ref="P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70">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70">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70">
      <text>
        <r>
          <rPr>
            <rFont val="Calibri"/>
            <charset val="1"/>
            <family val="2"/>
            <b val="true"/>
            <color rgb="00000000"/>
            <sz val="9"/>
          </rPr>
          <t xml:space="preserve">Hang Zhang:
</t>
        </r>
        <r>
          <rPr>
            <rFont val="Calibri"/>
            <charset val="1"/>
            <family val="2"/>
            <color rgb="00000000"/>
            <sz val="9"/>
          </rPr>
          <t xml:space="preserve">link rate</t>
        </r>
      </text>
    </comment>
    <comment authorId="0" ref="U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96">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<sst xmlns="http://schemas.openxmlformats.org/spreadsheetml/2006/main" count="198" uniqueCount="85">
  <si>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</si>
  <si>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</si>
  <si>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</si>
  <si>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</si>
  <si>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</si>
  <si>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</si>
  <si>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</si>
  <si>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</si>
  <si>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</si>
  <si>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</si>
  <si>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</si>
  <si>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</si>
  <si>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</si>
  <si>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</si>
  <si>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</si>
  <si>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</si>
  <si>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</si>
  <si>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</si>
  <si>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Specified</t>
  </si>
  <si>
    <t>Loan</t>
  </si>
  <si>
    <t>Noncompetitive</t>
  </si>
  <si>
    <t>Auto</t>
  </si>
  <si>
    <t>Competitive</t>
  </si>
  <si>
    <t>MO</t>
  </si>
  <si>
    <t>ABC Mortgage</t>
  </si>
  <si>
    <t>Integrity Lending</t>
  </si>
  <si>
    <t>Day Trade</t>
  </si>
  <si>
    <t>Prime Lending</t>
  </si>
  <si>
    <t>Allocation process:</t>
  </si>
  <si>
    <t>Loan Number</t>
  </si>
  <si>
    <t>Batch Total</t>
  </si>
  <si>
    <t>Best Loans Inc</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</si>
  <si>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</si>
  <si>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</si>
  <si>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</si>
  <si>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</si>
  <si>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</si>
  <si>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</si>
  <si>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</si>
  <si>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</si>
  <si>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</si>
  <si>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</si>
  <si>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</si>
  <si>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</si>
  <si>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</si>
  <si>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</si>
  <si>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</si>
  <si>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</si>
  <si>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</si>
  <si>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</si>
  <si>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</si>
  <si>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</si>
  <si>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</si>
  <si>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</si>
  <si>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</si>
  <si>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</si>
  <si>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</si>
  <si>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</si>
  <si>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</si>
  <si>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</si>
  <si>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</si>
  <si>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</si>
  <si>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</si>
  <si>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</si>
  <si>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</si>
  <si>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</si>
  <si>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</si>
  <si>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</si>
  <si>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</si>
  <si>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</si>
  <si>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</si>
  <si>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</si>
  <si>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</si>
  <si>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</si>
  <si>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</si>
  <si>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</si>
  <si>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</si>
  <si>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</si>
  <si>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</si>
  <si>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</si>
  <si>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</si>
  <si>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</si>
  <si>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Rate to SSI</t>
  </si>
  <si>
    <t>LS Spread</t>
  </si>
  <si>
    <t>Rate to MO</t>
  </si>
</sst>
</file>

<file path=xl/styles.xml><?xml version="1.0" encoding="utf-8"?>
<styleSheet xmlns="http://schemas.openxmlformats.org/spreadsheetml/2006/main">
  <numFmts count="13">
    <numFmt formatCode="GENERAL" numFmtId="164"/>
    <numFmt formatCode="H:MM:SS\ AM/PM;@" numFmtId="165"/>
    <numFmt formatCode="_(\$* #,##0.00_);_(\$* \(#,##0.00\);_(\$* \-??_);_(@_)" numFmtId="166"/>
    <numFmt formatCode="0%" numFmtId="167"/>
    <numFmt formatCode="0.000%" numFmtId="168"/>
    <numFmt formatCode="M/D/YY\ H:MM\ AM/PM;@" numFmtId="169"/>
    <numFmt formatCode="GENERAL" numFmtId="170"/>
    <numFmt formatCode="M/D/YYYY\ H:MM" numFmtId="171"/>
    <numFmt formatCode="_(* #,##0.00_);_(* \(#,##0.00\);_(* \-??_);_(@_)" numFmtId="172"/>
    <numFmt formatCode="_(* #,##0_);_(* \(#,##0\);_(* \-??_);_(@_)" numFmtId="173"/>
    <numFmt formatCode="_(* #,##0.0_);_(* \(#,##0.0\);_(* \-??_);_(@_)" numFmtId="174"/>
    <numFmt formatCode="0.00%" numFmtId="175"/>
    <numFmt formatCode="0.0%" numFmtId="176"/>
  </numFmts>
  <fonts count="17">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Tahoma"/>
      <charset val="1"/>
      <family val="2"/>
      <b val="true"/>
      <color rgb="00000000"/>
      <sz val="8"/>
    </font>
    <font>
      <name val="Tahoma"/>
      <charset val="1"/>
      <family val="2"/>
      <color rgb="00000000"/>
      <sz val="8"/>
    </font>
    <font>
      <name val="Calibri"/>
      <family val="2"/>
      <color rgb="001F497D"/>
      <sz val="11"/>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FFFFFF"/>
      <sz val="11"/>
    </font>
    <font>
      <name val="Calibri"/>
      <charset val="1"/>
      <family val="2"/>
      <color rgb="00000000"/>
      <sz val="11"/>
      <u val="double"/>
    </font>
  </fonts>
  <fills count="4">
    <fill>
      <patternFill patternType="none"/>
    </fill>
    <fill>
      <patternFill patternType="gray125"/>
    </fill>
    <fill>
      <patternFill patternType="solid">
        <fgColor rgb="00FFFF00"/>
        <bgColor rgb="00FFFF00"/>
      </patternFill>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2">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70">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false" applyProtection="false" borderId="0" fillId="0" fontId="0" numFmtId="170" xfId="0"/>
    <xf applyAlignment="false" applyBorder="false" applyFont="true" applyProtection="false" borderId="0" fillId="0" fontId="4" numFmtId="165" xfId="0"/>
    <xf applyAlignment="false" applyBorder="false" applyFont="false" applyProtection="false" borderId="0" fillId="0" fontId="0" numFmtId="171"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10" numFmtId="168" xfId="0"/>
    <xf applyAlignment="false" applyBorder="false" applyFont="true" applyProtection="false" borderId="0" fillId="0" fontId="5" numFmtId="168" xfId="0"/>
    <xf applyAlignment="false" applyBorder="false" applyFont="false" applyProtection="false" borderId="0" fillId="2" fontId="0" numFmtId="166" xfId="0"/>
    <xf applyAlignment="false" applyBorder="true" applyFont="false" applyProtection="false" borderId="0" fillId="0" fontId="0" numFmtId="164" xfId="0"/>
    <xf applyAlignment="false" applyBorder="true" applyFont="true" applyProtection="false" borderId="1" fillId="3" fontId="0" numFmtId="164" xfId="0"/>
    <xf applyAlignment="false" applyBorder="true" applyFont="false" applyProtection="false" borderId="2" fillId="3" fontId="0" numFmtId="164" xfId="0"/>
    <xf applyAlignment="false" applyBorder="true" applyFont="false" applyProtection="false" borderId="2" fillId="3" fontId="0" numFmtId="166" xfId="0"/>
    <xf applyAlignment="false" applyBorder="true" applyFont="false" applyProtection="false" borderId="3" fillId="3" fontId="0" numFmtId="166" xfId="0"/>
    <xf applyAlignment="false" applyBorder="true" applyFont="true" applyProtection="false" borderId="7" fillId="3" fontId="0" numFmtId="164" xfId="0"/>
    <xf applyAlignment="false" applyBorder="true" applyFont="false" applyProtection="false" borderId="0" fillId="3" fontId="0" numFmtId="164" xfId="0"/>
    <xf applyAlignment="true" applyBorder="true" applyFont="true" applyProtection="true" borderId="0" fillId="3" fontId="0" numFmtId="167" xfId="19">
      <alignment horizontal="general" indent="0" shrinkToFit="false" textRotation="0" vertical="bottom" wrapText="false"/>
      <protection hidden="false" locked="true"/>
    </xf>
    <xf applyAlignment="false" applyBorder="true" applyFont="false" applyProtection="false" borderId="8" fillId="3" fontId="0" numFmtId="166" xfId="0"/>
    <xf applyAlignment="false" applyBorder="true" applyFont="true" applyProtection="false" borderId="4" fillId="3" fontId="0" numFmtId="164" xfId="0"/>
    <xf applyAlignment="false" applyBorder="true" applyFont="false" applyProtection="false" borderId="5" fillId="3" fontId="0" numFmtId="164" xfId="0"/>
    <xf applyAlignment="true" applyBorder="true" applyFont="true" applyProtection="true" borderId="5" fillId="3" fontId="0" numFmtId="168" xfId="19">
      <alignment horizontal="general" indent="0" shrinkToFit="false" textRotation="0" vertical="bottom" wrapText="false"/>
      <protection hidden="false" locked="true"/>
    </xf>
    <xf applyAlignment="true" applyBorder="true" applyFont="true" applyProtection="true" borderId="6" fillId="3" fontId="0" numFmtId="168" xfId="19">
      <alignment horizontal="general" indent="0" shrinkToFit="false" textRotation="0" vertical="bottom" wrapText="false"/>
      <protection hidden="false" locked="true"/>
    </xf>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11" numFmtId="164" xfId="0">
      <alignment horizontal="center" indent="0" shrinkToFit="false" textRotation="0" vertical="bottom" wrapText="false"/>
    </xf>
    <xf applyAlignment="false" applyBorder="false" applyFont="true" applyProtection="false" borderId="0" fillId="0" fontId="14" numFmtId="164" xfId="0"/>
    <xf applyAlignment="true" applyBorder="true" applyFont="true" applyProtection="true" borderId="0" fillId="0" fontId="0" numFmtId="173" xfId="15">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4"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3" xfId="0"/>
    <xf applyAlignment="false" applyBorder="false" applyFont="true" applyProtection="false" borderId="0" fillId="0" fontId="5" numFmtId="175"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15"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6" numFmtId="168" xfId="0"/>
    <xf applyAlignment="true" applyBorder="false" applyFont="true" applyProtection="false" borderId="0" fillId="0" fontId="5" numFmtId="175"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6"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H22" activeCellId="0" pane="topLeft" sqref="H22"/>
    </sheetView>
  </sheetViews>
  <cols>
    <col collapsed="false" hidden="false" max="1" min="1" style="0" width="11.4745098039216"/>
    <col collapsed="false" hidden="false" max="3" min="2" style="0" width="8.89019607843137"/>
    <col collapsed="false" hidden="false" max="4" min="4" style="0" width="15.3450980392157"/>
    <col collapsed="false" hidden="false" max="8" min="5" style="0" width="8.89019607843137"/>
    <col collapsed="false" hidden="false" max="9" min="9" style="0" width="15.4901960784314"/>
    <col collapsed="false" hidden="false" max="10" min="10" style="0" width="15.9176470588235"/>
    <col collapsed="false" hidden="false" max="11" min="11" style="0" width="13.3372549019608"/>
    <col collapsed="false" hidden="false" max="12" min="12" style="0" width="9.75294117647059"/>
    <col collapsed="false" hidden="false" max="13" min="13" style="0" width="16.921568627451"/>
    <col collapsed="false" hidden="false" max="14" min="14" style="0" width="17.0745098039216"/>
    <col collapsed="false" hidden="false" max="16" min="15" style="0" width="9.46666666666667"/>
    <col collapsed="false" hidden="false" max="18" min="17" style="0" width="8.89019607843137"/>
    <col collapsed="false" hidden="false" max="19" min="19" style="1" width="10.8980392156863"/>
    <col collapsed="false" hidden="false" max="20" min="20" style="0" width="12.0470588235294"/>
    <col collapsed="false" hidden="false" max="1025" min="21" style="0" width="8.89019607843137"/>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c r="E2" s="7"/>
      <c r="F2" s="7" t="n">
        <v>0.1</v>
      </c>
      <c r="G2" s="5" t="s">
        <v>19</v>
      </c>
      <c r="H2" s="5" t="n">
        <v>1</v>
      </c>
      <c r="I2" s="5"/>
      <c r="J2" s="5" t="s">
        <v>20</v>
      </c>
      <c r="K2" s="8"/>
      <c r="L2" s="5" t="s">
        <v>21</v>
      </c>
      <c r="M2" s="6" t="n">
        <v>187500</v>
      </c>
      <c r="N2" s="9" t="n">
        <v>40892.5370949074</v>
      </c>
      <c r="O2" s="10" t="n">
        <f aca="false">+IF(AND(C2="Specified",J2="Competitive"),1,0)</f>
        <v>0</v>
      </c>
      <c r="P2" s="10" t="n">
        <f aca="false">+IF(AND(C2="Specified",J2="Noncompetitive"),1,0)</f>
        <v>1</v>
      </c>
      <c r="Q2" s="10" t="n">
        <f aca="false">+IF(AND(C2="General",J2="Competitive"),1,0)</f>
        <v>0</v>
      </c>
      <c r="R2" s="10" t="n">
        <f aca="false">+IF(AND(C2="General",J2="Noncompetitive"),1,0)</f>
        <v>0</v>
      </c>
      <c r="S2" s="11" t="n">
        <v>40928.625</v>
      </c>
      <c r="T2" s="12"/>
    </row>
    <row collapsed="false" customFormat="false" customHeight="false" hidden="false" ht="14" outlineLevel="0" r="3">
      <c r="A3" s="4" t="n">
        <v>0.625</v>
      </c>
      <c r="B3" s="0" t="n">
        <v>1104143</v>
      </c>
      <c r="C3" s="5" t="s">
        <v>18</v>
      </c>
      <c r="D3" s="6"/>
      <c r="E3" s="7"/>
      <c r="F3" s="7" t="n">
        <v>0.1</v>
      </c>
      <c r="G3" s="5" t="s">
        <v>19</v>
      </c>
      <c r="H3" s="5" t="n">
        <v>2</v>
      </c>
      <c r="I3" s="5"/>
      <c r="J3" s="5" t="s">
        <v>20</v>
      </c>
      <c r="K3" s="8"/>
      <c r="L3" s="5" t="s">
        <v>21</v>
      </c>
      <c r="M3" s="6" t="n">
        <v>500000</v>
      </c>
      <c r="N3" s="9" t="n">
        <v>40897.3636342593</v>
      </c>
      <c r="O3" s="10" t="n">
        <f aca="false">+IF(AND(C3="Specified",J3="Competitive"),1,0)</f>
        <v>0</v>
      </c>
      <c r="P3" s="10" t="n">
        <f aca="false">+IF(AND(C3="Specified",J3="Noncompetitive"),1,0)</f>
        <v>1</v>
      </c>
      <c r="Q3" s="10" t="n">
        <f aca="false">+IF(AND(C3="General",J3="Competitive"),1,0)</f>
        <v>0</v>
      </c>
      <c r="R3" s="10" t="n">
        <f aca="false">+IF(AND(C3="General",J3="Noncompetitive"),1,0)</f>
        <v>0</v>
      </c>
      <c r="S3" s="11" t="n">
        <v>40928.625</v>
      </c>
      <c r="T3" s="12"/>
    </row>
    <row collapsed="false" customFormat="false" customHeight="false" hidden="false" ht="14" outlineLevel="0" r="4">
      <c r="A4" s="4" t="n">
        <v>0.625</v>
      </c>
      <c r="B4" s="0" t="n">
        <v>1104154</v>
      </c>
      <c r="C4" s="5" t="s">
        <v>18</v>
      </c>
      <c r="D4" s="6"/>
      <c r="E4" s="7"/>
      <c r="F4" s="7" t="n">
        <v>0.1</v>
      </c>
      <c r="G4" s="5" t="s">
        <v>19</v>
      </c>
      <c r="H4" s="5" t="n">
        <v>2</v>
      </c>
      <c r="I4" s="5"/>
      <c r="J4" s="5" t="s">
        <v>22</v>
      </c>
      <c r="K4" s="8" t="n">
        <v>0.02</v>
      </c>
      <c r="L4" s="5" t="s">
        <v>21</v>
      </c>
      <c r="M4" s="6" t="n">
        <v>185000</v>
      </c>
      <c r="N4" s="9" t="n">
        <v>40913.3866666667</v>
      </c>
      <c r="O4" s="10" t="n">
        <f aca="false">+IF(AND(C4="Specified",J4="Competitive"),1,0)</f>
        <v>1</v>
      </c>
      <c r="P4" s="10" t="n">
        <f aca="false">+IF(AND(C4="Specified",J4="Noncompetitive"),1,0)</f>
        <v>0</v>
      </c>
      <c r="Q4" s="10" t="n">
        <f aca="false">+IF(AND(C4="General",J4="Competitive"),1,0)</f>
        <v>0</v>
      </c>
      <c r="R4" s="10" t="n">
        <f aca="false">+IF(AND(C4="General",J4="Noncompetitive"),1,0)</f>
        <v>0</v>
      </c>
      <c r="S4" s="11" t="n">
        <v>40928.625</v>
      </c>
      <c r="T4" s="12"/>
    </row>
    <row collapsed="false" customFormat="false" customHeight="false" hidden="false" ht="14" outlineLevel="0" r="5">
      <c r="A5" s="4" t="n">
        <v>0.625</v>
      </c>
      <c r="B5" s="0" t="n">
        <v>1104152</v>
      </c>
      <c r="C5" s="5" t="s">
        <v>18</v>
      </c>
      <c r="D5" s="6"/>
      <c r="E5" s="7"/>
      <c r="F5" s="7" t="n">
        <v>0.2</v>
      </c>
      <c r="G5" s="5" t="s">
        <v>23</v>
      </c>
      <c r="H5" s="5"/>
      <c r="I5" s="5" t="s">
        <v>24</v>
      </c>
      <c r="J5" s="5" t="s">
        <v>22</v>
      </c>
      <c r="K5" s="8" t="n">
        <v>0.025</v>
      </c>
      <c r="L5" s="5" t="s">
        <v>21</v>
      </c>
      <c r="M5" s="6" t="n">
        <v>1500000</v>
      </c>
      <c r="N5" s="9" t="n">
        <v>40913.3856712963</v>
      </c>
      <c r="O5" s="10" t="n">
        <f aca="false">+IF(AND(C5="Specified",J5="Competitive"),1,0)</f>
        <v>1</v>
      </c>
      <c r="P5" s="10" t="n">
        <f aca="false">+IF(AND(C5="Specified",J5="Noncompetitive"),1,0)</f>
        <v>0</v>
      </c>
      <c r="Q5" s="10" t="n">
        <f aca="false">+IF(AND(C5="General",J5="Competitive"),1,0)</f>
        <v>0</v>
      </c>
      <c r="R5" s="10" t="n">
        <f aca="false">+IF(AND(C5="General",J5="Noncompetitive"),1,0)</f>
        <v>0</v>
      </c>
      <c r="S5" s="11" t="n">
        <v>40928.625</v>
      </c>
      <c r="T5" s="12"/>
    </row>
    <row collapsed="false" customFormat="false" customHeight="false" hidden="false" ht="14" outlineLevel="0" r="6">
      <c r="A6" s="4" t="n">
        <v>0.712638888888889</v>
      </c>
      <c r="B6" s="0" t="n">
        <v>1104136</v>
      </c>
      <c r="C6" s="5" t="s">
        <v>18</v>
      </c>
      <c r="D6" s="6"/>
      <c r="E6" s="7"/>
      <c r="F6" s="7" t="n">
        <v>0.2</v>
      </c>
      <c r="G6" s="5" t="s">
        <v>23</v>
      </c>
      <c r="H6" s="5"/>
      <c r="I6" s="5" t="s">
        <v>25</v>
      </c>
      <c r="J6" s="5" t="s">
        <v>20</v>
      </c>
      <c r="K6" s="8"/>
      <c r="L6" s="5" t="s">
        <v>26</v>
      </c>
      <c r="M6" s="6" t="n">
        <v>860000</v>
      </c>
      <c r="N6" s="9"/>
      <c r="O6" s="10" t="n">
        <f aca="false">+IF(AND(C6="Specified",J6="Competitive"),1,0)</f>
        <v>0</v>
      </c>
      <c r="P6" s="10" t="n">
        <f aca="false">+IF(AND(C6="Specified",J6="Noncompetitive"),1,0)</f>
        <v>1</v>
      </c>
      <c r="Q6" s="10" t="n">
        <f aca="false">+IF(AND(C6="General",J6="Competitive"),1,0)</f>
        <v>0</v>
      </c>
      <c r="R6" s="10" t="n">
        <f aca="false">+IF(AND(C6="General",J6="Noncompetitive"),1,0)</f>
        <v>0</v>
      </c>
      <c r="S6" s="11" t="n">
        <v>40928.7126388889</v>
      </c>
      <c r="T6" s="12"/>
    </row>
    <row collapsed="false" customFormat="false" customHeight="false" hidden="false" ht="14" outlineLevel="0" r="7">
      <c r="A7" s="4" t="n">
        <v>0.772638888888889</v>
      </c>
      <c r="B7" s="0" t="n">
        <v>1104138</v>
      </c>
      <c r="C7" s="5" t="s">
        <v>18</v>
      </c>
      <c r="D7" s="6"/>
      <c r="E7" s="7"/>
      <c r="F7" s="7" t="n">
        <v>0.3</v>
      </c>
      <c r="G7" s="5" t="s">
        <v>19</v>
      </c>
      <c r="H7" s="5" t="n">
        <v>2</v>
      </c>
      <c r="I7" s="5"/>
      <c r="J7" s="5" t="s">
        <v>20</v>
      </c>
      <c r="K7" s="8"/>
      <c r="L7" s="5" t="s">
        <v>26</v>
      </c>
      <c r="M7" s="6" t="n">
        <v>300000</v>
      </c>
      <c r="N7" s="9"/>
      <c r="O7" s="10" t="n">
        <f aca="false">+IF(AND(C7="Specified",J7="Competitive"),1,0)</f>
        <v>0</v>
      </c>
      <c r="P7" s="10" t="n">
        <f aca="false">+IF(AND(C7="Specified",J7="Noncompetitive"),1,0)</f>
        <v>1</v>
      </c>
      <c r="Q7" s="10" t="n">
        <f aca="false">+IF(AND(C7="General",J7="Competitive"),1,0)</f>
        <v>0</v>
      </c>
      <c r="R7" s="10" t="n">
        <f aca="false">+IF(AND(C7="General",J7="Noncompetitive"),1,0)</f>
        <v>0</v>
      </c>
      <c r="S7" s="11" t="n">
        <v>40928.7726388889</v>
      </c>
      <c r="T7" s="12"/>
    </row>
    <row collapsed="false" customFormat="false" customHeight="false" hidden="false" ht="14" outlineLevel="0" r="8">
      <c r="A8" s="4" t="n">
        <v>0.802638888888889</v>
      </c>
      <c r="B8" s="0" t="n">
        <v>1104139</v>
      </c>
      <c r="C8" s="5" t="s">
        <v>18</v>
      </c>
      <c r="D8" s="6"/>
      <c r="E8" s="7"/>
      <c r="F8" s="7" t="n">
        <v>0.1</v>
      </c>
      <c r="G8" s="5" t="s">
        <v>19</v>
      </c>
      <c r="H8" s="5" t="n">
        <v>1</v>
      </c>
      <c r="I8" s="5"/>
      <c r="J8" s="5" t="s">
        <v>22</v>
      </c>
      <c r="K8" s="8" t="n">
        <v>0.0225</v>
      </c>
      <c r="L8" s="5" t="s">
        <v>26</v>
      </c>
      <c r="M8" s="6" t="n">
        <v>250000</v>
      </c>
      <c r="N8" s="9"/>
      <c r="O8" s="10" t="n">
        <f aca="false">+IF(AND(C8="Specified",J8="Competitive"),1,0)</f>
        <v>1</v>
      </c>
      <c r="P8" s="10" t="n">
        <f aca="false">+IF(AND(C8="Specified",J8="Noncompetitive"),1,0)</f>
        <v>0</v>
      </c>
      <c r="Q8" s="10" t="n">
        <f aca="false">+IF(AND(C8="General",J8="Competitive"),1,0)</f>
        <v>0</v>
      </c>
      <c r="R8" s="10" t="n">
        <f aca="false">+IF(AND(C8="General",J8="Noncompetitive"),1,0)</f>
        <v>0</v>
      </c>
      <c r="S8" s="11" t="n">
        <v>40928.8026388889</v>
      </c>
      <c r="T8" s="12"/>
    </row>
    <row collapsed="false" customFormat="false" customHeight="false" hidden="false" ht="14" outlineLevel="0" r="9">
      <c r="A9" s="4" t="n">
        <v>0.832638888888889</v>
      </c>
      <c r="B9" s="0" t="n">
        <v>1104140</v>
      </c>
      <c r="C9" s="5" t="s">
        <v>18</v>
      </c>
      <c r="D9" s="6"/>
      <c r="E9" s="7"/>
      <c r="F9" s="7" t="n">
        <v>0.2</v>
      </c>
      <c r="G9" s="5" t="s">
        <v>19</v>
      </c>
      <c r="H9" s="5" t="n">
        <v>3</v>
      </c>
      <c r="I9" s="5"/>
      <c r="J9" s="5" t="s">
        <v>22</v>
      </c>
      <c r="K9" s="8" t="n">
        <v>0.02875</v>
      </c>
      <c r="L9" s="5" t="s">
        <v>26</v>
      </c>
      <c r="M9" s="6" t="n">
        <v>74000</v>
      </c>
      <c r="N9" s="9"/>
      <c r="O9" s="10" t="n">
        <f aca="false">+IF(AND(C9="Specified",J9="Competitive"),1,0)</f>
        <v>1</v>
      </c>
      <c r="P9" s="10" t="n">
        <f aca="false">+IF(AND(C9="Specified",J9="Noncompetitive"),1,0)</f>
        <v>0</v>
      </c>
      <c r="Q9" s="10" t="n">
        <f aca="false">+IF(AND(C9="General",J9="Competitive"),1,0)</f>
        <v>0</v>
      </c>
      <c r="R9" s="10" t="n">
        <f aca="false">+IF(AND(C9="General",J9="Noncompetitive"),1,0)</f>
        <v>0</v>
      </c>
      <c r="S9" s="11" t="n">
        <v>40928.8326388889</v>
      </c>
      <c r="T9" s="12"/>
    </row>
    <row collapsed="false" customFormat="false" customHeight="false" hidden="false" ht="14" outlineLevel="0" r="10">
      <c r="A10" s="4" t="n">
        <v>0.862638888888889</v>
      </c>
      <c r="B10" s="0" t="n">
        <v>1104141</v>
      </c>
      <c r="C10" s="5" t="s">
        <v>18</v>
      </c>
      <c r="D10" s="6"/>
      <c r="E10" s="7"/>
      <c r="F10" s="7" t="n">
        <v>0.3</v>
      </c>
      <c r="G10" s="5" t="s">
        <v>23</v>
      </c>
      <c r="H10" s="5"/>
      <c r="I10" s="5" t="s">
        <v>24</v>
      </c>
      <c r="J10" s="5" t="s">
        <v>20</v>
      </c>
      <c r="K10" s="8"/>
      <c r="L10" s="5" t="s">
        <v>26</v>
      </c>
      <c r="M10" s="6" t="n">
        <v>285000</v>
      </c>
      <c r="N10" s="9"/>
      <c r="O10" s="10" t="n">
        <f aca="false">+IF(AND(C10="Specified",J10="Competitive"),1,0)</f>
        <v>0</v>
      </c>
      <c r="P10" s="10" t="n">
        <f aca="false">+IF(AND(C10="Specified",J10="Noncompetitive"),1,0)</f>
        <v>1</v>
      </c>
      <c r="Q10" s="10" t="n">
        <f aca="false">+IF(AND(C10="General",J10="Competitive"),1,0)</f>
        <v>0</v>
      </c>
      <c r="R10" s="10" t="n">
        <f aca="false">+IF(AND(C10="General",J10="Noncompetitive"),1,0)</f>
        <v>0</v>
      </c>
      <c r="S10" s="11" t="n">
        <v>40928.8626388889</v>
      </c>
      <c r="T10" s="12"/>
    </row>
    <row collapsed="false" customFormat="false" customHeight="false" hidden="false" ht="14" outlineLevel="0" r="11">
      <c r="A11" s="4" t="n">
        <v>0.902638888888889</v>
      </c>
      <c r="B11" s="0" t="n">
        <v>1104159</v>
      </c>
      <c r="C11" s="5" t="s">
        <v>18</v>
      </c>
      <c r="D11" s="6"/>
      <c r="E11" s="7"/>
      <c r="F11" s="7" t="n">
        <v>0.1</v>
      </c>
      <c r="G11" s="5" t="s">
        <v>19</v>
      </c>
      <c r="H11" s="5" t="n">
        <v>5</v>
      </c>
      <c r="I11" s="5"/>
      <c r="J11" s="5" t="s">
        <v>20</v>
      </c>
      <c r="K11" s="8"/>
      <c r="L11" s="5" t="s">
        <v>26</v>
      </c>
      <c r="M11" s="6" t="n">
        <v>532000</v>
      </c>
      <c r="N11" s="9"/>
      <c r="O11" s="10" t="n">
        <f aca="false">+IF(AND(C11="Specified",J11="Competitive"),1,0)</f>
        <v>0</v>
      </c>
      <c r="P11" s="10" t="n">
        <f aca="false">+IF(AND(C11="Specified",J11="Noncompetitive"),1,0)</f>
        <v>1</v>
      </c>
      <c r="Q11" s="10" t="n">
        <f aca="false">+IF(AND(C11="General",J11="Competitive"),1,0)</f>
        <v>0</v>
      </c>
      <c r="R11" s="10" t="n">
        <f aca="false">+IF(AND(C11="General",J11="Noncompetitive"),1,0)</f>
        <v>0</v>
      </c>
      <c r="S11" s="11" t="n">
        <v>40928.9026388889</v>
      </c>
      <c r="T11" s="12"/>
    </row>
    <row collapsed="false" customFormat="false" customHeight="false" hidden="false" ht="14" outlineLevel="0" r="12">
      <c r="A12" s="4" t="n">
        <v>0.962638888888889</v>
      </c>
      <c r="B12" s="0" t="n">
        <v>1104161</v>
      </c>
      <c r="C12" s="5" t="s">
        <v>18</v>
      </c>
      <c r="D12" s="6"/>
      <c r="E12" s="7"/>
      <c r="F12" s="7" t="n">
        <v>0.1</v>
      </c>
      <c r="G12" s="5" t="s">
        <v>19</v>
      </c>
      <c r="H12" s="5" t="n">
        <v>3</v>
      </c>
      <c r="I12" s="5"/>
      <c r="J12" s="5" t="s">
        <v>22</v>
      </c>
      <c r="K12" s="8" t="n">
        <v>0.025</v>
      </c>
      <c r="L12" s="5" t="s">
        <v>26</v>
      </c>
      <c r="M12" s="6" t="n">
        <v>292000</v>
      </c>
      <c r="N12" s="9"/>
      <c r="O12" s="10" t="n">
        <f aca="false">+IF(AND(C12="Specified",J12="Competitive"),1,0)</f>
        <v>1</v>
      </c>
      <c r="P12" s="10" t="n">
        <f aca="false">+IF(AND(C12="Specified",J12="Noncompetitive"),1,0)</f>
        <v>0</v>
      </c>
      <c r="Q12" s="10" t="n">
        <f aca="false">+IF(AND(C12="General",J12="Competitive"),1,0)</f>
        <v>0</v>
      </c>
      <c r="R12" s="10" t="n">
        <f aca="false">+IF(AND(C12="General",J12="Noncompetitive"),1,0)</f>
        <v>0</v>
      </c>
      <c r="S12" s="11" t="n">
        <v>40928.9626388889</v>
      </c>
      <c r="T12" s="12"/>
    </row>
    <row collapsed="false" customFormat="false" customHeight="false" hidden="false" ht="14" outlineLevel="0" r="13">
      <c r="A13" s="4" t="n">
        <v>0.982638888888889</v>
      </c>
      <c r="B13" s="0" t="n">
        <v>1104145</v>
      </c>
      <c r="C13" s="5" t="s">
        <v>18</v>
      </c>
      <c r="D13" s="6"/>
      <c r="E13" s="7"/>
      <c r="F13" s="7" t="n">
        <v>0.1</v>
      </c>
      <c r="G13" s="5" t="s">
        <v>19</v>
      </c>
      <c r="H13" s="5" t="n">
        <v>1</v>
      </c>
      <c r="I13" s="5"/>
      <c r="J13" s="5" t="s">
        <v>22</v>
      </c>
      <c r="K13" s="8" t="n">
        <v>0.02375</v>
      </c>
      <c r="L13" s="5" t="s">
        <v>26</v>
      </c>
      <c r="M13" s="6" t="n">
        <v>752000</v>
      </c>
      <c r="N13" s="9"/>
      <c r="O13" s="10" t="n">
        <f aca="false">+IF(AND(C13="Specified",J13="Competitive"),1,0)</f>
        <v>1</v>
      </c>
      <c r="P13" s="10" t="n">
        <f aca="false">+IF(AND(C13="Specified",J13="Noncompetitive"),1,0)</f>
        <v>0</v>
      </c>
      <c r="Q13" s="10" t="n">
        <f aca="false">+IF(AND(C13="General",J13="Competitive"),1,0)</f>
        <v>0</v>
      </c>
      <c r="R13" s="10" t="n">
        <f aca="false">+IF(AND(C13="General",J13="Noncompetitive"),1,0)</f>
        <v>0</v>
      </c>
      <c r="S13" s="11" t="n">
        <v>40928.9826388889</v>
      </c>
      <c r="T13" s="12"/>
    </row>
    <row collapsed="false" customFormat="false" customHeight="false" hidden="false" ht="14" outlineLevel="0" r="14">
      <c r="A14" s="4" t="n">
        <v>1.09930555555556</v>
      </c>
      <c r="B14" s="0" t="n">
        <v>1104133</v>
      </c>
      <c r="C14" s="5" t="s">
        <v>18</v>
      </c>
      <c r="D14" s="6"/>
      <c r="E14" s="7"/>
      <c r="F14" s="7" t="n">
        <v>0.3</v>
      </c>
      <c r="G14" s="5" t="s">
        <v>23</v>
      </c>
      <c r="H14" s="5"/>
      <c r="I14" s="5" t="s">
        <v>27</v>
      </c>
      <c r="J14" s="5" t="s">
        <v>20</v>
      </c>
      <c r="K14" s="8"/>
      <c r="L14" s="5" t="s">
        <v>26</v>
      </c>
      <c r="M14" s="6" t="n">
        <v>418000</v>
      </c>
      <c r="N14" s="9"/>
      <c r="O14" s="10" t="n">
        <f aca="false">+IF(AND(C14="Specified",J14="Competitive"),1,0)</f>
        <v>0</v>
      </c>
      <c r="P14" s="10" t="n">
        <f aca="false">+IF(AND(C14="Specified",J14="Noncompetitive"),1,0)</f>
        <v>1</v>
      </c>
      <c r="Q14" s="10" t="n">
        <f aca="false">+IF(AND(C14="General",J14="Competitive"),1,0)</f>
        <v>0</v>
      </c>
      <c r="R14" s="10" t="n">
        <f aca="false">+IF(AND(C14="General",J14="Noncompetitive"),1,0)</f>
        <v>0</v>
      </c>
      <c r="S14" s="11" t="n">
        <v>40929.0993055556</v>
      </c>
      <c r="T14" s="12"/>
    </row>
    <row collapsed="false" customFormat="false" customHeight="false" hidden="false" ht="14" outlineLevel="0" r="15">
      <c r="A15" s="4" t="n">
        <v>1.10263888888889</v>
      </c>
      <c r="B15" s="0" t="n">
        <v>1104149</v>
      </c>
      <c r="C15" s="5" t="s">
        <v>18</v>
      </c>
      <c r="D15" s="6"/>
      <c r="E15" s="7"/>
      <c r="F15" s="7" t="n">
        <v>0.2</v>
      </c>
      <c r="G15" s="5" t="s">
        <v>23</v>
      </c>
      <c r="H15" s="5"/>
      <c r="I15" s="5" t="s">
        <v>27</v>
      </c>
      <c r="J15" s="5" t="s">
        <v>20</v>
      </c>
      <c r="K15" s="8"/>
      <c r="L15" s="5" t="s">
        <v>26</v>
      </c>
      <c r="M15" s="6" t="n">
        <v>47000</v>
      </c>
      <c r="N15" s="9"/>
      <c r="O15" s="10" t="n">
        <f aca="false">+IF(AND(C15="Specified",J15="Competitive"),1,0)</f>
        <v>0</v>
      </c>
      <c r="P15" s="10" t="n">
        <f aca="false">+IF(AND(C15="Specified",J15="Noncompetitive"),1,0)</f>
        <v>1</v>
      </c>
      <c r="Q15" s="10" t="n">
        <f aca="false">+IF(AND(C15="General",J15="Competitive"),1,0)</f>
        <v>0</v>
      </c>
      <c r="R15" s="10" t="n">
        <f aca="false">+IF(AND(C15="General",J15="Noncompetitive"),1,0)</f>
        <v>0</v>
      </c>
      <c r="S15" s="11" t="n">
        <v>40929.1026388889</v>
      </c>
      <c r="T15" s="12"/>
    </row>
    <row collapsed="false" customFormat="false" customHeight="false" hidden="false" ht="14" outlineLevel="0" r="16">
      <c r="A16" s="4" t="n">
        <v>1.16263888888889</v>
      </c>
      <c r="B16" s="0" t="n">
        <v>1104151</v>
      </c>
      <c r="C16" s="5" t="s">
        <v>18</v>
      </c>
      <c r="D16" s="6"/>
      <c r="E16" s="7"/>
      <c r="F16" s="7" t="n">
        <v>0.1</v>
      </c>
      <c r="G16" s="5" t="s">
        <v>19</v>
      </c>
      <c r="H16" s="5" t="n">
        <v>2</v>
      </c>
      <c r="I16" s="5"/>
      <c r="J16" s="5" t="s">
        <v>22</v>
      </c>
      <c r="K16" s="8" t="n">
        <v>0.02125</v>
      </c>
      <c r="L16" s="5" t="s">
        <v>26</v>
      </c>
      <c r="M16" s="6" t="n">
        <v>283000</v>
      </c>
      <c r="N16" s="9"/>
      <c r="O16" s="10" t="n">
        <f aca="false">+IF(AND(C16="Specified",J16="Competitive"),1,0)</f>
        <v>1</v>
      </c>
      <c r="P16" s="10" t="n">
        <f aca="false">+IF(AND(C16="Specified",J16="Noncompetitive"),1,0)</f>
        <v>0</v>
      </c>
      <c r="Q16" s="10" t="n">
        <f aca="false">+IF(AND(C16="General",J16="Competitive"),1,0)</f>
        <v>0</v>
      </c>
      <c r="R16" s="10" t="n">
        <f aca="false">+IF(AND(C16="General",J16="Noncompetitive"),1,0)</f>
        <v>0</v>
      </c>
      <c r="S16" s="11" t="n">
        <v>40929.1626388889</v>
      </c>
      <c r="T16" s="12"/>
    </row>
    <row collapsed="false" customFormat="false" customHeight="false" hidden="false" ht="14" outlineLevel="0" r="17">
      <c r="A17" s="4" t="n">
        <v>1.19263888888889</v>
      </c>
      <c r="B17" s="0" t="n">
        <v>1104131</v>
      </c>
      <c r="C17" s="5" t="s">
        <v>18</v>
      </c>
      <c r="D17" s="6"/>
      <c r="E17" s="7"/>
      <c r="F17" s="7" t="n">
        <v>0.2</v>
      </c>
      <c r="G17" s="5" t="s">
        <v>19</v>
      </c>
      <c r="H17" s="5" t="n">
        <v>1</v>
      </c>
      <c r="I17" s="5"/>
      <c r="J17" s="5" t="s">
        <v>22</v>
      </c>
      <c r="K17" s="8" t="n">
        <v>0.025</v>
      </c>
      <c r="L17" s="5" t="s">
        <v>26</v>
      </c>
      <c r="M17" s="6" t="n">
        <v>598000</v>
      </c>
      <c r="N17" s="9"/>
      <c r="O17" s="10" t="n">
        <f aca="false">+IF(AND(C17="Specified",J17="Competitive"),1,0)</f>
        <v>1</v>
      </c>
      <c r="P17" s="10" t="n">
        <f aca="false">+IF(AND(C17="Specified",J17="Noncompetitive"),1,0)</f>
        <v>0</v>
      </c>
      <c r="Q17" s="10" t="n">
        <f aca="false">+IF(AND(C17="General",J17="Competitive"),1,0)</f>
        <v>0</v>
      </c>
      <c r="R17" s="10" t="n">
        <f aca="false">+IF(AND(C17="General",J17="Noncompetitive"),1,0)</f>
        <v>0</v>
      </c>
      <c r="S17" s="11" t="n">
        <v>40929.1926388889</v>
      </c>
      <c r="T17" s="12"/>
    </row>
    <row collapsed="false" customFormat="false" customHeight="false" hidden="false" ht="14" outlineLevel="0" r="18">
      <c r="A18" s="4" t="n">
        <v>1.28263888888889</v>
      </c>
      <c r="B18" s="0" t="n">
        <v>1104155</v>
      </c>
      <c r="C18" s="5" t="s">
        <v>18</v>
      </c>
      <c r="D18" s="6"/>
      <c r="E18" s="7"/>
      <c r="F18" s="7" t="n">
        <v>0.2</v>
      </c>
      <c r="G18" s="5" t="s">
        <v>19</v>
      </c>
      <c r="H18" s="5" t="n">
        <v>5</v>
      </c>
      <c r="I18" s="5"/>
      <c r="J18" s="5" t="s">
        <v>20</v>
      </c>
      <c r="K18" s="8"/>
      <c r="L18" s="5" t="s">
        <v>26</v>
      </c>
      <c r="M18" s="6" t="n">
        <v>639000</v>
      </c>
      <c r="N18" s="9"/>
      <c r="O18" s="10" t="n">
        <f aca="false">+IF(AND(C18="Specified",J18="Competitive"),1,0)</f>
        <v>0</v>
      </c>
      <c r="P18" s="10" t="n">
        <f aca="false">+IF(AND(C18="Specified",J18="Noncompetitive"),1,0)</f>
        <v>1</v>
      </c>
      <c r="Q18" s="10" t="n">
        <f aca="false">+IF(AND(C18="General",J18="Competitive"),1,0)</f>
        <v>0</v>
      </c>
      <c r="R18" s="10" t="n">
        <f aca="false">+IF(AND(C18="General",J18="Noncompetitive"),1,0)</f>
        <v>0</v>
      </c>
      <c r="S18" s="11" t="n">
        <v>40929.2826388889</v>
      </c>
      <c r="T18" s="12"/>
    </row>
    <row collapsed="false" customFormat="false" customHeight="false" hidden="false" ht="14" outlineLevel="0" r="19">
      <c r="A19" s="4" t="n">
        <v>1.31263888888889</v>
      </c>
      <c r="B19" s="0" t="n">
        <v>1104156</v>
      </c>
      <c r="C19" s="5" t="s">
        <v>18</v>
      </c>
      <c r="D19" s="6"/>
      <c r="E19" s="7"/>
      <c r="F19" s="7" t="n">
        <v>0.1</v>
      </c>
      <c r="G19" s="5" t="s">
        <v>19</v>
      </c>
      <c r="H19" s="5" t="n">
        <v>3</v>
      </c>
      <c r="I19" s="5"/>
      <c r="J19" s="5" t="s">
        <v>20</v>
      </c>
      <c r="K19" s="8"/>
      <c r="L19" s="5" t="s">
        <v>26</v>
      </c>
      <c r="M19" s="6" t="n">
        <v>274000</v>
      </c>
      <c r="N19" s="9"/>
      <c r="O19" s="10" t="n">
        <f aca="false">+IF(AND(C19="Specified",J19="Competitive"),1,0)</f>
        <v>0</v>
      </c>
      <c r="P19" s="10" t="n">
        <f aca="false">+IF(AND(C19="Specified",J19="Noncompetitive"),1,0)</f>
        <v>1</v>
      </c>
      <c r="Q19" s="10" t="n">
        <f aca="false">+IF(AND(C19="General",J19="Competitive"),1,0)</f>
        <v>0</v>
      </c>
      <c r="R19" s="10" t="n">
        <f aca="false">+IF(AND(C19="General",J19="Noncompetitive"),1,0)</f>
        <v>0</v>
      </c>
      <c r="S19" s="11" t="n">
        <v>40929.3126388889</v>
      </c>
      <c r="T19" s="12"/>
    </row>
    <row collapsed="false" customFormat="false" customHeight="false" hidden="false" ht="14" outlineLevel="0" r="20">
      <c r="A20" s="4" t="n">
        <v>1.34263888888889</v>
      </c>
      <c r="B20" s="0" t="n">
        <v>1104157</v>
      </c>
      <c r="C20" s="5" t="s">
        <v>18</v>
      </c>
      <c r="D20" s="6"/>
      <c r="E20" s="7"/>
      <c r="F20" s="7" t="n">
        <v>0.1</v>
      </c>
      <c r="G20" s="5" t="s">
        <v>19</v>
      </c>
      <c r="H20" s="5" t="n">
        <v>3</v>
      </c>
      <c r="I20" s="5"/>
      <c r="J20" s="5" t="s">
        <v>22</v>
      </c>
      <c r="K20" s="8" t="n">
        <v>0.02</v>
      </c>
      <c r="L20" s="5" t="s">
        <v>26</v>
      </c>
      <c r="M20" s="6" t="n">
        <v>629000</v>
      </c>
      <c r="N20" s="9"/>
      <c r="O20" s="10" t="n">
        <f aca="false">+IF(AND(C20="Specified",J20="Competitive"),1,0)</f>
        <v>1</v>
      </c>
      <c r="P20" s="10" t="n">
        <f aca="false">+IF(AND(C20="Specified",J20="Noncompetitive"),1,0)</f>
        <v>0</v>
      </c>
      <c r="Q20" s="10" t="n">
        <f aca="false">+IF(AND(C20="General",J20="Competitive"),1,0)</f>
        <v>0</v>
      </c>
      <c r="R20" s="10" t="n">
        <f aca="false">+IF(AND(C20="General",J20="Noncompetitive"),1,0)</f>
        <v>0</v>
      </c>
      <c r="S20" s="11" t="n">
        <v>40929.3426388889</v>
      </c>
      <c r="T20" s="12"/>
    </row>
    <row collapsed="false" customFormat="false" customHeight="false" hidden="false" ht="14" outlineLevel="0" r="21">
      <c r="A21" s="4" t="n">
        <v>1.37263888888889</v>
      </c>
      <c r="B21" s="0" t="n">
        <v>1104158</v>
      </c>
      <c r="C21" s="5" t="s">
        <v>18</v>
      </c>
      <c r="D21" s="6"/>
      <c r="E21" s="7"/>
      <c r="F21" s="7" t="n">
        <v>0.1</v>
      </c>
      <c r="G21" s="5" t="s">
        <v>19</v>
      </c>
      <c r="H21" s="5" t="n">
        <v>2</v>
      </c>
      <c r="I21" s="5"/>
      <c r="J21" s="5" t="s">
        <v>22</v>
      </c>
      <c r="K21" s="8" t="n">
        <v>0.02125</v>
      </c>
      <c r="L21" s="5" t="s">
        <v>26</v>
      </c>
      <c r="M21" s="6" t="n">
        <v>562000</v>
      </c>
      <c r="N21" s="9"/>
      <c r="O21" s="10" t="n">
        <f aca="false">+IF(AND(C21="Specified",J21="Competitive"),1,0)</f>
        <v>1</v>
      </c>
      <c r="P21" s="10" t="n">
        <f aca="false">+IF(AND(C21="Specified",J21="Noncompetitive"),1,0)</f>
        <v>0</v>
      </c>
      <c r="Q21" s="10" t="n">
        <f aca="false">+IF(AND(C21="General",J21="Competitive"),1,0)</f>
        <v>0</v>
      </c>
      <c r="R21" s="10" t="n">
        <f aca="false">+IF(AND(C21="General",J21="Noncompetitive"),1,0)</f>
        <v>0</v>
      </c>
      <c r="S21" s="11" t="n">
        <v>40929.3726388889</v>
      </c>
      <c r="T21" s="12"/>
    </row>
  </sheetData>
  <autoFilter ref="A1:N21"/>
  <dataValidations count="4">
    <dataValidation allowBlank="true" operator="between" showDropDown="false" showErrorMessage="true" showInputMessage="true" sqref="C2:C21" type="list">
      <formula1>"General,Specified"</formula1>
      <formula2>0</formula2>
    </dataValidation>
    <dataValidation allowBlank="true" operator="between" showDropDown="false" showErrorMessage="true" showInputMessage="true" sqref="J2:J21" type="list">
      <formula1>"Competitive,Noncompetitive"</formula1>
      <formula2>0</formula2>
    </dataValidation>
    <dataValidation allowBlank="true" operator="between" showDropDown="false" showErrorMessage="true" showInputMessage="true" sqref="L2:L21" type="list">
      <formula1>"Day Trade,Auto"</formula1>
      <formula2>0</formula2>
    </dataValidation>
    <dataValidation allowBlank="true" operator="between" showDropDown="false" showErrorMessage="true" showInputMessage="true" sqref="G2:G21" type="list">
      <formula1>"Loan,MO"</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20"/>
  <sheetViews>
    <sheetView colorId="64" defaultGridColor="true" rightToLeft="false" showFormulas="false" showGridLines="true" showOutlineSymbols="true" showRowColHeaders="true" showZeros="true" tabSelected="true" topLeftCell="E1" view="normal" windowProtection="false" workbookViewId="0" zoomScale="100" zoomScaleNormal="100" zoomScalePageLayoutView="100">
      <selection activeCell="F5" activeCellId="0" pane="topLeft" sqref="F5"/>
    </sheetView>
  </sheetViews>
  <cols>
    <col collapsed="false" hidden="false" max="1" min="1" style="0" width="8.89019607843137"/>
    <col collapsed="false" hidden="false" max="2" min="2" style="0" width="12.9058823529412"/>
    <col collapsed="false" hidden="false" max="3" min="3" style="0" width="14.9137254901961"/>
    <col collapsed="false" hidden="false" max="4" min="4" style="0" width="16.0705882352941"/>
    <col collapsed="false" hidden="false" max="5" min="5" style="0" width="17.0745098039216"/>
    <col collapsed="false" hidden="false" max="6" min="6" style="0" width="18.078431372549"/>
    <col collapsed="false" hidden="false" max="7" min="7" style="0" width="13.4823529411765"/>
    <col collapsed="false" hidden="false" max="9" min="8" style="0" width="15.0588235294118"/>
    <col collapsed="false" hidden="false" max="10" min="10" style="0" width="19.2196078431373"/>
    <col collapsed="false" hidden="false" max="11" min="11" style="0" width="14.9137254901961"/>
    <col collapsed="false" hidden="false" max="12" min="12" style="0" width="13.9098039215686"/>
    <col collapsed="false" hidden="false" max="13" min="13" style="0" width="14.3411764705882"/>
    <col collapsed="false" hidden="false" max="14" min="14" style="0" width="8.89019607843137"/>
    <col collapsed="false" hidden="false" max="15" min="15" style="0" width="8.17647058823529"/>
    <col collapsed="false" hidden="false" max="16" min="16" style="0" width="17.4980392156863"/>
    <col collapsed="false" hidden="false" max="17" min="17" style="0" width="15.9176470588235"/>
    <col collapsed="false" hidden="false" max="18" min="18" style="0" width="12.1921568627451"/>
    <col collapsed="false" hidden="false" max="1025" min="19" style="0" width="8.89019607843137"/>
  </cols>
  <sheetData>
    <row collapsed="false" customFormat="false" customHeight="false" hidden="false" ht="14" outlineLevel="0" r="1">
      <c r="F1" s="0" t="s">
        <v>28</v>
      </c>
    </row>
    <row collapsed="false" customFormat="false" customHeight="false" hidden="false" ht="14" outlineLevel="0" r="2">
      <c r="E2" s="0" t="s">
        <v>29</v>
      </c>
      <c r="G2" s="0" t="n">
        <v>1</v>
      </c>
      <c r="H2" s="0" t="n">
        <v>2</v>
      </c>
      <c r="I2" s="0" t="n">
        <v>3</v>
      </c>
      <c r="J2" s="0" t="n">
        <v>4</v>
      </c>
      <c r="K2" s="0" t="n">
        <v>5</v>
      </c>
      <c r="L2" s="0" t="n">
        <v>6</v>
      </c>
      <c r="M2" s="0" t="s">
        <v>30</v>
      </c>
    </row>
    <row collapsed="false" customFormat="false" customHeight="false" hidden="false" ht="14" outlineLevel="0" r="3">
      <c r="D3" s="5"/>
      <c r="E3" s="0" t="s">
        <v>23</v>
      </c>
      <c r="G3" s="5" t="s">
        <v>24</v>
      </c>
      <c r="H3" s="5" t="s">
        <v>24</v>
      </c>
      <c r="I3" s="5" t="s">
        <v>27</v>
      </c>
      <c r="J3" s="5" t="s">
        <v>27</v>
      </c>
      <c r="K3" s="5" t="s">
        <v>31</v>
      </c>
      <c r="L3" s="5" t="s">
        <v>25</v>
      </c>
    </row>
    <row collapsed="false" customFormat="false" customHeight="false" hidden="false" ht="14" outlineLevel="0" r="4">
      <c r="D4" s="5"/>
      <c r="E4" s="0" t="s">
        <v>32</v>
      </c>
      <c r="G4" s="13" t="n">
        <v>318725</v>
      </c>
      <c r="H4" s="13" t="n">
        <v>375685</v>
      </c>
      <c r="I4" s="13" t="n">
        <v>479875</v>
      </c>
      <c r="J4" s="13" t="n">
        <v>525400</v>
      </c>
      <c r="K4" s="13" t="n">
        <v>515425</v>
      </c>
      <c r="L4" s="13" t="n">
        <v>485000</v>
      </c>
      <c r="M4" s="14" t="n">
        <f aca="false">SUM(G4:L4)</f>
        <v>2700110</v>
      </c>
    </row>
    <row collapsed="false" customFormat="false" customHeight="false" hidden="false" ht="14" outlineLevel="0" r="5">
      <c r="D5" s="5"/>
      <c r="E5" s="13"/>
      <c r="I5" s="14"/>
    </row>
    <row collapsed="false" customFormat="false" customHeight="false" hidden="false" ht="14" outlineLevel="0" r="6">
      <c r="A6" s="0" t="s">
        <v>33</v>
      </c>
      <c r="D6" s="5"/>
      <c r="E6" s="13"/>
      <c r="J6" s="14"/>
    </row>
    <row collapsed="false" customFormat="false" customHeight="false" hidden="true" ht="28.35" outlineLevel="1" r="7">
      <c r="B7" s="15" t="s">
        <v>34</v>
      </c>
      <c r="C7" s="15" t="s">
        <v>35</v>
      </c>
      <c r="D7" s="15" t="s">
        <v>23</v>
      </c>
      <c r="E7" s="16" t="s">
        <v>36</v>
      </c>
      <c r="F7" s="15" t="s">
        <v>37</v>
      </c>
      <c r="K7" s="14"/>
    </row>
    <row collapsed="false" customFormat="false" customHeight="false" hidden="true" ht="14" outlineLevel="1" r="8">
      <c r="B8" s="10" t="n">
        <f aca="false">+'bid input'!B2</f>
        <v>1104134</v>
      </c>
      <c r="C8" s="17" t="n">
        <f aca="false">+'bid input'!H2</f>
        <v>1</v>
      </c>
      <c r="D8" s="10" t="n">
        <f aca="false">+'bid input'!I2</f>
        <v>0</v>
      </c>
      <c r="E8" s="18" t="str">
        <f aca="false">+IF('bid input'!O2=1,"Y","N")</f>
        <v>N</v>
      </c>
      <c r="F8" s="19" t="inlineStr">
        <f aca="false">+'bid input'!K2</f>
        <is>
          <t/>
        </is>
      </c>
      <c r="G8" s="14" t="n">
        <f aca="false">+IF(AND($E8="Y",$C8=G$2,$C8&gt;0),'bid input'!$F2,IF(AND($E8="Y",$D8=G$3,$C8=0),'bid input'!$F2,0))*G$4</f>
        <v>0</v>
      </c>
      <c r="H8" s="14" t="n">
        <f aca="false">+IF(AND($E8="Y",$C8=H$2,$C8&gt;0),'bid input'!$F2,IF(AND($E8="Y",$D8=H$3,$C8=0),'bid input'!$F2,0))*H$4</f>
        <v>0</v>
      </c>
      <c r="I8" s="14" t="n">
        <f aca="false">+IF(AND($E8="Y",$C8=I$2,$C8&gt;0),'bid input'!$F2,IF(AND($E8="Y",$D8=I$3,$C8=0),'bid input'!$F2,0))*I$4</f>
        <v>0</v>
      </c>
      <c r="J8" s="14" t="n">
        <f aca="false">+IF(AND($E8="Y",$C8=J$2,$C8&gt;0),'bid input'!$F2,IF(AND($E8="Y",$D8=J$3,$C8=0),'bid input'!$F2,0))*J$4</f>
        <v>0</v>
      </c>
      <c r="K8" s="14" t="n">
        <f aca="false">+IF(AND($E8="Y",$C8=K$2,$C8&gt;0),'bid input'!$F2,IF(AND($E8="Y",$D8=K$3,$C8=0),'bid input'!$F2,0))*K$4</f>
        <v>0</v>
      </c>
      <c r="L8" s="14" t="n">
        <f aca="false">+IF(AND($E8="Y",$C8=L$2,$C8&gt;0),'bid input'!$F2,IF(AND($E8="Y",$D8=L$3,$C8=0),'bid input'!$F2,0))*L$4</f>
        <v>0</v>
      </c>
      <c r="M8" s="14" t="n">
        <f aca="false">SUM(G8:L8)</f>
        <v>0</v>
      </c>
    </row>
    <row collapsed="false" customFormat="false" customHeight="false" hidden="true" ht="14" outlineLevel="1" r="9">
      <c r="B9" s="10" t="n">
        <f aca="false">+'bid input'!B3</f>
        <v>1104143</v>
      </c>
      <c r="C9" s="17" t="n">
        <f aca="false">+'bid input'!H3</f>
        <v>2</v>
      </c>
      <c r="D9" s="10" t="n">
        <f aca="false">+'bid input'!I3</f>
        <v>0</v>
      </c>
      <c r="E9" s="18" t="str">
        <f aca="false">+IF('bid input'!O3=1,"Y","N")</f>
        <v>N</v>
      </c>
      <c r="F9" s="19" t="inlineStr">
        <f aca="false">+'bid input'!K3</f>
        <is>
          <t/>
        </is>
      </c>
      <c r="G9" s="14" t="n">
        <f aca="false">+IF(AND($E9="Y",$C9=G$2,$C9&gt;0),'bid input'!$F3,IF(AND($E9="Y",$D9=G$3,$C9=0),'bid input'!$F3,0))*G$4</f>
        <v>0</v>
      </c>
      <c r="H9" s="14" t="n">
        <f aca="false">+IF(AND($E9="Y",$C9=H$2,$C9&gt;0),'bid input'!$F3,IF(AND($E9="Y",$D9=H$3,$C9=0),'bid input'!$F3,0))*H$4</f>
        <v>0</v>
      </c>
      <c r="I9" s="14" t="n">
        <f aca="false">+IF(AND($E9="Y",$C9=I$2,$C9&gt;0),'bid input'!$F3,IF(AND($E9="Y",$D9=I$3,$C9=0),'bid input'!$F3,0))*I$4</f>
        <v>0</v>
      </c>
      <c r="J9" s="14" t="n">
        <f aca="false">+IF(AND($E9="Y",$C9=J$2,$C9&gt;0),'bid input'!$F3,IF(AND($E9="Y",$D9=J$3,$C9=0),'bid input'!$F3,0))*J$4</f>
        <v>0</v>
      </c>
      <c r="K9" s="14" t="n">
        <f aca="false">+IF(AND($E9="Y",$C9=K$2,$C9&gt;0),'bid input'!$F3,IF(AND($E9="Y",$D9=K$3,$C9=0),'bid input'!$F3,0))*K$4</f>
        <v>0</v>
      </c>
      <c r="L9" s="14" t="n">
        <f aca="false">+IF(AND($E9="Y",$C9=L$2,$C9&gt;0),'bid input'!$F3,IF(AND($E9="Y",$D9=L$3,$C9=0),'bid input'!$F3,0))*L$4</f>
        <v>0</v>
      </c>
      <c r="M9" s="14" t="n">
        <f aca="false">SUM(G9:L9)</f>
        <v>0</v>
      </c>
    </row>
    <row collapsed="false" customFormat="false" customHeight="false" hidden="true" ht="14" outlineLevel="1" r="10">
      <c r="B10" s="10" t="n">
        <f aca="false">+'bid input'!B4</f>
        <v>1104154</v>
      </c>
      <c r="C10" s="17" t="n">
        <f aca="false">+'bid input'!H4</f>
        <v>2</v>
      </c>
      <c r="D10" s="10" t="n">
        <f aca="false">+'bid input'!I4</f>
        <v>0</v>
      </c>
      <c r="E10" s="18" t="str">
        <f aca="false">+IF('bid input'!O4=1,"Y","N")</f>
        <v>Y</v>
      </c>
      <c r="F10" s="19" t="inlineStr">
        <f aca="false">+'bid input'!K4</f>
        <is>
          <t/>
        </is>
      </c>
      <c r="G10" s="14" t="n">
        <f aca="false">+IF(AND($E10="Y",$C10=G$2,$C10&gt;0),'bid input'!$F4,IF(AND($E10="Y",$D10=G$3,$C10=0),'bid input'!$F4,0))*G$4</f>
        <v>0</v>
      </c>
      <c r="H10" s="14" t="n">
        <f aca="false">+IF(AND($E10="Y",$C10=H$2,$C10&gt;0),'bid input'!$F4,IF(AND($E10="Y",$D10=H$3,$C10=0),'bid input'!$F4,0))*H$4</f>
        <v>37568.5</v>
      </c>
      <c r="I10" s="14" t="n">
        <f aca="false">+IF(AND($E10="Y",$C10=I$2,$C10&gt;0),'bid input'!$F4,IF(AND($E10="Y",$D10=I$3,$C10=0),'bid input'!$F4,0))*I$4</f>
        <v>0</v>
      </c>
      <c r="J10" s="14" t="n">
        <f aca="false">+IF(AND($E10="Y",$C10=J$2,$C10&gt;0),'bid input'!$F4,IF(AND($E10="Y",$D10=J$3,$C10=0),'bid input'!$F4,0))*J$4</f>
        <v>0</v>
      </c>
      <c r="K10" s="14" t="n">
        <f aca="false">+IF(AND($E10="Y",$C10=K$2,$C10&gt;0),'bid input'!$F4,IF(AND($E10="Y",$D10=K$3,$C10=0),'bid input'!$F4,0))*K$4</f>
        <v>0</v>
      </c>
      <c r="L10" s="14" t="n">
        <f aca="false">+IF(AND($E10="Y",$C10=L$2,$C10&gt;0),'bid input'!$F4,IF(AND($E10="Y",$D10=L$3,$C10=0),'bid input'!$F4,0))*L$4</f>
        <v>0</v>
      </c>
      <c r="M10" s="14" t="n">
        <f aca="false">SUM(G10:L10)</f>
        <v>37568.5</v>
      </c>
    </row>
    <row collapsed="false" customFormat="false" customHeight="false" hidden="true" ht="14" outlineLevel="1" r="11">
      <c r="B11" s="10" t="n">
        <f aca="false">+'bid input'!B5</f>
        <v>1104152</v>
      </c>
      <c r="C11" s="17" t="n">
        <f aca="false">+'bid input'!H5</f>
        <v>0</v>
      </c>
      <c r="D11" s="0" t="str">
        <f aca="false">+'bid input'!I5</f>
        <v>ABC Mortgage</v>
      </c>
      <c r="E11" s="18" t="str">
        <f aca="false">+IF('bid input'!O5=1,"Y","N")</f>
        <v>Y</v>
      </c>
      <c r="F11" s="19" t="inlineStr">
        <f aca="false">+'bid input'!K5</f>
        <is>
          <t/>
        </is>
      </c>
      <c r="G11" s="14" t="n">
        <f aca="false">+IF(AND($E11="Y",$C11=G$2,$C11&gt;0),'bid input'!$F5,IF(AND($E11="Y",$D11=G$3,$C11=0),'bid input'!$F5,0))*G$4</f>
        <v>63745</v>
      </c>
      <c r="H11" s="14" t="n">
        <f aca="false">+IF(AND($E11="Y",$C11=H$2,$C11&gt;0),'bid input'!$F5,IF(AND($E11="Y",$D11=H$3,$C11=0),'bid input'!$F5,0))*H$4</f>
        <v>75137</v>
      </c>
      <c r="I11" s="14" t="n">
        <f aca="false">+IF(AND($E11="Y",$C11=I$2,$C11&gt;0),'bid input'!$F5,IF(AND($E11="Y",$D11=I$3,$C11=0),'bid input'!$F5,0))*I$4</f>
        <v>0</v>
      </c>
      <c r="J11" s="14" t="n">
        <f aca="false">+IF(AND($E11="Y",$C11=J$2,$C11&gt;0),'bid input'!$F5,IF(AND($E11="Y",$D11=J$3,$C11=0),'bid input'!$F5,0))*J$4</f>
        <v>0</v>
      </c>
      <c r="K11" s="14" t="n">
        <f aca="false">+IF(AND($E11="Y",$C11=K$2,$C11&gt;0),'bid input'!$F5,IF(AND($E11="Y",$D11=K$3,$C11=0),'bid input'!$F5,0))*K$4</f>
        <v>0</v>
      </c>
      <c r="L11" s="14" t="n">
        <f aca="false">+IF(AND($E11="Y",$C11=L$2,$C11&gt;0),'bid input'!$F5,IF(AND($E11="Y",$D11=L$3,$C11=0),'bid input'!$F5,0))*L$4</f>
        <v>0</v>
      </c>
      <c r="M11" s="14" t="n">
        <f aca="false">SUM(G11:L11)</f>
        <v>138882</v>
      </c>
    </row>
    <row collapsed="false" customFormat="false" customHeight="false" hidden="true" ht="14" outlineLevel="1" r="12">
      <c r="B12" s="10" t="n">
        <f aca="false">+'bid input'!B6</f>
        <v>1104136</v>
      </c>
      <c r="C12" s="17" t="n">
        <f aca="false">+'bid input'!H6</f>
        <v>0</v>
      </c>
      <c r="D12" s="0" t="str">
        <f aca="false">+'bid input'!I6</f>
        <v>Integrity Lending</v>
      </c>
      <c r="E12" s="18" t="str">
        <f aca="false">+IF('bid input'!O6=1,"Y","N")</f>
        <v>N</v>
      </c>
      <c r="F12" s="19" t="inlineStr">
        <f aca="false">+'bid input'!K6</f>
        <is>
          <t/>
        </is>
      </c>
      <c r="G12" s="14" t="n">
        <f aca="false">+IF(AND($E12="Y",$C12=G$2,$C12&gt;0),'bid input'!$F6,IF(AND($E12="Y",$D12=G$3,$C12=0),'bid input'!$F6,0))*G$4</f>
        <v>0</v>
      </c>
      <c r="H12" s="14" t="n">
        <f aca="false">+IF(AND($E12="Y",$C12=H$2,$C12&gt;0),'bid input'!$F6,IF(AND($E12="Y",$D12=H$3,$C12=0),'bid input'!$F6,0))*H$4</f>
        <v>0</v>
      </c>
      <c r="I12" s="14" t="n">
        <f aca="false">+IF(AND($E12="Y",$C12=I$2,$C12&gt;0),'bid input'!$F6,IF(AND($E12="Y",$D12=I$3,$C12=0),'bid input'!$F6,0))*I$4</f>
        <v>0</v>
      </c>
      <c r="J12" s="14" t="n">
        <f aca="false">+IF(AND($E12="Y",$C12=J$2,$C12&gt;0),'bid input'!$F6,IF(AND($E12="Y",$D12=J$3,$C12=0),'bid input'!$F6,0))*J$4</f>
        <v>0</v>
      </c>
      <c r="K12" s="14" t="n">
        <f aca="false">+IF(AND($E12="Y",$C12=K$2,$C12&gt;0),'bid input'!$F6,IF(AND($E12="Y",$D12=K$3,$C12=0),'bid input'!$F6,0))*K$4</f>
        <v>0</v>
      </c>
      <c r="L12" s="14" t="n">
        <f aca="false">+IF(AND($E12="Y",$C12=L$2,$C12&gt;0),'bid input'!$F6,IF(AND($E12="Y",$D12=L$3,$C12=0),'bid input'!$F6,0))*L$4</f>
        <v>0</v>
      </c>
      <c r="M12" s="14" t="n">
        <f aca="false">SUM(G12:L12)</f>
        <v>0</v>
      </c>
    </row>
    <row collapsed="false" customFormat="false" customHeight="false" hidden="true" ht="14" outlineLevel="1" r="13">
      <c r="B13" s="10" t="n">
        <f aca="false">+'bid input'!B7</f>
        <v>1104138</v>
      </c>
      <c r="C13" s="17" t="n">
        <f aca="false">+'bid input'!H7</f>
        <v>2</v>
      </c>
      <c r="D13" s="10" t="n">
        <f aca="false">+'bid input'!I7</f>
        <v>0</v>
      </c>
      <c r="E13" s="18" t="str">
        <f aca="false">+IF('bid input'!O7=1,"Y","N")</f>
        <v>N</v>
      </c>
      <c r="F13" s="19" t="inlineStr">
        <f aca="false">+'bid input'!K7</f>
        <is>
          <t/>
        </is>
      </c>
      <c r="G13" s="14" t="n">
        <f aca="false">+IF(AND($E13="Y",$C13=G$2,$C13&gt;0),'bid input'!$F7,IF(AND($E13="Y",$D13=G$3,$C13=0),'bid input'!$F7,0))*G$4</f>
        <v>0</v>
      </c>
      <c r="H13" s="14" t="n">
        <f aca="false">+IF(AND($E13="Y",$C13=H$2,$C13&gt;0),'bid input'!$F7,IF(AND($E13="Y",$D13=H$3,$C13=0),'bid input'!$F7,0))*H$4</f>
        <v>0</v>
      </c>
      <c r="I13" s="14" t="n">
        <f aca="false">+IF(AND($E13="Y",$C13=I$2,$C13&gt;0),'bid input'!$F7,IF(AND($E13="Y",$D13=I$3,$C13=0),'bid input'!$F7,0))*I$4</f>
        <v>0</v>
      </c>
      <c r="J13" s="14" t="n">
        <f aca="false">+IF(AND($E13="Y",$C13=J$2,$C13&gt;0),'bid input'!$F7,IF(AND($E13="Y",$D13=J$3,$C13=0),'bid input'!$F7,0))*J$4</f>
        <v>0</v>
      </c>
      <c r="K13" s="14" t="n">
        <f aca="false">+IF(AND($E13="Y",$C13=K$2,$C13&gt;0),'bid input'!$F7,IF(AND($E13="Y",$D13=K$3,$C13=0),'bid input'!$F7,0))*K$4</f>
        <v>0</v>
      </c>
      <c r="L13" s="14" t="n">
        <f aca="false">+IF(AND($E13="Y",$C13=L$2,$C13&gt;0),'bid input'!$F7,IF(AND($E13="Y",$D13=L$3,$C13=0),'bid input'!$F7,0))*L$4</f>
        <v>0</v>
      </c>
      <c r="M13" s="14" t="n">
        <f aca="false">SUM(G13:L13)</f>
        <v>0</v>
      </c>
    </row>
    <row collapsed="false" customFormat="false" customHeight="false" hidden="true" ht="14" outlineLevel="1" r="14">
      <c r="B14" s="10" t="n">
        <f aca="false">+'bid input'!B8</f>
        <v>1104139</v>
      </c>
      <c r="C14" s="17" t="n">
        <f aca="false">+'bid input'!H8</f>
        <v>1</v>
      </c>
      <c r="D14" s="10" t="n">
        <f aca="false">+'bid input'!I8</f>
        <v>0</v>
      </c>
      <c r="E14" s="18" t="str">
        <f aca="false">+IF('bid input'!O8=1,"Y","N")</f>
        <v>Y</v>
      </c>
      <c r="F14" s="19" t="inlineStr">
        <f aca="false">+'bid input'!K8</f>
        <is>
          <t/>
        </is>
      </c>
      <c r="G14" s="14" t="n">
        <f aca="false">+IF(AND($E14="Y",$C14=G$2,$C14&gt;0),'bid input'!$F8,IF(AND($E14="Y",$D14=G$3,$C14=0),'bid input'!$F8,0))*G$4</f>
        <v>31872.5</v>
      </c>
      <c r="H14" s="14" t="n">
        <f aca="false">+IF(AND($E14="Y",$C14=H$2,$C14&gt;0),'bid input'!$F8,IF(AND($E14="Y",$D14=H$3,$C14=0),'bid input'!$F8,0))*H$4</f>
        <v>0</v>
      </c>
      <c r="I14" s="14" t="n">
        <f aca="false">+IF(AND($E14="Y",$C14=I$2,$C14&gt;0),'bid input'!$F8,IF(AND($E14="Y",$D14=I$3,$C14=0),'bid input'!$F8,0))*I$4</f>
        <v>0</v>
      </c>
      <c r="J14" s="14" t="n">
        <f aca="false">+IF(AND($E14="Y",$C14=J$2,$C14&gt;0),'bid input'!$F8,IF(AND($E14="Y",$D14=J$3,$C14=0),'bid input'!$F8,0))*J$4</f>
        <v>0</v>
      </c>
      <c r="K14" s="14" t="n">
        <f aca="false">+IF(AND($E14="Y",$C14=K$2,$C14&gt;0),'bid input'!$F8,IF(AND($E14="Y",$D14=K$3,$C14=0),'bid input'!$F8,0))*K$4</f>
        <v>0</v>
      </c>
      <c r="L14" s="14" t="n">
        <f aca="false">+IF(AND($E14="Y",$C14=L$2,$C14&gt;0),'bid input'!$F8,IF(AND($E14="Y",$D14=L$3,$C14=0),'bid input'!$F8,0))*L$4</f>
        <v>0</v>
      </c>
      <c r="M14" s="14" t="n">
        <f aca="false">SUM(G14:L14)</f>
        <v>31872.5</v>
      </c>
    </row>
    <row collapsed="false" customFormat="false" customHeight="false" hidden="true" ht="14" outlineLevel="1" r="15">
      <c r="B15" s="10" t="n">
        <f aca="false">+'bid input'!B9</f>
        <v>1104140</v>
      </c>
      <c r="C15" s="17" t="n">
        <f aca="false">+'bid input'!H9</f>
        <v>3</v>
      </c>
      <c r="D15" s="10" t="n">
        <f aca="false">+'bid input'!I9</f>
        <v>0</v>
      </c>
      <c r="E15" s="18" t="str">
        <f aca="false">+IF('bid input'!O9=1,"Y","N")</f>
        <v>Y</v>
      </c>
      <c r="F15" s="19" t="inlineStr">
        <f aca="false">+'bid input'!K9</f>
        <is>
          <t/>
        </is>
      </c>
      <c r="G15" s="14" t="n">
        <f aca="false">+IF(AND($E15="Y",$C15=G$2,$C15&gt;0),'bid input'!$F9,IF(AND($E15="Y",$D15=G$3,$C15=0),'bid input'!$F9,0))*G$4</f>
        <v>0</v>
      </c>
      <c r="H15" s="14" t="n">
        <f aca="false">+IF(AND($E15="Y",$C15=H$2,$C15&gt;0),'bid input'!$F9,IF(AND($E15="Y",$D15=H$3,$C15=0),'bid input'!$F9,0))*H$4</f>
        <v>0</v>
      </c>
      <c r="I15" s="14" t="n">
        <f aca="false">+IF(AND($E15="Y",$C15=I$2,$C15&gt;0),'bid input'!$F9,IF(AND($E15="Y",$D15=I$3,$C15=0),'bid input'!$F9,0))*I$4</f>
        <v>95975</v>
      </c>
      <c r="J15" s="14" t="n">
        <f aca="false">+IF(AND($E15="Y",$C15=J$2,$C15&gt;0),'bid input'!$F9,IF(AND($E15="Y",$D15=J$3,$C15=0),'bid input'!$F9,0))*J$4</f>
        <v>0</v>
      </c>
      <c r="K15" s="14" t="n">
        <f aca="false">+IF(AND($E15="Y",$C15=K$2,$C15&gt;0),'bid input'!$F9,IF(AND($E15="Y",$D15=K$3,$C15=0),'bid input'!$F9,0))*K$4</f>
        <v>0</v>
      </c>
      <c r="L15" s="14" t="n">
        <f aca="false">+IF(AND($E15="Y",$C15=L$2,$C15&gt;0),'bid input'!$F9,IF(AND($E15="Y",$D15=L$3,$C15=0),'bid input'!$F9,0))*L$4</f>
        <v>0</v>
      </c>
      <c r="M15" s="14" t="n">
        <f aca="false">SUM(G15:L15)</f>
        <v>95975</v>
      </c>
    </row>
    <row collapsed="false" customFormat="false" customHeight="false" hidden="true" ht="14" outlineLevel="1" r="16">
      <c r="B16" s="10" t="n">
        <f aca="false">+'bid input'!B10</f>
        <v>1104141</v>
      </c>
      <c r="C16" s="17" t="n">
        <f aca="false">+'bid input'!H10</f>
        <v>0</v>
      </c>
      <c r="D16" s="0" t="str">
        <f aca="false">+'bid input'!I10</f>
        <v>ABC Mortgage</v>
      </c>
      <c r="E16" s="18" t="str">
        <f aca="false">+IF('bid input'!O10=1,"Y","N")</f>
        <v>N</v>
      </c>
      <c r="F16" s="19" t="inlineStr">
        <f aca="false">+'bid input'!K10</f>
        <is>
          <t/>
        </is>
      </c>
      <c r="G16" s="14" t="n">
        <f aca="false">+IF(AND($E16="Y",$C16=G$2,$C16&gt;0),'bid input'!$F10,IF(AND($E16="Y",$D16=G$3,$C16=0),'bid input'!$F10,0))*G$4</f>
        <v>0</v>
      </c>
      <c r="H16" s="14" t="n">
        <f aca="false">+IF(AND($E16="Y",$C16=H$2,$C16&gt;0),'bid input'!$F10,IF(AND($E16="Y",$D16=H$3,$C16=0),'bid input'!$F10,0))*H$4</f>
        <v>0</v>
      </c>
      <c r="I16" s="14" t="n">
        <f aca="false">+IF(AND($E16="Y",$C16=I$2,$C16&gt;0),'bid input'!$F10,IF(AND($E16="Y",$D16=I$3,$C16=0),'bid input'!$F10,0))*I$4</f>
        <v>0</v>
      </c>
      <c r="J16" s="14" t="n">
        <f aca="false">+IF(AND($E16="Y",$C16=J$2,$C16&gt;0),'bid input'!$F10,IF(AND($E16="Y",$D16=J$3,$C16=0),'bid input'!$F10,0))*J$4</f>
        <v>0</v>
      </c>
      <c r="K16" s="14" t="n">
        <f aca="false">+IF(AND($E16="Y",$C16=K$2,$C16&gt;0),'bid input'!$F10,IF(AND($E16="Y",$D16=K$3,$C16=0),'bid input'!$F10,0))*K$4</f>
        <v>0</v>
      </c>
      <c r="L16" s="14" t="n">
        <f aca="false">+IF(AND($E16="Y",$C16=L$2,$C16&gt;0),'bid input'!$F10,IF(AND($E16="Y",$D16=L$3,$C16=0),'bid input'!$F10,0))*L$4</f>
        <v>0</v>
      </c>
      <c r="M16" s="14" t="n">
        <f aca="false">SUM(G16:L16)</f>
        <v>0</v>
      </c>
    </row>
    <row collapsed="false" customFormat="false" customHeight="false" hidden="true" ht="14" outlineLevel="1" r="17">
      <c r="B17" s="10" t="n">
        <f aca="false">+'bid input'!B11</f>
        <v>1104159</v>
      </c>
      <c r="C17" s="17" t="n">
        <f aca="false">+'bid input'!H11</f>
        <v>5</v>
      </c>
      <c r="D17" s="10" t="n">
        <f aca="false">+'bid input'!I11</f>
        <v>0</v>
      </c>
      <c r="E17" s="18" t="str">
        <f aca="false">+IF('bid input'!O11=1,"Y","N")</f>
        <v>N</v>
      </c>
      <c r="F17" s="19" t="inlineStr">
        <f aca="false">+'bid input'!K11</f>
        <is>
          <t/>
        </is>
      </c>
      <c r="G17" s="14" t="n">
        <f aca="false">+IF(AND($E17="Y",$C17=G$2,$C17&gt;0),'bid input'!$F11,IF(AND($E17="Y",$D17=G$3,$C17=0),'bid input'!$F11,0))*G$4</f>
        <v>0</v>
      </c>
      <c r="H17" s="14" t="n">
        <f aca="false">+IF(AND($E17="Y",$C17=H$2,$C17&gt;0),'bid input'!$F11,IF(AND($E17="Y",$D17=H$3,$C17=0),'bid input'!$F11,0))*H$4</f>
        <v>0</v>
      </c>
      <c r="I17" s="14" t="n">
        <f aca="false">+IF(AND($E17="Y",$C17=I$2,$C17&gt;0),'bid input'!$F11,IF(AND($E17="Y",$D17=I$3,$C17=0),'bid input'!$F11,0))*I$4</f>
        <v>0</v>
      </c>
      <c r="J17" s="14" t="n">
        <f aca="false">+IF(AND($E17="Y",$C17=J$2,$C17&gt;0),'bid input'!$F11,IF(AND($E17="Y",$D17=J$3,$C17=0),'bid input'!$F11,0))*J$4</f>
        <v>0</v>
      </c>
      <c r="K17" s="14" t="n">
        <f aca="false">+IF(AND($E17="Y",$C17=K$2,$C17&gt;0),'bid input'!$F11,IF(AND($E17="Y",$D17=K$3,$C17=0),'bid input'!$F11,0))*K$4</f>
        <v>0</v>
      </c>
      <c r="L17" s="14" t="n">
        <f aca="false">+IF(AND($E17="Y",$C17=L$2,$C17&gt;0),'bid input'!$F11,IF(AND($E17="Y",$D17=L$3,$C17=0),'bid input'!$F11,0))*L$4</f>
        <v>0</v>
      </c>
      <c r="M17" s="14" t="n">
        <f aca="false">SUM(G17:L17)</f>
        <v>0</v>
      </c>
    </row>
    <row collapsed="false" customFormat="false" customHeight="false" hidden="true" ht="14" outlineLevel="1" r="18">
      <c r="B18" s="10" t="n">
        <f aca="false">+'bid input'!B12</f>
        <v>1104161</v>
      </c>
      <c r="C18" s="17" t="n">
        <f aca="false">+'bid input'!H12</f>
        <v>3</v>
      </c>
      <c r="D18" s="10" t="n">
        <f aca="false">+'bid input'!I12</f>
        <v>0</v>
      </c>
      <c r="E18" s="18" t="str">
        <f aca="false">+IF('bid input'!O12=1,"Y","N")</f>
        <v>Y</v>
      </c>
      <c r="F18" s="19" t="inlineStr">
        <f aca="false">+'bid input'!K12</f>
        <is>
          <t/>
        </is>
      </c>
      <c r="G18" s="14" t="n">
        <f aca="false">+IF(AND($E18="Y",$C18=G$2,$C18&gt;0),'bid input'!$F12,IF(AND($E18="Y",$D18=G$3,$C18=0),'bid input'!$F12,0))*G$4</f>
        <v>0</v>
      </c>
      <c r="H18" s="14" t="n">
        <f aca="false">+IF(AND($E18="Y",$C18=H$2,$C18&gt;0),'bid input'!$F12,IF(AND($E18="Y",$D18=H$3,$C18=0),'bid input'!$F12,0))*H$4</f>
        <v>0</v>
      </c>
      <c r="I18" s="14" t="n">
        <f aca="false">+IF(AND($E18="Y",$C18=I$2,$C18&gt;0),'bid input'!$F12,IF(AND($E18="Y",$D18=I$3,$C18=0),'bid input'!$F12,0))*I$4</f>
        <v>47987.5</v>
      </c>
      <c r="J18" s="14" t="n">
        <f aca="false">+IF(AND($E18="Y",$C18=J$2,$C18&gt;0),'bid input'!$F12,IF(AND($E18="Y",$D18=J$3,$C18=0),'bid input'!$F12,0))*J$4</f>
        <v>0</v>
      </c>
      <c r="K18" s="14" t="n">
        <f aca="false">+IF(AND($E18="Y",$C18=K$2,$C18&gt;0),'bid input'!$F12,IF(AND($E18="Y",$D18=K$3,$C18=0),'bid input'!$F12,0))*K$4</f>
        <v>0</v>
      </c>
      <c r="L18" s="14" t="n">
        <f aca="false">+IF(AND($E18="Y",$C18=L$2,$C18&gt;0),'bid input'!$F12,IF(AND($E18="Y",$D18=L$3,$C18=0),'bid input'!$F12,0))*L$4</f>
        <v>0</v>
      </c>
      <c r="M18" s="14" t="n">
        <f aca="false">SUM(G18:L18)</f>
        <v>47987.5</v>
      </c>
    </row>
    <row collapsed="false" customFormat="false" customHeight="false" hidden="true" ht="14" outlineLevel="1" r="19">
      <c r="B19" s="10" t="n">
        <f aca="false">+'bid input'!B13</f>
        <v>1104145</v>
      </c>
      <c r="C19" s="17" t="n">
        <f aca="false">+'bid input'!H13</f>
        <v>1</v>
      </c>
      <c r="D19" s="10" t="n">
        <f aca="false">+'bid input'!I13</f>
        <v>0</v>
      </c>
      <c r="E19" s="18" t="str">
        <f aca="false">+IF('bid input'!O13=1,"Y","N")</f>
        <v>Y</v>
      </c>
      <c r="F19" s="19" t="inlineStr">
        <f aca="false">+'bid input'!K13</f>
        <is>
          <t/>
        </is>
      </c>
      <c r="G19" s="14" t="n">
        <f aca="false">+IF(AND($E19="Y",$C19=G$2,$C19&gt;0),'bid input'!$F13,IF(AND($E19="Y",$D19=G$3,$C19=0),'bid input'!$F13,0))*G$4</f>
        <v>31872.5</v>
      </c>
      <c r="H19" s="14" t="n">
        <f aca="false">+IF(AND($E19="Y",$C19=H$2,$C19&gt;0),'bid input'!$F13,IF(AND($E19="Y",$D19=H$3,$C19=0),'bid input'!$F13,0))*H$4</f>
        <v>0</v>
      </c>
      <c r="I19" s="14" t="n">
        <f aca="false">+IF(AND($E19="Y",$C19=I$2,$C19&gt;0),'bid input'!$F13,IF(AND($E19="Y",$D19=I$3,$C19=0),'bid input'!$F13,0))*I$4</f>
        <v>0</v>
      </c>
      <c r="J19" s="14" t="n">
        <f aca="false">+IF(AND($E19="Y",$C19=J$2,$C19&gt;0),'bid input'!$F13,IF(AND($E19="Y",$D19=J$3,$C19=0),'bid input'!$F13,0))*J$4</f>
        <v>0</v>
      </c>
      <c r="K19" s="14" t="n">
        <f aca="false">+IF(AND($E19="Y",$C19=K$2,$C19&gt;0),'bid input'!$F13,IF(AND($E19="Y",$D19=K$3,$C19=0),'bid input'!$F13,0))*K$4</f>
        <v>0</v>
      </c>
      <c r="L19" s="14" t="n">
        <f aca="false">+IF(AND($E19="Y",$C19=L$2,$C19&gt;0),'bid input'!$F13,IF(AND($E19="Y",$D19=L$3,$C19=0),'bid input'!$F13,0))*L$4</f>
        <v>0</v>
      </c>
      <c r="M19" s="14" t="n">
        <f aca="false">SUM(G19:L19)</f>
        <v>31872.5</v>
      </c>
    </row>
    <row collapsed="false" customFormat="false" customHeight="false" hidden="true" ht="14" outlineLevel="1" r="20">
      <c r="B20" s="10" t="n">
        <f aca="false">+'bid input'!B14</f>
        <v>1104133</v>
      </c>
      <c r="C20" s="17" t="n">
        <f aca="false">+'bid input'!H14</f>
        <v>0</v>
      </c>
      <c r="D20" s="0" t="str">
        <f aca="false">+'bid input'!I14</f>
        <v>Prime Lending</v>
      </c>
      <c r="E20" s="18" t="str">
        <f aca="false">+IF('bid input'!O14=1,"Y","N")</f>
        <v>N</v>
      </c>
      <c r="F20" s="19" t="inlineStr">
        <f aca="false">+'bid input'!K14</f>
        <is>
          <t/>
        </is>
      </c>
      <c r="G20" s="14" t="n">
        <f aca="false">+IF(AND($E20="Y",$C20=G$2,$C20&gt;0),'bid input'!$F14,IF(AND($E20="Y",$D20=G$3,$C20=0),'bid input'!$F14,0))*G$4</f>
        <v>0</v>
      </c>
      <c r="H20" s="14" t="n">
        <f aca="false">+IF(AND($E20="Y",$C20=H$2,$C20&gt;0),'bid input'!$F14,IF(AND($E20="Y",$D20=H$3,$C20=0),'bid input'!$F14,0))*H$4</f>
        <v>0</v>
      </c>
      <c r="I20" s="14" t="n">
        <f aca="false">+IF(AND($E20="Y",$C20=I$2,$C20&gt;0),'bid input'!$F14,IF(AND($E20="Y",$D20=I$3,$C20=0),'bid input'!$F14,0))*I$4</f>
        <v>0</v>
      </c>
      <c r="J20" s="14" t="n">
        <f aca="false">+IF(AND($E20="Y",$C20=J$2,$C20&gt;0),'bid input'!$F14,IF(AND($E20="Y",$D20=J$3,$C20=0),'bid input'!$F14,0))*J$4</f>
        <v>0</v>
      </c>
      <c r="K20" s="14" t="n">
        <f aca="false">+IF(AND($E20="Y",$C20=K$2,$C20&gt;0),'bid input'!$F14,IF(AND($E20="Y",$D20=K$3,$C20=0),'bid input'!$F14,0))*K$4</f>
        <v>0</v>
      </c>
      <c r="L20" s="14" t="n">
        <f aca="false">+IF(AND($E20="Y",$C20=L$2,$C20&gt;0),'bid input'!$F14,IF(AND($E20="Y",$D20=L$3,$C20=0),'bid input'!$F14,0))*L$4</f>
        <v>0</v>
      </c>
      <c r="M20" s="14" t="n">
        <f aca="false">SUM(G20:L20)</f>
        <v>0</v>
      </c>
    </row>
    <row collapsed="false" customFormat="false" customHeight="false" hidden="true" ht="14" outlineLevel="1" r="21">
      <c r="B21" s="10" t="n">
        <f aca="false">+'bid input'!B15</f>
        <v>1104149</v>
      </c>
      <c r="C21" s="17" t="n">
        <f aca="false">+'bid input'!H15</f>
        <v>0</v>
      </c>
      <c r="D21" s="0" t="str">
        <f aca="false">+'bid input'!I15</f>
        <v>Prime Lending</v>
      </c>
      <c r="E21" s="18" t="str">
        <f aca="false">+IF('bid input'!O15=1,"Y","N")</f>
        <v>N</v>
      </c>
      <c r="F21" s="19" t="inlineStr">
        <f aca="false">+'bid input'!K15</f>
        <is>
          <t/>
        </is>
      </c>
      <c r="G21" s="14" t="n">
        <f aca="false">+IF(AND($E21="Y",$C21=G$2,$C21&gt;0),'bid input'!$F15,IF(AND($E21="Y",$D21=G$3,$C21=0),'bid input'!$F15,0))*G$4</f>
        <v>0</v>
      </c>
      <c r="H21" s="14" t="n">
        <f aca="false">+IF(AND($E21="Y",$C21=H$2,$C21&gt;0),'bid input'!$F15,IF(AND($E21="Y",$D21=H$3,$C21=0),'bid input'!$F15,0))*H$4</f>
        <v>0</v>
      </c>
      <c r="I21" s="14" t="n">
        <f aca="false">+IF(AND($E21="Y",$C21=I$2,$C21&gt;0),'bid input'!$F15,IF(AND($E21="Y",$D21=I$3,$C21=0),'bid input'!$F15,0))*I$4</f>
        <v>0</v>
      </c>
      <c r="J21" s="14" t="n">
        <f aca="false">+IF(AND($E21="Y",$C21=J$2,$C21&gt;0),'bid input'!$F15,IF(AND($E21="Y",$D21=J$3,$C21=0),'bid input'!$F15,0))*J$4</f>
        <v>0</v>
      </c>
      <c r="K21" s="14" t="n">
        <f aca="false">+IF(AND($E21="Y",$C21=K$2,$C21&gt;0),'bid input'!$F15,IF(AND($E21="Y",$D21=K$3,$C21=0),'bid input'!$F15,0))*K$4</f>
        <v>0</v>
      </c>
      <c r="L21" s="14" t="n">
        <f aca="false">+IF(AND($E21="Y",$C21=L$2,$C21&gt;0),'bid input'!$F15,IF(AND($E21="Y",$D21=L$3,$C21=0),'bid input'!$F15,0))*L$4</f>
        <v>0</v>
      </c>
      <c r="M21" s="14" t="n">
        <f aca="false">SUM(G21:L21)</f>
        <v>0</v>
      </c>
    </row>
    <row collapsed="false" customFormat="false" customHeight="false" hidden="true" ht="14" outlineLevel="1" r="22">
      <c r="B22" s="10" t="n">
        <f aca="false">+'bid input'!B16</f>
        <v>1104151</v>
      </c>
      <c r="C22" s="17" t="n">
        <f aca="false">+'bid input'!H16</f>
        <v>2</v>
      </c>
      <c r="D22" s="10" t="n">
        <f aca="false">+'bid input'!I16</f>
        <v>0</v>
      </c>
      <c r="E22" s="18" t="str">
        <f aca="false">+IF('bid input'!O16=1,"Y","N")</f>
        <v>Y</v>
      </c>
      <c r="F22" s="19" t="inlineStr">
        <f aca="false">+'bid input'!K16</f>
        <is>
          <t/>
        </is>
      </c>
      <c r="G22" s="14" t="n">
        <f aca="false">+IF(AND($E22="Y",$C22=G$2,$C22&gt;0),'bid input'!$F16,IF(AND($E22="Y",$D22=G$3,$C22=0),'bid input'!$F16,0))*G$4</f>
        <v>0</v>
      </c>
      <c r="H22" s="14" t="n">
        <f aca="false">+IF(AND($E22="Y",$C22=H$2,$C22&gt;0),'bid input'!$F16,IF(AND($E22="Y",$D22=H$3,$C22=0),'bid input'!$F16,0))*H$4</f>
        <v>37568.5</v>
      </c>
      <c r="I22" s="14" t="n">
        <f aca="false">+IF(AND($E22="Y",$C22=I$2,$C22&gt;0),'bid input'!$F16,IF(AND($E22="Y",$D22=I$3,$C22=0),'bid input'!$F16,0))*I$4</f>
        <v>0</v>
      </c>
      <c r="J22" s="14" t="n">
        <f aca="false">+IF(AND($E22="Y",$C22=J$2,$C22&gt;0),'bid input'!$F16,IF(AND($E22="Y",$D22=J$3,$C22=0),'bid input'!$F16,0))*J$4</f>
        <v>0</v>
      </c>
      <c r="K22" s="14" t="n">
        <f aca="false">+IF(AND($E22="Y",$C22=K$2,$C22&gt;0),'bid input'!$F16,IF(AND($E22="Y",$D22=K$3,$C22=0),'bid input'!$F16,0))*K$4</f>
        <v>0</v>
      </c>
      <c r="L22" s="14" t="n">
        <f aca="false">+IF(AND($E22="Y",$C22=L$2,$C22&gt;0),'bid input'!$F16,IF(AND($E22="Y",$D22=L$3,$C22=0),'bid input'!$F16,0))*L$4</f>
        <v>0</v>
      </c>
      <c r="M22" s="14" t="n">
        <f aca="false">SUM(G22:L22)</f>
        <v>37568.5</v>
      </c>
    </row>
    <row collapsed="false" customFormat="false" customHeight="false" hidden="true" ht="14" outlineLevel="1" r="23">
      <c r="B23" s="10" t="n">
        <f aca="false">+'bid input'!B17</f>
        <v>1104131</v>
      </c>
      <c r="C23" s="17" t="n">
        <f aca="false">+'bid input'!H17</f>
        <v>1</v>
      </c>
      <c r="D23" s="10" t="n">
        <f aca="false">+'bid input'!I17</f>
        <v>0</v>
      </c>
      <c r="E23" s="18" t="str">
        <f aca="false">+IF('bid input'!O17=1,"Y","N")</f>
        <v>Y</v>
      </c>
      <c r="F23" s="19" t="inlineStr">
        <f aca="false">+'bid input'!K17</f>
        <is>
          <t/>
        </is>
      </c>
      <c r="G23" s="14" t="n">
        <f aca="false">+IF(AND($E23="Y",$C23=G$2,$C23&gt;0),'bid input'!$F17,IF(AND($E23="Y",$D23=G$3,$C23=0),'bid input'!$F17,0))*G$4</f>
        <v>63745</v>
      </c>
      <c r="H23" s="14" t="n">
        <f aca="false">+IF(AND($E23="Y",$C23=H$2,$C23&gt;0),'bid input'!$F17,IF(AND($E23="Y",$D23=H$3,$C23=0),'bid input'!$F17,0))*H$4</f>
        <v>0</v>
      </c>
      <c r="I23" s="14" t="n">
        <f aca="false">+IF(AND($E23="Y",$C23=I$2,$C23&gt;0),'bid input'!$F17,IF(AND($E23="Y",$D23=I$3,$C23=0),'bid input'!$F17,0))*I$4</f>
        <v>0</v>
      </c>
      <c r="J23" s="14" t="n">
        <f aca="false">+IF(AND($E23="Y",$C23=J$2,$C23&gt;0),'bid input'!$F17,IF(AND($E23="Y",$D23=J$3,$C23=0),'bid input'!$F17,0))*J$4</f>
        <v>0</v>
      </c>
      <c r="K23" s="14" t="n">
        <f aca="false">+IF(AND($E23="Y",$C23=K$2,$C23&gt;0),'bid input'!$F17,IF(AND($E23="Y",$D23=K$3,$C23=0),'bid input'!$F17,0))*K$4</f>
        <v>0</v>
      </c>
      <c r="L23" s="14" t="n">
        <f aca="false">+IF(AND($E23="Y",$C23=L$2,$C23&gt;0),'bid input'!$F17,IF(AND($E23="Y",$D23=L$3,$C23=0),'bid input'!$F17,0))*L$4</f>
        <v>0</v>
      </c>
      <c r="M23" s="14" t="n">
        <f aca="false">SUM(G23:L23)</f>
        <v>63745</v>
      </c>
    </row>
    <row collapsed="false" customFormat="false" customHeight="false" hidden="true" ht="14" outlineLevel="1" r="24">
      <c r="B24" s="10" t="n">
        <f aca="false">+'bid input'!B18</f>
        <v>1104155</v>
      </c>
      <c r="C24" s="17" t="n">
        <f aca="false">+'bid input'!H18</f>
        <v>5</v>
      </c>
      <c r="D24" s="10" t="n">
        <f aca="false">+'bid input'!I18</f>
        <v>0</v>
      </c>
      <c r="E24" s="18" t="str">
        <f aca="false">+IF('bid input'!O18=1,"Y","N")</f>
        <v>N</v>
      </c>
      <c r="F24" s="19" t="inlineStr">
        <f aca="false">+'bid input'!K18</f>
        <is>
          <t/>
        </is>
      </c>
      <c r="G24" s="14" t="n">
        <f aca="false">+IF(AND($E24="Y",$C24=G$2,$C24&gt;0),'bid input'!$F18,IF(AND($E24="Y",$D24=G$3,$C24=0),'bid input'!$F18,0))*G$4</f>
        <v>0</v>
      </c>
      <c r="H24" s="14" t="n">
        <f aca="false">+IF(AND($E24="Y",$C24=H$2,$C24&gt;0),'bid input'!$F18,IF(AND($E24="Y",$D24=H$3,$C24=0),'bid input'!$F18,0))*H$4</f>
        <v>0</v>
      </c>
      <c r="I24" s="14" t="n">
        <f aca="false">+IF(AND($E24="Y",$C24=I$2,$C24&gt;0),'bid input'!$F18,IF(AND($E24="Y",$D24=I$3,$C24=0),'bid input'!$F18,0))*I$4</f>
        <v>0</v>
      </c>
      <c r="J24" s="14" t="n">
        <f aca="false">+IF(AND($E24="Y",$C24=J$2,$C24&gt;0),'bid input'!$F18,IF(AND($E24="Y",$D24=J$3,$C24=0),'bid input'!$F18,0))*J$4</f>
        <v>0</v>
      </c>
      <c r="K24" s="14" t="n">
        <f aca="false">+IF(AND($E24="Y",$C24=K$2,$C24&gt;0),'bid input'!$F18,IF(AND($E24="Y",$D24=K$3,$C24=0),'bid input'!$F18,0))*K$4</f>
        <v>0</v>
      </c>
      <c r="L24" s="14" t="n">
        <f aca="false">+IF(AND($E24="Y",$C24=L$2,$C24&gt;0),'bid input'!$F18,IF(AND($E24="Y",$D24=L$3,$C24=0),'bid input'!$F18,0))*L$4</f>
        <v>0</v>
      </c>
      <c r="M24" s="14" t="n">
        <f aca="false">SUM(G24:L24)</f>
        <v>0</v>
      </c>
    </row>
    <row collapsed="false" customFormat="false" customHeight="false" hidden="true" ht="14" outlineLevel="1" r="25">
      <c r="B25" s="10" t="n">
        <f aca="false">+'bid input'!B19</f>
        <v>1104156</v>
      </c>
      <c r="C25" s="17" t="n">
        <f aca="false">+'bid input'!H19</f>
        <v>3</v>
      </c>
      <c r="D25" s="10" t="n">
        <f aca="false">+'bid input'!I19</f>
        <v>0</v>
      </c>
      <c r="E25" s="18" t="str">
        <f aca="false">+IF('bid input'!O19=1,"Y","N")</f>
        <v>N</v>
      </c>
      <c r="F25" s="19" t="inlineStr">
        <f aca="false">+'bid input'!K19</f>
        <is>
          <t/>
        </is>
      </c>
      <c r="G25" s="14" t="n">
        <f aca="false">+IF(AND($E25="Y",$C25=G$2,$C25&gt;0),'bid input'!$F19,IF(AND($E25="Y",$D25=G$3,$C25=0),'bid input'!$F19,0))*G$4</f>
        <v>0</v>
      </c>
      <c r="H25" s="14" t="n">
        <f aca="false">+IF(AND($E25="Y",$C25=H$2,$C25&gt;0),'bid input'!$F19,IF(AND($E25="Y",$D25=H$3,$C25=0),'bid input'!$F19,0))*H$4</f>
        <v>0</v>
      </c>
      <c r="I25" s="14" t="n">
        <f aca="false">+IF(AND($E25="Y",$C25=I$2,$C25&gt;0),'bid input'!$F19,IF(AND($E25="Y",$D25=I$3,$C25=0),'bid input'!$F19,0))*I$4</f>
        <v>0</v>
      </c>
      <c r="J25" s="14" t="n">
        <f aca="false">+IF(AND($E25="Y",$C25=J$2,$C25&gt;0),'bid input'!$F19,IF(AND($E25="Y",$D25=J$3,$C25=0),'bid input'!$F19,0))*J$4</f>
        <v>0</v>
      </c>
      <c r="K25" s="14" t="n">
        <f aca="false">+IF(AND($E25="Y",$C25=K$2,$C25&gt;0),'bid input'!$F19,IF(AND($E25="Y",$D25=K$3,$C25=0),'bid input'!$F19,0))*K$4</f>
        <v>0</v>
      </c>
      <c r="L25" s="14" t="n">
        <f aca="false">+IF(AND($E25="Y",$C25=L$2,$C25&gt;0),'bid input'!$F19,IF(AND($E25="Y",$D25=L$3,$C25=0),'bid input'!$F19,0))*L$4</f>
        <v>0</v>
      </c>
      <c r="M25" s="14" t="n">
        <f aca="false">SUM(G25:L25)</f>
        <v>0</v>
      </c>
    </row>
    <row collapsed="false" customFormat="false" customHeight="false" hidden="true" ht="14" outlineLevel="1" r="26">
      <c r="B26" s="10" t="n">
        <f aca="false">+'bid input'!B20</f>
        <v>1104157</v>
      </c>
      <c r="C26" s="17" t="n">
        <f aca="false">+'bid input'!H20</f>
        <v>3</v>
      </c>
      <c r="D26" s="10" t="n">
        <f aca="false">+'bid input'!I20</f>
        <v>0</v>
      </c>
      <c r="E26" s="18" t="str">
        <f aca="false">+IF('bid input'!O20=1,"Y","N")</f>
        <v>Y</v>
      </c>
      <c r="F26" s="19" t="inlineStr">
        <f aca="false">+'bid input'!K20</f>
        <is>
          <t/>
        </is>
      </c>
      <c r="G26" s="14" t="n">
        <f aca="false">+IF(AND($E26="Y",$C26=G$2,$C26&gt;0),'bid input'!$F20,IF(AND($E26="Y",$D26=G$3,$C26=0),'bid input'!$F20,0))*G$4</f>
        <v>0</v>
      </c>
      <c r="H26" s="14" t="n">
        <f aca="false">+IF(AND($E26="Y",$C26=H$2,$C26&gt;0),'bid input'!$F20,IF(AND($E26="Y",$D26=H$3,$C26=0),'bid input'!$F20,0))*H$4</f>
        <v>0</v>
      </c>
      <c r="I26" s="14" t="n">
        <f aca="false">+IF(AND($E26="Y",$C26=I$2,$C26&gt;0),'bid input'!$F20,IF(AND($E26="Y",$D26=I$3,$C26=0),'bid input'!$F20,0))*I$4</f>
        <v>47987.5</v>
      </c>
      <c r="J26" s="14" t="n">
        <f aca="false">+IF(AND($E26="Y",$C26=J$2,$C26&gt;0),'bid input'!$F20,IF(AND($E26="Y",$D26=J$3,$C26=0),'bid input'!$F20,0))*J$4</f>
        <v>0</v>
      </c>
      <c r="K26" s="14" t="n">
        <f aca="false">+IF(AND($E26="Y",$C26=K$2,$C26&gt;0),'bid input'!$F20,IF(AND($E26="Y",$D26=K$3,$C26=0),'bid input'!$F20,0))*K$4</f>
        <v>0</v>
      </c>
      <c r="L26" s="14" t="n">
        <f aca="false">+IF(AND($E26="Y",$C26=L$2,$C26&gt;0),'bid input'!$F20,IF(AND($E26="Y",$D26=L$3,$C26=0),'bid input'!$F20,0))*L$4</f>
        <v>0</v>
      </c>
      <c r="M26" s="14" t="n">
        <f aca="false">SUM(G26:L26)</f>
        <v>47987.5</v>
      </c>
    </row>
    <row collapsed="false" customFormat="false" customHeight="false" hidden="true" ht="14" outlineLevel="1" r="27">
      <c r="B27" s="10" t="n">
        <f aca="false">+'bid input'!B21</f>
        <v>1104158</v>
      </c>
      <c r="C27" s="17" t="n">
        <f aca="false">+'bid input'!H21</f>
        <v>2</v>
      </c>
      <c r="D27" s="10" t="n">
        <f aca="false">+'bid input'!I21</f>
        <v>0</v>
      </c>
      <c r="E27" s="18" t="str">
        <f aca="false">+IF('bid input'!O21=1,"Y","N")</f>
        <v>Y</v>
      </c>
      <c r="F27" s="19" t="inlineStr">
        <f aca="false">+'bid input'!K21</f>
        <is>
          <t/>
        </is>
      </c>
      <c r="G27" s="14" t="n">
        <f aca="false">+IF(AND($E27="Y",$C27=G$2,$C27&gt;0),'bid input'!$F21,IF(AND($E27="Y",$D27=G$3,$C27=0),'bid input'!$F21,0))*G$4</f>
        <v>0</v>
      </c>
      <c r="H27" s="14" t="n">
        <f aca="false">+IF(AND($E27="Y",$C27=H$2,$C27&gt;0),'bid input'!$F21,IF(AND($E27="Y",$D27=H$3,$C27=0),'bid input'!$F21,0))*H$4</f>
        <v>37568.5</v>
      </c>
      <c r="I27" s="14" t="n">
        <f aca="false">+IF(AND($E27="Y",$C27=I$2,$C27&gt;0),'bid input'!$F21,IF(AND($E27="Y",$D27=I$3,$C27=0),'bid input'!$F21,0))*I$4</f>
        <v>0</v>
      </c>
      <c r="J27" s="14" t="n">
        <f aca="false">+IF(AND($E27="Y",$C27=J$2,$C27&gt;0),'bid input'!$F21,IF(AND($E27="Y",$D27=J$3,$C27=0),'bid input'!$F21,0))*J$4</f>
        <v>0</v>
      </c>
      <c r="K27" s="14" t="n">
        <f aca="false">+IF(AND($E27="Y",$C27=K$2,$C27&gt;0),'bid input'!$F21,IF(AND($E27="Y",$D27=K$3,$C27=0),'bid input'!$F21,0))*K$4</f>
        <v>0</v>
      </c>
      <c r="L27" s="14" t="n">
        <f aca="false">+IF(AND($E27="Y",$C27=L$2,$C27&gt;0),'bid input'!$F21,IF(AND($E27="Y",$D27=L$3,$C27=0),'bid input'!$F21,0))*L$4</f>
        <v>0</v>
      </c>
      <c r="M27" s="14" t="n">
        <f aca="false">SUM(G27:L27)</f>
        <v>37568.5</v>
      </c>
    </row>
    <row collapsed="false" customFormat="false" customHeight="false" hidden="true" ht="14" outlineLevel="1" r="28">
      <c r="D28" s="17"/>
      <c r="E28" s="18"/>
      <c r="F28" s="19"/>
      <c r="G28" s="14"/>
      <c r="H28" s="14"/>
      <c r="I28" s="14"/>
      <c r="J28" s="14"/>
      <c r="K28" s="14"/>
      <c r="L28" s="14"/>
    </row>
    <row collapsed="false" customFormat="false" customHeight="false" hidden="false" ht="14" outlineLevel="0" r="29">
      <c r="D29" s="20" t="s">
        <v>38</v>
      </c>
      <c r="E29" s="21"/>
      <c r="F29" s="21"/>
      <c r="G29" s="22" t="n">
        <f aca="false">SUM(G8:G28)</f>
        <v>191235</v>
      </c>
      <c r="H29" s="22" t="n">
        <f aca="false">SUM(H8:H28)</f>
        <v>187842.5</v>
      </c>
      <c r="I29" s="22" t="n">
        <f aca="false">SUM(I8:I28)</f>
        <v>191950</v>
      </c>
      <c r="J29" s="22" t="n">
        <f aca="false">SUM(J8:J28)</f>
        <v>0</v>
      </c>
      <c r="K29" s="22" t="n">
        <f aca="false">SUM(K8:K28)</f>
        <v>0</v>
      </c>
      <c r="L29" s="22" t="n">
        <f aca="false">SUM(L8:L28)</f>
        <v>0</v>
      </c>
      <c r="M29" s="23" t="n">
        <f aca="false">SUM(G29:L29)</f>
        <v>571027.5</v>
      </c>
    </row>
    <row collapsed="false" customFormat="false" customHeight="false" hidden="false" ht="14" outlineLevel="0" r="30">
      <c r="D30" s="24" t="s">
        <v>39</v>
      </c>
      <c r="E30" s="25"/>
      <c r="F30" s="25"/>
      <c r="G30" s="26" t="n">
        <f aca="false">+IF(G29&gt;0,SUMPRODUCT($F$8:$F$27,G$8:G$27)/G$29,"")</f>
        <v>0.024375</v>
      </c>
      <c r="H30" s="26" t="n">
        <f aca="false">+IF(H29&gt;0,SUMPRODUCT($F$8:$F$27,H$8:H$27)/H$29,"")</f>
        <v>0.0225</v>
      </c>
      <c r="I30" s="26" t="n">
        <f aca="false">+IF(I29&gt;0,SUMPRODUCT($F$8:$F$27,I$8:I$27)/I$29,"")</f>
        <v>0.025625</v>
      </c>
      <c r="J30" s="26" t="str">
        <f aca="false">+IF(J29&gt;0,SUMPRODUCT($F$8:$F$27,J$8:J$27)/J$29,"")</f>
        <v/>
      </c>
      <c r="K30" s="26" t="str">
        <f aca="false">+IF(K29&gt;0,SUMPRODUCT($F$8:$F$27,K$8:K$27)/K$29,"")</f>
        <v/>
      </c>
      <c r="L30" s="26" t="str">
        <f aca="false">+IF(L29&gt;0,SUMPRODUCT($F$8:$F$27,L$8:L$27)/L$29,"")</f>
        <v/>
      </c>
      <c r="M30" s="27" t="n">
        <f aca="false">+SUMPRODUCT(G29:L29,G30:L30)/M29</f>
        <v>0.0241783944293401</v>
      </c>
    </row>
    <row collapsed="false" customFormat="false" customHeight="false" hidden="false" ht="14" outlineLevel="0" r="32">
      <c r="D32" s="0" t="s">
        <v>40</v>
      </c>
      <c r="G32" s="14" t="n">
        <f aca="false">+G4-G29</f>
        <v>127490</v>
      </c>
      <c r="H32" s="14" t="n">
        <f aca="false">+H4-H29</f>
        <v>187842.5</v>
      </c>
      <c r="I32" s="14" t="n">
        <f aca="false">+I4-I29</f>
        <v>287925</v>
      </c>
      <c r="J32" s="14" t="n">
        <f aca="false">+J4-J29</f>
        <v>525400</v>
      </c>
      <c r="K32" s="14" t="n">
        <f aca="false">+K4-K29</f>
        <v>515425</v>
      </c>
      <c r="L32" s="14" t="n">
        <f aca="false">+L4-L29</f>
        <v>485000</v>
      </c>
      <c r="M32" s="14" t="n">
        <f aca="false">SUM(G32:L32)</f>
        <v>2129082.5</v>
      </c>
    </row>
    <row collapsed="false" customFormat="false" customHeight="false" hidden="false" ht="14" outlineLevel="0" r="33">
      <c r="D33" s="0" t="s">
        <v>41</v>
      </c>
      <c r="G33" s="28" t="str">
        <f aca="false">+IF(G32=0,"NA",IF(G32&lt;0,"OVER","UNDER"))</f>
        <v>UNDER</v>
      </c>
      <c r="H33" s="28" t="str">
        <f aca="false">+IF(H32=0,"NA",IF(H32&lt;0,"OVER","UNDER"))</f>
        <v>UNDER</v>
      </c>
      <c r="I33" s="28" t="str">
        <f aca="false">+IF(I32=0,"NA",IF(I32&lt;0,"OVER","UNDER"))</f>
        <v>UNDER</v>
      </c>
      <c r="J33" s="28" t="str">
        <f aca="false">+IF(J32=0,"NA",IF(J32&lt;0,"OVER","UNDER"))</f>
        <v>UNDER</v>
      </c>
      <c r="K33" s="28" t="str">
        <f aca="false">+IF(K32=0,"NA",IF(K32&lt;0,"OVER","UNDER"))</f>
        <v>UNDER</v>
      </c>
      <c r="L33" s="28" t="str">
        <f aca="false">+IF(L32=0,"NA",IF(L32&lt;0,"OVER","UNDER"))</f>
        <v>UNDER</v>
      </c>
      <c r="M33" s="28" t="str">
        <f aca="false">+IF(M32=0,"NA",IF(M32&lt;0,"OVER","UNDER"))</f>
        <v>UNDER</v>
      </c>
    </row>
    <row collapsed="false" customFormat="false" customHeight="false" hidden="false" ht="14" outlineLevel="0" r="35">
      <c r="A35" s="0" t="s">
        <v>42</v>
      </c>
    </row>
    <row collapsed="false" customFormat="false" customHeight="true" hidden="true" ht="27.95" outlineLevel="1" r="36">
      <c r="B36" s="15" t="s">
        <v>34</v>
      </c>
      <c r="C36" s="15" t="s">
        <v>35</v>
      </c>
      <c r="D36" s="15" t="s">
        <v>23</v>
      </c>
      <c r="E36" s="16" t="s">
        <v>43</v>
      </c>
      <c r="F36" s="15" t="s">
        <v>44</v>
      </c>
      <c r="G36" s="29" t="inlineStr">
        <f aca="false">F23</f>
        <is>
          <t/>
        </is>
      </c>
      <c r="H36" s="29" t="inlineStr">
        <f aca="false">F11</f>
        <is>
          <t/>
        </is>
      </c>
      <c r="I36" s="29" t="inlineStr">
        <f aca="false">F15</f>
        <is>
          <t/>
        </is>
      </c>
      <c r="J36" s="30" t="inlineStr">
        <f aca="false">+I36</f>
        <is>
          <t/>
        </is>
      </c>
      <c r="K36" s="30" t="inlineStr">
        <f aca="false">+J36</f>
        <is>
          <t/>
        </is>
      </c>
      <c r="L36" s="30" t="inlineStr">
        <f aca="false">+K36</f>
        <is>
          <t/>
        </is>
      </c>
    </row>
    <row collapsed="false" customFormat="false" customHeight="true" hidden="true" ht="14.1" outlineLevel="1" r="37">
      <c r="B37" s="10" t="n">
        <f aca="false">+B8</f>
        <v>1104134</v>
      </c>
      <c r="C37" s="10" t="n">
        <f aca="false">+C8</f>
        <v>1</v>
      </c>
      <c r="D37" s="10" t="n">
        <f aca="false">+D8</f>
        <v>0</v>
      </c>
      <c r="E37" s="18" t="str">
        <f aca="false">+IF('bid input'!P2=1,"Y","N")</f>
        <v>Y</v>
      </c>
      <c r="F37" s="19"/>
      <c r="G37" s="14" t="n">
        <f aca="false">+IF(AND($E37="Y",$C37=G$2,$C37&gt;0),'bid input'!$F2,IF(AND($E37="Y",$D37=G$3,$C37=0),'bid input'!$F2,0))*G$4</f>
        <v>31872.5</v>
      </c>
      <c r="H37" s="14" t="n">
        <f aca="false">+IF(AND($E37="Y",$C37=H$2,$C37&gt;0),'bid input'!$F2,IF(AND($E37="Y",$D37=H$3,$C37=0),'bid input'!$F2,0))*H$4</f>
        <v>0</v>
      </c>
      <c r="I37" s="14" t="n">
        <f aca="false">+IF(AND($E37="Y",$C37=I$2,$C37&gt;0),'bid input'!$F2,IF(AND($E37="Y",$D37=I$3,$C37=0),'bid input'!$F2,0))*I$4</f>
        <v>0</v>
      </c>
      <c r="J37" s="14" t="n">
        <f aca="false">+IF(AND($E37="Y",$C37=J$2,$C37&gt;0),'bid input'!$F2,IF(AND($E37="Y",$D37=J$3,$C37=0),'bid input'!$F2,0))*J$4</f>
        <v>0</v>
      </c>
      <c r="K37" s="14" t="n">
        <f aca="false">+IF(AND($E37="Y",$C37=K$2,$C37&gt;0),'bid input'!$F2,IF(AND($E37="Y",$D37=K$3,$C37=0),'bid input'!$F2,0))*K$4</f>
        <v>0</v>
      </c>
      <c r="L37" s="14" t="n">
        <f aca="false">+IF(AND($E37="Y",$C37=L$2,$C37&gt;0),'bid input'!$F2,IF(AND($E37="Y",$D37=L$3,$C37=0),'bid input'!$F2,0))*L$4</f>
        <v>0</v>
      </c>
      <c r="M37" s="14" t="n">
        <f aca="false">SUM(G37:L37)</f>
        <v>31872.5</v>
      </c>
    </row>
    <row collapsed="false" customFormat="false" customHeight="true" hidden="true" ht="14.1" outlineLevel="1" r="38">
      <c r="B38" s="10" t="n">
        <f aca="false">+B9</f>
        <v>1104143</v>
      </c>
      <c r="C38" s="10" t="n">
        <f aca="false">+C9</f>
        <v>2</v>
      </c>
      <c r="D38" s="10" t="n">
        <f aca="false">+D9</f>
        <v>0</v>
      </c>
      <c r="E38" s="18" t="str">
        <f aca="false">+IF('bid input'!P3=1,"Y","N")</f>
        <v>Y</v>
      </c>
      <c r="F38" s="19"/>
      <c r="G38" s="14" t="n">
        <f aca="false">+IF(AND($E38="Y",$C38=G$2,$C38&gt;0),'bid input'!$F3,IF(AND($E38="Y",$D38=G$3,$C38=0),'bid input'!$F3,0))*G$4</f>
        <v>0</v>
      </c>
      <c r="H38" s="14" t="n">
        <f aca="false">+IF(AND($E38="Y",$C38=H$2,$C38&gt;0),'bid input'!$F3,IF(AND($E38="Y",$D38=H$3,$C38=0),'bid input'!$F3,0))*H$4</f>
        <v>37568.5</v>
      </c>
      <c r="I38" s="14" t="n">
        <f aca="false">+IF(AND($E38="Y",$C38=I$2,$C38&gt;0),'bid input'!$F3,IF(AND($E38="Y",$D38=I$3,$C38=0),'bid input'!$F3,0))*I$4</f>
        <v>0</v>
      </c>
      <c r="J38" s="14" t="n">
        <f aca="false">+IF(AND($E38="Y",$C38=J$2,$C38&gt;0),'bid input'!$F3,IF(AND($E38="Y",$D38=J$3,$C38=0),'bid input'!$F3,0))*J$4</f>
        <v>0</v>
      </c>
      <c r="K38" s="14" t="n">
        <f aca="false">+IF(AND($E38="Y",$C38=K$2,$C38&gt;0),'bid input'!$F3,IF(AND($E38="Y",$D38=K$3,$C38=0),'bid input'!$F3,0))*K$4</f>
        <v>0</v>
      </c>
      <c r="L38" s="14" t="n">
        <f aca="false">+IF(AND($E38="Y",$C38=L$2,$C38&gt;0),'bid input'!$F3,IF(AND($E38="Y",$D38=L$3,$C38=0),'bid input'!$F3,0))*L$4</f>
        <v>0</v>
      </c>
      <c r="M38" s="14" t="n">
        <f aca="false">SUM(G38:L38)</f>
        <v>37568.5</v>
      </c>
    </row>
    <row collapsed="false" customFormat="false" customHeight="true" hidden="true" ht="14.1" outlineLevel="1" r="39">
      <c r="B39" s="10" t="n">
        <f aca="false">+B10</f>
        <v>1104154</v>
      </c>
      <c r="C39" s="10" t="n">
        <f aca="false">+C10</f>
        <v>2</v>
      </c>
      <c r="D39" s="10" t="n">
        <f aca="false">+D10</f>
        <v>0</v>
      </c>
      <c r="E39" s="18" t="str">
        <f aca="false">+IF('bid input'!P4=1,"Y","N")</f>
        <v>N</v>
      </c>
      <c r="F39" s="19"/>
      <c r="G39" s="14" t="n">
        <f aca="false">+IF(AND($E39="Y",$C39=G$2,$C39&gt;0),'bid input'!$F4,IF(AND($E39="Y",$D39=G$3,$C39=0),'bid input'!$F4,0))*G$4</f>
        <v>0</v>
      </c>
      <c r="H39" s="14" t="n">
        <f aca="false">+IF(AND($E39="Y",$C39=H$2,$C39&gt;0),'bid input'!$F4,IF(AND($E39="Y",$D39=H$3,$C39=0),'bid input'!$F4,0))*H$4</f>
        <v>0</v>
      </c>
      <c r="I39" s="14" t="n">
        <f aca="false">+IF(AND($E39="Y",$C39=I$2,$C39&gt;0),'bid input'!$F4,IF(AND($E39="Y",$D39=I$3,$C39=0),'bid input'!$F4,0))*I$4</f>
        <v>0</v>
      </c>
      <c r="J39" s="14" t="n">
        <f aca="false">+IF(AND($E39="Y",$C39=J$2,$C39&gt;0),'bid input'!$F4,IF(AND($E39="Y",$D39=J$3,$C39=0),'bid input'!$F4,0))*J$4</f>
        <v>0</v>
      </c>
      <c r="K39" s="14" t="n">
        <f aca="false">+IF(AND($E39="Y",$C39=K$2,$C39&gt;0),'bid input'!$F4,IF(AND($E39="Y",$D39=K$3,$C39=0),'bid input'!$F4,0))*K$4</f>
        <v>0</v>
      </c>
      <c r="L39" s="14" t="n">
        <f aca="false">+IF(AND($E39="Y",$C39=L$2,$C39&gt;0),'bid input'!$F4,IF(AND($E39="Y",$D39=L$3,$C39=0),'bid input'!$F4,0))*L$4</f>
        <v>0</v>
      </c>
      <c r="M39" s="14" t="n">
        <f aca="false">SUM(G39:L39)</f>
        <v>0</v>
      </c>
    </row>
    <row collapsed="false" customFormat="false" customHeight="true" hidden="true" ht="14.1" outlineLevel="1" r="40">
      <c r="B40" s="10" t="n">
        <f aca="false">+B11</f>
        <v>1104152</v>
      </c>
      <c r="C40" s="10" t="n">
        <f aca="false">+C11</f>
        <v>0</v>
      </c>
      <c r="D40" s="0" t="str">
        <f aca="false">+D11</f>
        <v>ABC Mortgage</v>
      </c>
      <c r="E40" s="18" t="str">
        <f aca="false">+IF('bid input'!P5=1,"Y","N")</f>
        <v>N</v>
      </c>
      <c r="F40" s="19"/>
      <c r="G40" s="14" t="n">
        <f aca="false">+IF(AND($E40="Y",$C40=G$2,$C40&gt;0),'bid input'!$F5,IF(AND($E40="Y",$D40=G$3,$C40=0),'bid input'!$F5,0))*G$4</f>
        <v>0</v>
      </c>
      <c r="H40" s="14" t="n">
        <f aca="false">+IF(AND($E40="Y",$C40=H$2,$C40&gt;0),'bid input'!$F5,IF(AND($E40="Y",$D40=H$3,$C40=0),'bid input'!$F5,0))*H$4</f>
        <v>0</v>
      </c>
      <c r="I40" s="14" t="n">
        <f aca="false">+IF(AND($E40="Y",$C40=I$2,$C40&gt;0),'bid input'!$F5,IF(AND($E40="Y",$D40=I$3,$C40=0),'bid input'!$F5,0))*I$4</f>
        <v>0</v>
      </c>
      <c r="J40" s="14" t="n">
        <f aca="false">+IF(AND($E40="Y",$C40=J$2,$C40&gt;0),'bid input'!$F5,IF(AND($E40="Y",$D40=J$3,$C40=0),'bid input'!$F5,0))*J$4</f>
        <v>0</v>
      </c>
      <c r="K40" s="14" t="n">
        <f aca="false">+IF(AND($E40="Y",$C40=K$2,$C40&gt;0),'bid input'!$F5,IF(AND($E40="Y",$D40=K$3,$C40=0),'bid input'!$F5,0))*K$4</f>
        <v>0</v>
      </c>
      <c r="L40" s="14" t="n">
        <f aca="false">+IF(AND($E40="Y",$C40=L$2,$C40&gt;0),'bid input'!$F5,IF(AND($E40="Y",$D40=L$3,$C40=0),'bid input'!$F5,0))*L$4</f>
        <v>0</v>
      </c>
      <c r="M40" s="14" t="n">
        <f aca="false">SUM(G40:L40)</f>
        <v>0</v>
      </c>
    </row>
    <row collapsed="false" customFormat="false" customHeight="true" hidden="true" ht="14.1" outlineLevel="1" r="41">
      <c r="B41" s="10" t="n">
        <f aca="false">+B12</f>
        <v>1104136</v>
      </c>
      <c r="C41" s="10" t="n">
        <f aca="false">+C12</f>
        <v>0</v>
      </c>
      <c r="D41" s="0" t="str">
        <f aca="false">+D12</f>
        <v>Integrity Lending</v>
      </c>
      <c r="E41" s="18" t="str">
        <f aca="false">+IF('bid input'!P6=1,"Y","N")</f>
        <v>Y</v>
      </c>
      <c r="F41" s="19"/>
      <c r="G41" s="14" t="n">
        <f aca="false">+IF(AND($E41="Y",$C41=G$2,$C41&gt;0),'bid input'!$F6,IF(AND($E41="Y",$D41=G$3,$C41=0),'bid input'!$F6,0))*G$4</f>
        <v>0</v>
      </c>
      <c r="H41" s="14" t="n">
        <f aca="false">+IF(AND($E41="Y",$C41=H$2,$C41&gt;0),'bid input'!$F6,IF(AND($E41="Y",$D41=H$3,$C41=0),'bid input'!$F6,0))*H$4</f>
        <v>0</v>
      </c>
      <c r="I41" s="14" t="n">
        <f aca="false">+IF(AND($E41="Y",$C41=I$2,$C41&gt;0),'bid input'!$F6,IF(AND($E41="Y",$D41=I$3,$C41=0),'bid input'!$F6,0))*I$4</f>
        <v>0</v>
      </c>
      <c r="J41" s="14" t="n">
        <f aca="false">+IF(AND($E41="Y",$C41=J$2,$C41&gt;0),'bid input'!$F6,IF(AND($E41="Y",$D41=J$3,$C41=0),'bid input'!$F6,0))*J$4</f>
        <v>0</v>
      </c>
      <c r="K41" s="14" t="n">
        <f aca="false">+IF(AND($E41="Y",$C41=K$2,$C41&gt;0),'bid input'!$F6,IF(AND($E41="Y",$D41=K$3,$C41=0),'bid input'!$F6,0))*K$4</f>
        <v>0</v>
      </c>
      <c r="L41" s="14" t="n">
        <f aca="false">+IF(AND($E41="Y",$C41=L$2,$C41&gt;0),'bid input'!$F6,IF(AND($E41="Y",$D41=L$3,$C41=0),'bid input'!$F6,0))*L$4</f>
        <v>97000</v>
      </c>
      <c r="M41" s="14" t="n">
        <f aca="false">SUM(G41:L41)</f>
        <v>97000</v>
      </c>
    </row>
    <row collapsed="false" customFormat="false" customHeight="true" hidden="true" ht="14.1" outlineLevel="1" r="42">
      <c r="B42" s="10" t="n">
        <f aca="false">+B13</f>
        <v>1104138</v>
      </c>
      <c r="C42" s="10" t="n">
        <f aca="false">+C13</f>
        <v>2</v>
      </c>
      <c r="D42" s="10" t="n">
        <f aca="false">+D13</f>
        <v>0</v>
      </c>
      <c r="E42" s="18" t="str">
        <f aca="false">+IF('bid input'!P7=1,"Y","N")</f>
        <v>Y</v>
      </c>
      <c r="F42" s="19"/>
      <c r="G42" s="14" t="n">
        <f aca="false">+IF(AND($E42="Y",$C42=G$2,$C42&gt;0),'bid input'!$F7,IF(AND($E42="Y",$D42=G$3,$C42=0),'bid input'!$F7,0))*G$4</f>
        <v>0</v>
      </c>
      <c r="H42" s="14" t="n">
        <f aca="false">+IF(AND($E42="Y",$C42=H$2,$C42&gt;0),'bid input'!$F7,IF(AND($E42="Y",$D42=H$3,$C42=0),'bid input'!$F7,0))*H$4</f>
        <v>112705.5</v>
      </c>
      <c r="I42" s="14" t="n">
        <f aca="false">+IF(AND($E42="Y",$C42=I$2,$C42&gt;0),'bid input'!$F7,IF(AND($E42="Y",$D42=I$3,$C42=0),'bid input'!$F7,0))*I$4</f>
        <v>0</v>
      </c>
      <c r="J42" s="14" t="n">
        <f aca="false">+IF(AND($E42="Y",$C42=J$2,$C42&gt;0),'bid input'!$F7,IF(AND($E42="Y",$D42=J$3,$C42=0),'bid input'!$F7,0))*J$4</f>
        <v>0</v>
      </c>
      <c r="K42" s="14" t="n">
        <f aca="false">+IF(AND($E42="Y",$C42=K$2,$C42&gt;0),'bid input'!$F7,IF(AND($E42="Y",$D42=K$3,$C42=0),'bid input'!$F7,0))*K$4</f>
        <v>0</v>
      </c>
      <c r="L42" s="14" t="n">
        <f aca="false">+IF(AND($E42="Y",$C42=L$2,$C42&gt;0),'bid input'!$F7,IF(AND($E42="Y",$D42=L$3,$C42=0),'bid input'!$F7,0))*L$4</f>
        <v>0</v>
      </c>
      <c r="M42" s="14" t="n">
        <f aca="false">SUM(G42:L42)</f>
        <v>112705.5</v>
      </c>
    </row>
    <row collapsed="false" customFormat="false" customHeight="true" hidden="true" ht="14.1" outlineLevel="1" r="43">
      <c r="B43" s="10" t="n">
        <f aca="false">+B14</f>
        <v>1104139</v>
      </c>
      <c r="C43" s="10" t="n">
        <f aca="false">+C14</f>
        <v>1</v>
      </c>
      <c r="D43" s="10" t="n">
        <f aca="false">+D14</f>
        <v>0</v>
      </c>
      <c r="E43" s="18" t="str">
        <f aca="false">+IF('bid input'!P8=1,"Y","N")</f>
        <v>N</v>
      </c>
      <c r="F43" s="19"/>
      <c r="G43" s="14" t="n">
        <f aca="false">+IF(AND($E43="Y",$C43=G$2,$C43&gt;0),'bid input'!$F8,IF(AND($E43="Y",$D43=G$3,$C43=0),'bid input'!$F8,0))*G$4</f>
        <v>0</v>
      </c>
      <c r="H43" s="14" t="n">
        <f aca="false">+IF(AND($E43="Y",$C43=H$2,$C43&gt;0),'bid input'!$F8,IF(AND($E43="Y",$D43=H$3,$C43=0),'bid input'!$F8,0))*H$4</f>
        <v>0</v>
      </c>
      <c r="I43" s="14" t="n">
        <f aca="false">+IF(AND($E43="Y",$C43=I$2,$C43&gt;0),'bid input'!$F8,IF(AND($E43="Y",$D43=I$3,$C43=0),'bid input'!$F8,0))*I$4</f>
        <v>0</v>
      </c>
      <c r="J43" s="14" t="n">
        <f aca="false">+IF(AND($E43="Y",$C43=J$2,$C43&gt;0),'bid input'!$F8,IF(AND($E43="Y",$D43=J$3,$C43=0),'bid input'!$F8,0))*J$4</f>
        <v>0</v>
      </c>
      <c r="K43" s="14" t="n">
        <f aca="false">+IF(AND($E43="Y",$C43=K$2,$C43&gt;0),'bid input'!$F8,IF(AND($E43="Y",$D43=K$3,$C43=0),'bid input'!$F8,0))*K$4</f>
        <v>0</v>
      </c>
      <c r="L43" s="14" t="n">
        <f aca="false">+IF(AND($E43="Y",$C43=L$2,$C43&gt;0),'bid input'!$F8,IF(AND($E43="Y",$D43=L$3,$C43=0),'bid input'!$F8,0))*L$4</f>
        <v>0</v>
      </c>
      <c r="M43" s="14" t="n">
        <f aca="false">SUM(G43:L43)</f>
        <v>0</v>
      </c>
    </row>
    <row collapsed="false" customFormat="false" customHeight="true" hidden="true" ht="14.1" outlineLevel="1" r="44">
      <c r="B44" s="10" t="n">
        <f aca="false">+B15</f>
        <v>1104140</v>
      </c>
      <c r="C44" s="10" t="n">
        <f aca="false">+C15</f>
        <v>3</v>
      </c>
      <c r="D44" s="10" t="n">
        <f aca="false">+D15</f>
        <v>0</v>
      </c>
      <c r="E44" s="18" t="str">
        <f aca="false">+IF('bid input'!P9=1,"Y","N")</f>
        <v>N</v>
      </c>
      <c r="F44" s="19"/>
      <c r="G44" s="14" t="n">
        <f aca="false">+IF(AND($E44="Y",$C44=G$2,$C44&gt;0),'bid input'!$F9,IF(AND($E44="Y",$D44=G$3,$C44=0),'bid input'!$F9,0))*G$4</f>
        <v>0</v>
      </c>
      <c r="H44" s="14" t="n">
        <f aca="false">+IF(AND($E44="Y",$C44=H$2,$C44&gt;0),'bid input'!$F9,IF(AND($E44="Y",$D44=H$3,$C44=0),'bid input'!$F9,0))*H$4</f>
        <v>0</v>
      </c>
      <c r="I44" s="14" t="n">
        <f aca="false">+IF(AND($E44="Y",$C44=I$2,$C44&gt;0),'bid input'!$F9,IF(AND($E44="Y",$D44=I$3,$C44=0),'bid input'!$F9,0))*I$4</f>
        <v>0</v>
      </c>
      <c r="J44" s="14" t="n">
        <f aca="false">+IF(AND($E44="Y",$C44=J$2,$C44&gt;0),'bid input'!$F9,IF(AND($E44="Y",$D44=J$3,$C44=0),'bid input'!$F9,0))*J$4</f>
        <v>0</v>
      </c>
      <c r="K44" s="14" t="n">
        <f aca="false">+IF(AND($E44="Y",$C44=K$2,$C44&gt;0),'bid input'!$F9,IF(AND($E44="Y",$D44=K$3,$C44=0),'bid input'!$F9,0))*K$4</f>
        <v>0</v>
      </c>
      <c r="L44" s="14" t="n">
        <f aca="false">+IF(AND($E44="Y",$C44=L$2,$C44&gt;0),'bid input'!$F9,IF(AND($E44="Y",$D44=L$3,$C44=0),'bid input'!$F9,0))*L$4</f>
        <v>0</v>
      </c>
      <c r="M44" s="14" t="n">
        <f aca="false">SUM(G44:L44)</f>
        <v>0</v>
      </c>
    </row>
    <row collapsed="false" customFormat="false" customHeight="true" hidden="true" ht="14.1" outlineLevel="1" r="45">
      <c r="B45" s="10" t="n">
        <f aca="false">+B16</f>
        <v>1104141</v>
      </c>
      <c r="C45" s="10" t="n">
        <f aca="false">+C16</f>
        <v>0</v>
      </c>
      <c r="D45" s="0" t="str">
        <f aca="false">+D16</f>
        <v>ABC Mortgage</v>
      </c>
      <c r="E45" s="18" t="str">
        <f aca="false">+IF('bid input'!P10=1,"Y","N")</f>
        <v>Y</v>
      </c>
      <c r="F45" s="19"/>
      <c r="G45" s="14" t="n">
        <f aca="false">+IF(AND($E45="Y",$C45=G$2,$C45&gt;0),'bid input'!$F10,IF(AND($E45="Y",$D45=G$3,$C45=0),'bid input'!$F10,0))*G$4</f>
        <v>95617.5</v>
      </c>
      <c r="H45" s="31" t="n">
        <v>37568.5</v>
      </c>
      <c r="I45" s="14" t="n">
        <f aca="false">+IF(AND($E45="Y",$C45=I$2,$C45&gt;0),'bid input'!$F10,IF(AND($E45="Y",$D45=I$3,$C45=0),'bid input'!$F10,0))*I$4</f>
        <v>0</v>
      </c>
      <c r="J45" s="14" t="n">
        <f aca="false">+IF(AND($E45="Y",$C45=J$2,$C45&gt;0),'bid input'!$F10,IF(AND($E45="Y",$D45=J$3,$C45=0),'bid input'!$F10,0))*J$4</f>
        <v>0</v>
      </c>
      <c r="K45" s="14" t="n">
        <f aca="false">+IF(AND($E45="Y",$C45=K$2,$C45&gt;0),'bid input'!$F10,IF(AND($E45="Y",$D45=K$3,$C45=0),'bid input'!$F10,0))*K$4</f>
        <v>0</v>
      </c>
      <c r="L45" s="14" t="n">
        <f aca="false">+IF(AND($E45="Y",$C45=L$2,$C45&gt;0),'bid input'!$F10,IF(AND($E45="Y",$D45=L$3,$C45=0),'bid input'!$F10,0))*L$4</f>
        <v>0</v>
      </c>
      <c r="M45" s="14" t="n">
        <f aca="false">SUM(G45:L45)</f>
        <v>133186</v>
      </c>
    </row>
    <row collapsed="false" customFormat="false" customHeight="true" hidden="true" ht="14.1" outlineLevel="1" r="46">
      <c r="B46" s="10" t="n">
        <f aca="false">+B17</f>
        <v>1104159</v>
      </c>
      <c r="C46" s="10" t="n">
        <f aca="false">+C17</f>
        <v>5</v>
      </c>
      <c r="D46" s="10" t="n">
        <f aca="false">+D17</f>
        <v>0</v>
      </c>
      <c r="E46" s="18" t="str">
        <f aca="false">+IF('bid input'!P11=1,"Y","N")</f>
        <v>Y</v>
      </c>
      <c r="F46" s="19"/>
      <c r="G46" s="14" t="n">
        <f aca="false">+IF(AND($E46="Y",$C46=G$2,$C46&gt;0),'bid input'!$F11,IF(AND($E46="Y",$D46=G$3,$C46=0),'bid input'!$F11,0))*G$4</f>
        <v>0</v>
      </c>
      <c r="H46" s="14" t="n">
        <f aca="false">+IF(AND($E46="Y",$C46=H$2,$C46&gt;0),'bid input'!$F11,IF(AND($E46="Y",$D46=H$3,$C46=0),'bid input'!$F11,0))*H$4</f>
        <v>0</v>
      </c>
      <c r="I46" s="14" t="n">
        <f aca="false">+IF(AND($E46="Y",$C46=I$2,$C46&gt;0),'bid input'!$F11,IF(AND($E46="Y",$D46=I$3,$C46=0),'bid input'!$F11,0))*I$4</f>
        <v>0</v>
      </c>
      <c r="J46" s="14" t="n">
        <f aca="false">+IF(AND($E46="Y",$C46=J$2,$C46&gt;0),'bid input'!$F11,IF(AND($E46="Y",$D46=J$3,$C46=0),'bid input'!$F11,0))*J$4</f>
        <v>0</v>
      </c>
      <c r="K46" s="14" t="n">
        <f aca="false">+IF(AND($E46="Y",$C46=K$2,$C46&gt;0),'bid input'!$F11,IF(AND($E46="Y",$D46=K$3,$C46=0),'bid input'!$F11,0))*K$4</f>
        <v>51542.5</v>
      </c>
      <c r="L46" s="14" t="n">
        <f aca="false">+IF(AND($E46="Y",$C46=L$2,$C46&gt;0),'bid input'!$F11,IF(AND($E46="Y",$D46=L$3,$C46=0),'bid input'!$F11,0))*L$4</f>
        <v>0</v>
      </c>
      <c r="M46" s="14" t="n">
        <f aca="false">SUM(G46:L46)</f>
        <v>51542.5</v>
      </c>
    </row>
    <row collapsed="false" customFormat="false" customHeight="true" hidden="true" ht="14.1" outlineLevel="1" r="47">
      <c r="B47" s="10" t="n">
        <f aca="false">+B18</f>
        <v>1104161</v>
      </c>
      <c r="C47" s="10" t="n">
        <f aca="false">+C18</f>
        <v>3</v>
      </c>
      <c r="D47" s="10" t="n">
        <f aca="false">+D18</f>
        <v>0</v>
      </c>
      <c r="E47" s="18" t="str">
        <f aca="false">+IF('bid input'!P12=1,"Y","N")</f>
        <v>N</v>
      </c>
      <c r="F47" s="19"/>
      <c r="G47" s="14" t="n">
        <f aca="false">+IF(AND($E47="Y",$C47=G$2,$C47&gt;0),'bid input'!$F12,IF(AND($E47="Y",$D47=G$3,$C47=0),'bid input'!$F12,0))*G$4</f>
        <v>0</v>
      </c>
      <c r="H47" s="14" t="n">
        <f aca="false">+IF(AND($E47="Y",$C47=H$2,$C47&gt;0),'bid input'!$F12,IF(AND($E47="Y",$D47=H$3,$C47=0),'bid input'!$F12,0))*H$4</f>
        <v>0</v>
      </c>
      <c r="I47" s="14" t="n">
        <f aca="false">+IF(AND($E47="Y",$C47=I$2,$C47&gt;0),'bid input'!$F12,IF(AND($E47="Y",$D47=I$3,$C47=0),'bid input'!$F12,0))*I$4</f>
        <v>0</v>
      </c>
      <c r="J47" s="14" t="n">
        <f aca="false">+IF(AND($E47="Y",$C47=J$2,$C47&gt;0),'bid input'!$F12,IF(AND($E47="Y",$D47=J$3,$C47=0),'bid input'!$F12,0))*J$4</f>
        <v>0</v>
      </c>
      <c r="K47" s="14" t="n">
        <f aca="false">+IF(AND($E47="Y",$C47=K$2,$C47&gt;0),'bid input'!$F12,IF(AND($E47="Y",$D47=K$3,$C47=0),'bid input'!$F12,0))*K$4</f>
        <v>0</v>
      </c>
      <c r="L47" s="14" t="n">
        <f aca="false">+IF(AND($E47="Y",$C47=L$2,$C47&gt;0),'bid input'!$F12,IF(AND($E47="Y",$D47=L$3,$C47=0),'bid input'!$F12,0))*L$4</f>
        <v>0</v>
      </c>
      <c r="M47" s="14" t="n">
        <f aca="false">SUM(G47:L47)</f>
        <v>0</v>
      </c>
    </row>
    <row collapsed="false" customFormat="false" customHeight="true" hidden="true" ht="14.1" outlineLevel="1" r="48">
      <c r="B48" s="10" t="n">
        <f aca="false">+B19</f>
        <v>1104145</v>
      </c>
      <c r="C48" s="10" t="n">
        <f aca="false">+C19</f>
        <v>1</v>
      </c>
      <c r="D48" s="10" t="n">
        <f aca="false">+D19</f>
        <v>0</v>
      </c>
      <c r="E48" s="18" t="str">
        <f aca="false">+IF('bid input'!P13=1,"Y","N")</f>
        <v>N</v>
      </c>
      <c r="F48" s="19"/>
      <c r="G48" s="14" t="n">
        <f aca="false">+IF(AND($E48="Y",$C48=G$2,$C48&gt;0),'bid input'!$F13,IF(AND($E48="Y",$D48=G$3,$C48=0),'bid input'!$F13,0))*G$4</f>
        <v>0</v>
      </c>
      <c r="H48" s="14" t="n">
        <f aca="false">+IF(AND($E48="Y",$C48=H$2,$C48&gt;0),'bid input'!$F13,IF(AND($E48="Y",$D48=H$3,$C48=0),'bid input'!$F13,0))*H$4</f>
        <v>0</v>
      </c>
      <c r="I48" s="14" t="n">
        <f aca="false">+IF(AND($E48="Y",$C48=I$2,$C48&gt;0),'bid input'!$F13,IF(AND($E48="Y",$D48=I$3,$C48=0),'bid input'!$F13,0))*I$4</f>
        <v>0</v>
      </c>
      <c r="J48" s="14" t="n">
        <f aca="false">+IF(AND($E48="Y",$C48=J$2,$C48&gt;0),'bid input'!$F13,IF(AND($E48="Y",$D48=J$3,$C48=0),'bid input'!$F13,0))*J$4</f>
        <v>0</v>
      </c>
      <c r="K48" s="14" t="n">
        <f aca="false">+IF(AND($E48="Y",$C48=K$2,$C48&gt;0),'bid input'!$F13,IF(AND($E48="Y",$D48=K$3,$C48=0),'bid input'!$F13,0))*K$4</f>
        <v>0</v>
      </c>
      <c r="L48" s="14" t="n">
        <f aca="false">+IF(AND($E48="Y",$C48=L$2,$C48&gt;0),'bid input'!$F13,IF(AND($E48="Y",$D48=L$3,$C48=0),'bid input'!$F13,0))*L$4</f>
        <v>0</v>
      </c>
      <c r="M48" s="14" t="n">
        <f aca="false">SUM(G48:L48)</f>
        <v>0</v>
      </c>
    </row>
    <row collapsed="false" customFormat="false" customHeight="true" hidden="true" ht="14.1" outlineLevel="1" r="49">
      <c r="B49" s="10" t="n">
        <f aca="false">+B20</f>
        <v>1104133</v>
      </c>
      <c r="C49" s="10" t="n">
        <f aca="false">+C20</f>
        <v>0</v>
      </c>
      <c r="D49" s="0" t="str">
        <f aca="false">+D20</f>
        <v>Prime Lending</v>
      </c>
      <c r="E49" s="18" t="str">
        <f aca="false">+IF('bid input'!P14=1,"Y","N")</f>
        <v>Y</v>
      </c>
      <c r="F49" s="19"/>
      <c r="G49" s="14" t="n">
        <f aca="false">+IF(AND($E49="Y",$C49=G$2,$C49&gt;0),'bid input'!$F14,IF(AND($E49="Y",$D49=G$3,$C49=0),'bid input'!$F14,0))*G$4</f>
        <v>0</v>
      </c>
      <c r="H49" s="14" t="n">
        <f aca="false">+IF(AND($E49="Y",$C49=H$2,$C49&gt;0),'bid input'!$F14,IF(AND($E49="Y",$D49=H$3,$C49=0),'bid input'!$F14,0))*H$4</f>
        <v>0</v>
      </c>
      <c r="I49" s="14" t="n">
        <f aca="false">+IF(AND($E49="Y",$C49=I$2,$C49&gt;0),'bid input'!$F14,IF(AND($E49="Y",$D49=I$3,$C49=0),'bid input'!$F14,0))*I$4</f>
        <v>143962.5</v>
      </c>
      <c r="J49" s="14" t="n">
        <f aca="false">+IF(AND($E49="Y",$C49=J$2,$C49&gt;0),'bid input'!$F14,IF(AND($E49="Y",$D49=J$3,$C49=0),'bid input'!$F14,0))*J$4</f>
        <v>157620</v>
      </c>
      <c r="K49" s="14" t="n">
        <f aca="false">+IF(AND($E49="Y",$C49=K$2,$C49&gt;0),'bid input'!$F14,IF(AND($E49="Y",$D49=K$3,$C49=0),'bid input'!$F14,0))*K$4</f>
        <v>0</v>
      </c>
      <c r="L49" s="14" t="n">
        <f aca="false">+IF(AND($E49="Y",$C49=L$2,$C49&gt;0),'bid input'!$F14,IF(AND($E49="Y",$D49=L$3,$C49=0),'bid input'!$F14,0))*L$4</f>
        <v>0</v>
      </c>
      <c r="M49" s="14" t="n">
        <f aca="false">SUM(G49:L49)</f>
        <v>301582.5</v>
      </c>
    </row>
    <row collapsed="false" customFormat="false" customHeight="true" hidden="true" ht="14.1" outlineLevel="1" r="50">
      <c r="B50" s="10" t="n">
        <f aca="false">+B21</f>
        <v>1104149</v>
      </c>
      <c r="C50" s="10" t="n">
        <f aca="false">+C21</f>
        <v>0</v>
      </c>
      <c r="D50" s="0" t="str">
        <f aca="false">+D21</f>
        <v>Prime Lending</v>
      </c>
      <c r="E50" s="18" t="str">
        <f aca="false">+IF('bid input'!P15=1,"Y","N")</f>
        <v>Y</v>
      </c>
      <c r="F50" s="19"/>
      <c r="G50" s="14" t="n">
        <f aca="false">+IF(AND($E50="Y",$C50=G$2,$C50&gt;0),'bid input'!$F15,IF(AND($E50="Y",$D50=G$3,$C50=0),'bid input'!$F15,0))*G$4</f>
        <v>0</v>
      </c>
      <c r="H50" s="14" t="n">
        <f aca="false">+IF(AND($E50="Y",$C50=H$2,$C50&gt;0),'bid input'!$F15,IF(AND($E50="Y",$D50=H$3,$C50=0),'bid input'!$F15,0))*H$4</f>
        <v>0</v>
      </c>
      <c r="I50" s="14" t="n">
        <f aca="false">+IF(AND($E50="Y",$C50=I$2,$C50&gt;0),'bid input'!$F15,IF(AND($E50="Y",$D50=I$3,$C50=0),'bid input'!$F15,0))*I$4</f>
        <v>95975</v>
      </c>
      <c r="J50" s="14" t="n">
        <f aca="false">+IF(AND($E50="Y",$C50=J$2,$C50&gt;0),'bid input'!$F15,IF(AND($E50="Y",$D50=J$3,$C50=0),'bid input'!$F15,0))*J$4</f>
        <v>105080</v>
      </c>
      <c r="K50" s="14" t="n">
        <f aca="false">+IF(AND($E50="Y",$C50=K$2,$C50&gt;0),'bid input'!$F15,IF(AND($E50="Y",$D50=K$3,$C50=0),'bid input'!$F15,0))*K$4</f>
        <v>0</v>
      </c>
      <c r="L50" s="14" t="n">
        <f aca="false">+IF(AND($E50="Y",$C50=L$2,$C50&gt;0),'bid input'!$F15,IF(AND($E50="Y",$D50=L$3,$C50=0),'bid input'!$F15,0))*L$4</f>
        <v>0</v>
      </c>
      <c r="M50" s="14" t="n">
        <f aca="false">SUM(G50:L50)</f>
        <v>201055</v>
      </c>
    </row>
    <row collapsed="false" customFormat="false" customHeight="true" hidden="true" ht="14.1" outlineLevel="1" r="51">
      <c r="B51" s="10" t="n">
        <f aca="false">+B22</f>
        <v>1104151</v>
      </c>
      <c r="C51" s="10" t="n">
        <f aca="false">+C22</f>
        <v>2</v>
      </c>
      <c r="D51" s="10" t="n">
        <f aca="false">+D22</f>
        <v>0</v>
      </c>
      <c r="E51" s="18" t="str">
        <f aca="false">+IF('bid input'!P16=1,"Y","N")</f>
        <v>N</v>
      </c>
      <c r="F51" s="19"/>
      <c r="G51" s="14" t="n">
        <f aca="false">+IF(AND($E51="Y",$C51=G$2,$C51&gt;0),'bid input'!$F16,IF(AND($E51="Y",$D51=G$3,$C51=0),'bid input'!$F16,0))*G$4</f>
        <v>0</v>
      </c>
      <c r="H51" s="14" t="n">
        <f aca="false">+IF(AND($E51="Y",$C51=H$2,$C51&gt;0),'bid input'!$F16,IF(AND($E51="Y",$D51=H$3,$C51=0),'bid input'!$F16,0))*H$4</f>
        <v>0</v>
      </c>
      <c r="I51" s="14" t="n">
        <f aca="false">+IF(AND($E51="Y",$C51=I$2,$C51&gt;0),'bid input'!$F16,IF(AND($E51="Y",$D51=I$3,$C51=0),'bid input'!$F16,0))*I$4</f>
        <v>0</v>
      </c>
      <c r="J51" s="14" t="n">
        <f aca="false">+IF(AND($E51="Y",$C51=J$2,$C51&gt;0),'bid input'!$F16,IF(AND($E51="Y",$D51=J$3,$C51=0),'bid input'!$F16,0))*J$4</f>
        <v>0</v>
      </c>
      <c r="K51" s="14" t="n">
        <f aca="false">+IF(AND($E51="Y",$C51=K$2,$C51&gt;0),'bid input'!$F16,IF(AND($E51="Y",$D51=K$3,$C51=0),'bid input'!$F16,0))*K$4</f>
        <v>0</v>
      </c>
      <c r="L51" s="14" t="n">
        <f aca="false">+IF(AND($E51="Y",$C51=L$2,$C51&gt;0),'bid input'!$F16,IF(AND($E51="Y",$D51=L$3,$C51=0),'bid input'!$F16,0))*L$4</f>
        <v>0</v>
      </c>
      <c r="M51" s="14" t="n">
        <f aca="false">SUM(G51:L51)</f>
        <v>0</v>
      </c>
    </row>
    <row collapsed="false" customFormat="false" customHeight="true" hidden="true" ht="14.1" outlineLevel="1" r="52">
      <c r="B52" s="10" t="n">
        <f aca="false">+B23</f>
        <v>1104131</v>
      </c>
      <c r="C52" s="10" t="n">
        <f aca="false">+C23</f>
        <v>1</v>
      </c>
      <c r="D52" s="10" t="n">
        <f aca="false">+D23</f>
        <v>0</v>
      </c>
      <c r="E52" s="18" t="str">
        <f aca="false">+IF('bid input'!P17=1,"Y","N")</f>
        <v>N</v>
      </c>
      <c r="F52" s="19"/>
      <c r="G52" s="14" t="n">
        <f aca="false">+IF(AND($E52="Y",$C52=G$2,$C52&gt;0),'bid input'!$F17,IF(AND($E52="Y",$D52=G$3,$C52=0),'bid input'!$F17,0))*G$4</f>
        <v>0</v>
      </c>
      <c r="H52" s="14" t="n">
        <f aca="false">+IF(AND($E52="Y",$C52=H$2,$C52&gt;0),'bid input'!$F17,IF(AND($E52="Y",$D52=H$3,$C52=0),'bid input'!$F17,0))*H$4</f>
        <v>0</v>
      </c>
      <c r="I52" s="14" t="n">
        <f aca="false">+IF(AND($E52="Y",$C52=I$2,$C52&gt;0),'bid input'!$F17,IF(AND($E52="Y",$D52=I$3,$C52=0),'bid input'!$F17,0))*I$4</f>
        <v>0</v>
      </c>
      <c r="J52" s="14" t="n">
        <f aca="false">+IF(AND($E52="Y",$C52=J$2,$C52&gt;0),'bid input'!$F17,IF(AND($E52="Y",$D52=J$3,$C52=0),'bid input'!$F17,0))*J$4</f>
        <v>0</v>
      </c>
      <c r="K52" s="14" t="n">
        <f aca="false">+IF(AND($E52="Y",$C52=K$2,$C52&gt;0),'bid input'!$F17,IF(AND($E52="Y",$D52=K$3,$C52=0),'bid input'!$F17,0))*K$4</f>
        <v>0</v>
      </c>
      <c r="L52" s="14" t="n">
        <f aca="false">+IF(AND($E52="Y",$C52=L$2,$C52&gt;0),'bid input'!$F17,IF(AND($E52="Y",$D52=L$3,$C52=0),'bid input'!$F17,0))*L$4</f>
        <v>0</v>
      </c>
      <c r="M52" s="14" t="n">
        <f aca="false">SUM(G52:L52)</f>
        <v>0</v>
      </c>
    </row>
    <row collapsed="false" customFormat="false" customHeight="true" hidden="true" ht="14.1" outlineLevel="1" r="53">
      <c r="B53" s="10" t="n">
        <f aca="false">+B24</f>
        <v>1104155</v>
      </c>
      <c r="C53" s="10" t="n">
        <f aca="false">+C24</f>
        <v>5</v>
      </c>
      <c r="D53" s="10" t="n">
        <f aca="false">+D24</f>
        <v>0</v>
      </c>
      <c r="E53" s="18" t="str">
        <f aca="false">+IF('bid input'!P18=1,"Y","N")</f>
        <v>Y</v>
      </c>
      <c r="F53" s="19"/>
      <c r="G53" s="14" t="n">
        <f aca="false">+IF(AND($E53="Y",$C53=G$2,$C53&gt;0),'bid input'!$F18,IF(AND($E53="Y",$D53=G$3,$C53=0),'bid input'!$F18,0))*G$4</f>
        <v>0</v>
      </c>
      <c r="H53" s="14" t="n">
        <f aca="false">+IF(AND($E53="Y",$C53=H$2,$C53&gt;0),'bid input'!$F18,IF(AND($E53="Y",$D53=H$3,$C53=0),'bid input'!$F18,0))*H$4</f>
        <v>0</v>
      </c>
      <c r="I53" s="14" t="n">
        <f aca="false">+IF(AND($E53="Y",$C53=I$2,$C53&gt;0),'bid input'!$F18,IF(AND($E53="Y",$D53=I$3,$C53=0),'bid input'!$F18,0))*I$4</f>
        <v>0</v>
      </c>
      <c r="J53" s="14" t="n">
        <f aca="false">+IF(AND($E53="Y",$C53=J$2,$C53&gt;0),'bid input'!$F18,IF(AND($E53="Y",$D53=J$3,$C53=0),'bid input'!$F18,0))*J$4</f>
        <v>0</v>
      </c>
      <c r="K53" s="14" t="n">
        <f aca="false">+IF(AND($E53="Y",$C53=K$2,$C53&gt;0),'bid input'!$F18,IF(AND($E53="Y",$D53=K$3,$C53=0),'bid input'!$F18,0))*K$4</f>
        <v>103085</v>
      </c>
      <c r="L53" s="14" t="n">
        <f aca="false">+IF(AND($E53="Y",$C53=L$2,$C53&gt;0),'bid input'!$F18,IF(AND($E53="Y",$D53=L$3,$C53=0),'bid input'!$F18,0))*L$4</f>
        <v>0</v>
      </c>
      <c r="M53" s="14" t="n">
        <f aca="false">SUM(G53:L53)</f>
        <v>103085</v>
      </c>
    </row>
    <row collapsed="false" customFormat="false" customHeight="true" hidden="true" ht="14.1" outlineLevel="1" r="54">
      <c r="B54" s="10" t="n">
        <f aca="false">+B25</f>
        <v>1104156</v>
      </c>
      <c r="C54" s="10" t="n">
        <f aca="false">+C25</f>
        <v>3</v>
      </c>
      <c r="D54" s="10" t="n">
        <f aca="false">+D25</f>
        <v>0</v>
      </c>
      <c r="E54" s="18" t="str">
        <f aca="false">+IF('bid input'!P19=1,"Y","N")</f>
        <v>Y</v>
      </c>
      <c r="F54" s="19"/>
      <c r="G54" s="14" t="n">
        <f aca="false">+IF(AND($E54="Y",$C54=G$2,$C54&gt;0),'bid input'!$F19,IF(AND($E54="Y",$D54=G$3,$C54=0),'bid input'!$F19,0))*G$4</f>
        <v>0</v>
      </c>
      <c r="H54" s="14" t="n">
        <f aca="false">+IF(AND($E54="Y",$C54=H$2,$C54&gt;0),'bid input'!$F19,IF(AND($E54="Y",$D54=H$3,$C54=0),'bid input'!$F19,0))*H$4</f>
        <v>0</v>
      </c>
      <c r="I54" s="14" t="n">
        <f aca="false">+IF(AND($E54="Y",$C54=I$2,$C54&gt;0),'bid input'!$F19,IF(AND($E54="Y",$D54=I$3,$C54=0),'bid input'!$F19,0))*I$4</f>
        <v>47987.5</v>
      </c>
      <c r="J54" s="14" t="n">
        <f aca="false">+IF(AND($E54="Y",$C54=J$2,$C54&gt;0),'bid input'!$F19,IF(AND($E54="Y",$D54=J$3,$C54=0),'bid input'!$F19,0))*J$4</f>
        <v>0</v>
      </c>
      <c r="K54" s="14" t="n">
        <f aca="false">+IF(AND($E54="Y",$C54=K$2,$C54&gt;0),'bid input'!$F19,IF(AND($E54="Y",$D54=K$3,$C54=0),'bid input'!$F19,0))*K$4</f>
        <v>0</v>
      </c>
      <c r="L54" s="14" t="n">
        <f aca="false">+IF(AND($E54="Y",$C54=L$2,$C54&gt;0),'bid input'!$F19,IF(AND($E54="Y",$D54=L$3,$C54=0),'bid input'!$F19,0))*L$4</f>
        <v>0</v>
      </c>
      <c r="M54" s="14" t="n">
        <f aca="false">SUM(G54:L54)</f>
        <v>47987.5</v>
      </c>
    </row>
    <row collapsed="false" customFormat="false" customHeight="true" hidden="true" ht="14.1" outlineLevel="1" r="55">
      <c r="B55" s="10" t="n">
        <f aca="false">+B26</f>
        <v>1104157</v>
      </c>
      <c r="C55" s="10" t="n">
        <f aca="false">+C26</f>
        <v>3</v>
      </c>
      <c r="D55" s="10" t="n">
        <f aca="false">+D26</f>
        <v>0</v>
      </c>
      <c r="E55" s="18" t="str">
        <f aca="false">+IF('bid input'!P20=1,"Y","N")</f>
        <v>N</v>
      </c>
      <c r="F55" s="19"/>
      <c r="G55" s="14" t="n">
        <f aca="false">+IF(AND($E55="Y",$C55=G$2,$C55&gt;0),'bid input'!$F20,IF(AND($E55="Y",$D55=G$3,$C55=0),'bid input'!$F20,0))*G$4</f>
        <v>0</v>
      </c>
      <c r="H55" s="14" t="n">
        <f aca="false">+IF(AND($E55="Y",$C55=H$2,$C55&gt;0),'bid input'!$F20,IF(AND($E55="Y",$D55=H$3,$C55=0),'bid input'!$F20,0))*H$4</f>
        <v>0</v>
      </c>
      <c r="I55" s="14" t="n">
        <f aca="false">+IF(AND($E55="Y",$C55=I$2,$C55&gt;0),'bid input'!$F20,IF(AND($E55="Y",$D55=I$3,$C55=0),'bid input'!$F20,0))*I$4</f>
        <v>0</v>
      </c>
      <c r="J55" s="14" t="n">
        <f aca="false">+IF(AND($E55="Y",$C55=J$2,$C55&gt;0),'bid input'!$F20,IF(AND($E55="Y",$D55=J$3,$C55=0),'bid input'!$F20,0))*J$4</f>
        <v>0</v>
      </c>
      <c r="K55" s="14" t="n">
        <f aca="false">+IF(AND($E55="Y",$C55=K$2,$C55&gt;0),'bid input'!$F20,IF(AND($E55="Y",$D55=K$3,$C55=0),'bid input'!$F20,0))*K$4</f>
        <v>0</v>
      </c>
      <c r="L55" s="14" t="n">
        <f aca="false">+IF(AND($E55="Y",$C55=L$2,$C55&gt;0),'bid input'!$F20,IF(AND($E55="Y",$D55=L$3,$C55=0),'bid input'!$F20,0))*L$4</f>
        <v>0</v>
      </c>
      <c r="M55" s="14" t="n">
        <f aca="false">SUM(G55:L55)</f>
        <v>0</v>
      </c>
    </row>
    <row collapsed="false" customFormat="false" customHeight="true" hidden="true" ht="14.1" outlineLevel="1" r="56">
      <c r="B56" s="10" t="n">
        <f aca="false">+B27</f>
        <v>1104158</v>
      </c>
      <c r="C56" s="10" t="n">
        <f aca="false">+C27</f>
        <v>2</v>
      </c>
      <c r="D56" s="10" t="n">
        <f aca="false">+D27</f>
        <v>0</v>
      </c>
      <c r="E56" s="18" t="str">
        <f aca="false">+IF('bid input'!P21=1,"Y","N")</f>
        <v>N</v>
      </c>
      <c r="F56" s="19"/>
      <c r="G56" s="14" t="n">
        <f aca="false">+IF(AND($E56="Y",$C56=G$2,$C56&gt;0),'bid input'!$F21,IF(AND($E56="Y",$D56=G$3,$C56=0),'bid input'!$F21,0))*G$4</f>
        <v>0</v>
      </c>
      <c r="H56" s="14" t="n">
        <f aca="false">+IF(AND($E56="Y",$C56=H$2,$C56&gt;0),'bid input'!$F21,IF(AND($E56="Y",$D56=H$3,$C56=0),'bid input'!$F21,0))*H$4</f>
        <v>0</v>
      </c>
      <c r="I56" s="14" t="n">
        <f aca="false">+IF(AND($E56="Y",$C56=I$2,$C56&gt;0),'bid input'!$F21,IF(AND($E56="Y",$D56=I$3,$C56=0),'bid input'!$F21,0))*I$4</f>
        <v>0</v>
      </c>
      <c r="J56" s="14" t="n">
        <f aca="false">+IF(AND($E56="Y",$C56=J$2,$C56&gt;0),'bid input'!$F21,IF(AND($E56="Y",$D56=J$3,$C56=0),'bid input'!$F21,0))*J$4</f>
        <v>0</v>
      </c>
      <c r="K56" s="14" t="n">
        <f aca="false">+IF(AND($E56="Y",$C56=K$2,$C56&gt;0),'bid input'!$F21,IF(AND($E56="Y",$D56=K$3,$C56=0),'bid input'!$F21,0))*K$4</f>
        <v>0</v>
      </c>
      <c r="L56" s="14" t="n">
        <f aca="false">+IF(AND($E56="Y",$C56=L$2,$C56&gt;0),'bid input'!$F21,IF(AND($E56="Y",$D56=L$3,$C56=0),'bid input'!$F21,0))*L$4</f>
        <v>0</v>
      </c>
      <c r="M56" s="14" t="n">
        <f aca="false">SUM(G56:L56)</f>
        <v>0</v>
      </c>
    </row>
    <row collapsed="false" customFormat="false" customHeight="false" hidden="false" ht="14" outlineLevel="0" r="58">
      <c r="D58" s="20" t="s">
        <v>45</v>
      </c>
      <c r="E58" s="21"/>
      <c r="F58" s="21"/>
      <c r="G58" s="22" t="n">
        <f aca="false">SUM(G37:G57)</f>
        <v>127490</v>
      </c>
      <c r="H58" s="22" t="n">
        <f aca="false">SUM(H37:H57)</f>
        <v>187842.5</v>
      </c>
      <c r="I58" s="22" t="n">
        <f aca="false">SUM(I37:I57)</f>
        <v>287925</v>
      </c>
      <c r="J58" s="22" t="n">
        <f aca="false">SUM(J37:J57)</f>
        <v>262700</v>
      </c>
      <c r="K58" s="22" t="n">
        <f aca="false">SUM(K37:K57)</f>
        <v>154627.5</v>
      </c>
      <c r="L58" s="22" t="n">
        <f aca="false">SUM(L37:L57)</f>
        <v>97000</v>
      </c>
      <c r="M58" s="23" t="n">
        <f aca="false">SUM(G58:L58)</f>
        <v>1117585</v>
      </c>
    </row>
    <row collapsed="false" customFormat="false" customHeight="false" hidden="false" ht="14" outlineLevel="0" r="59">
      <c r="D59" s="24" t="s">
        <v>39</v>
      </c>
      <c r="E59" s="25"/>
      <c r="F59" s="25"/>
      <c r="G59" s="26" t="inlineStr">
        <f aca="false">+G36</f>
        <is>
          <t/>
        </is>
      </c>
      <c r="H59" s="26" t="inlineStr">
        <f aca="false">+H36</f>
        <is>
          <t/>
        </is>
      </c>
      <c r="I59" s="26" t="inlineStr">
        <f aca="false">+I36</f>
        <is>
          <t/>
        </is>
      </c>
      <c r="J59" s="26" t="inlineStr">
        <f aca="false">+J36</f>
        <is>
          <t/>
        </is>
      </c>
      <c r="K59" s="26" t="inlineStr">
        <f aca="false">+K36</f>
        <is>
          <t/>
        </is>
      </c>
      <c r="L59" s="26" t="inlineStr">
        <f aca="false">+L36</f>
        <is>
          <t/>
        </is>
      </c>
      <c r="M59" s="27" t="n">
        <f aca="false">+IF(M58=0,0,SUMPRODUCT(G58:L58,G59:L59)/M58)</f>
        <v>0.0276919177288528</v>
      </c>
    </row>
    <row collapsed="false" customFormat="false" customHeight="false" hidden="false" ht="14" outlineLevel="0" r="60">
      <c r="D60" s="32"/>
      <c r="E60" s="32"/>
      <c r="F60" s="32"/>
      <c r="G60" s="19"/>
      <c r="H60" s="19"/>
      <c r="I60" s="19"/>
      <c r="J60" s="19"/>
      <c r="K60" s="19"/>
      <c r="L60" s="19"/>
      <c r="M60" s="19"/>
    </row>
    <row collapsed="false" customFormat="false" customHeight="false" hidden="false" ht="14" outlineLevel="0" r="61">
      <c r="D61" s="0" t="s">
        <v>40</v>
      </c>
      <c r="G61" s="14" t="n">
        <f aca="false">+G32-G58</f>
        <v>0</v>
      </c>
      <c r="H61" s="14" t="n">
        <f aca="false">+H32-H58</f>
        <v>0</v>
      </c>
      <c r="I61" s="14" t="n">
        <f aca="false">+I32-I58</f>
        <v>0</v>
      </c>
      <c r="J61" s="14" t="n">
        <f aca="false">+J32-J58</f>
        <v>262700</v>
      </c>
      <c r="K61" s="14" t="n">
        <f aca="false">+K32-K58</f>
        <v>360797.5</v>
      </c>
      <c r="L61" s="14" t="n">
        <f aca="false">+L32-L58</f>
        <v>388000</v>
      </c>
      <c r="M61" s="14" t="n">
        <f aca="false">+M32-M58</f>
        <v>1011497.5</v>
      </c>
    </row>
    <row collapsed="false" customFormat="false" customHeight="false" hidden="false" ht="14" outlineLevel="0" r="62">
      <c r="D62" s="0" t="s">
        <v>41</v>
      </c>
      <c r="G62" s="28" t="str">
        <f aca="false">+IF(G61=0,"NA",IF(G61&lt;0,"OVER","UNDER"))</f>
        <v>NA</v>
      </c>
      <c r="H62" s="28" t="str">
        <f aca="false">+IF(H61=0,"NA",IF(H61&lt;0,"OVER","UNDER"))</f>
        <v>NA</v>
      </c>
      <c r="I62" s="28" t="str">
        <f aca="false">+IF(I61=0,"NA",IF(I61&lt;0,"OVER","UNDER"))</f>
        <v>NA</v>
      </c>
      <c r="J62" s="28" t="str">
        <f aca="false">+IF(J61=0,"NA",IF(J61&lt;0,"OVER","UNDER"))</f>
        <v>UNDER</v>
      </c>
      <c r="K62" s="28" t="str">
        <f aca="false">+IF(K61=0,"NA",IF(K61&lt;0,"OVER","UNDER"))</f>
        <v>UNDER</v>
      </c>
      <c r="L62" s="28" t="str">
        <f aca="false">+IF(L61=0,"NA",IF(L61&lt;0,"OVER","UNDER"))</f>
        <v>UNDER</v>
      </c>
      <c r="M62" s="28" t="str">
        <f aca="false">+IF(M61=0,"NA",IF(M61&lt;0,"OVER","UNDER"))</f>
        <v>UNDER</v>
      </c>
    </row>
    <row collapsed="false" customFormat="false" customHeight="false" hidden="false" ht="14" outlineLevel="0" r="63">
      <c r="D63" s="32"/>
      <c r="E63" s="32"/>
      <c r="F63" s="32"/>
      <c r="G63" s="19"/>
      <c r="H63" s="19"/>
      <c r="I63" s="19"/>
      <c r="J63" s="19"/>
      <c r="K63" s="19"/>
      <c r="L63" s="19"/>
      <c r="M63" s="19"/>
    </row>
    <row collapsed="false" customFormat="false" customHeight="false" hidden="false" ht="14" outlineLevel="0" r="64">
      <c r="A64" s="0" t="s">
        <v>46</v>
      </c>
    </row>
    <row collapsed="false" customFormat="false" customHeight="false" hidden="false" ht="14" outlineLevel="0" r="65">
      <c r="D65" s="33" t="s">
        <v>47</v>
      </c>
      <c r="E65" s="34"/>
      <c r="F65" s="34"/>
      <c r="G65" s="35" t="n">
        <f aca="false">+G29+G58</f>
        <v>318725</v>
      </c>
      <c r="H65" s="35" t="n">
        <f aca="false">+H29+H58</f>
        <v>375685</v>
      </c>
      <c r="I65" s="35" t="n">
        <f aca="false">+I29+I58</f>
        <v>479875</v>
      </c>
      <c r="J65" s="35" t="n">
        <f aca="false">+J29+J58</f>
        <v>262700</v>
      </c>
      <c r="K65" s="35" t="n">
        <f aca="false">+K29+K58</f>
        <v>154627.5</v>
      </c>
      <c r="L65" s="35" t="n">
        <f aca="false">+L29+L58</f>
        <v>97000</v>
      </c>
      <c r="M65" s="36" t="n">
        <f aca="false">+M29+M58</f>
        <v>1688612.5</v>
      </c>
    </row>
    <row collapsed="false" customFormat="false" customHeight="false" hidden="false" ht="14" outlineLevel="0" r="66">
      <c r="D66" s="37" t="s">
        <v>48</v>
      </c>
      <c r="E66" s="38"/>
      <c r="F66" s="38"/>
      <c r="G66" s="39" t="n">
        <f aca="false">+G65/G4</f>
        <v>1</v>
      </c>
      <c r="H66" s="39" t="n">
        <f aca="false">+H65/H4</f>
        <v>1</v>
      </c>
      <c r="I66" s="39" t="n">
        <f aca="false">+I65/I4</f>
        <v>1</v>
      </c>
      <c r="J66" s="39" t="n">
        <f aca="false">+J65/J4</f>
        <v>0.5</v>
      </c>
      <c r="K66" s="39" t="n">
        <f aca="false">+K65/K4</f>
        <v>0.3</v>
      </c>
      <c r="L66" s="39" t="n">
        <f aca="false">+L65/L4</f>
        <v>0.2</v>
      </c>
      <c r="M66" s="40"/>
    </row>
    <row collapsed="false" customFormat="false" customHeight="false" hidden="false" ht="14" outlineLevel="0" r="67">
      <c r="D67" s="41" t="s">
        <v>39</v>
      </c>
      <c r="E67" s="42"/>
      <c r="F67" s="42"/>
      <c r="G67" s="43" t="n">
        <f aca="false">+IF(ISERR(IF(ISERR((G29*G30)+(G58*G59))/(G58+G29),G59,((G29*G30)+(G58*G59))/(G58+G29))),0,IF(ISERR((G29*G30)+(G58*G59))/(G58+G29),G59,((G29*G30)+(G58*G59))/(G58+G29)))</f>
        <v>0.024625</v>
      </c>
      <c r="H67" s="43" t="n">
        <f aca="false">+IF(ISERR(IF(ISERR((H29*H30)+(H58*H59))/(H58+H29),H59,((H29*H30)+(H58*H59))/(H58+H29))),0,IF(ISERR((H29*H30)+(H58*H59))/(H58+H29),H59,((H29*H30)+(H58*H59))/(H58+H29)))</f>
        <v>0.02375</v>
      </c>
      <c r="I67" s="43" t="n">
        <f aca="false">+IF(ISERR(IF(ISERR((I29*I30)+(I58*I59))/(I58+I29),I59,((I29*I30)+(I58*I59))/(I58+I29))),0,IF(ISERR((I29*I30)+(I58*I59))/(I58+I29),I59,((I29*I30)+(I58*I59))/(I58+I29)))</f>
        <v>0.0275</v>
      </c>
      <c r="J67" s="43" t="inlineStr">
        <f aca="false">+IF(ISERR(IF(ISERR((J29*J30)+(J58*J59))/(J58+J29),J59,((J29*J30)+(J58*J59))/(J58+J29))),0,IF(ISERR((J29*J30)+(J58*J59))/(J58+J29),J59,((J29*J30)+(J58*J59))/(J58+J29)))</f>
        <is>
          <t/>
        </is>
      </c>
      <c r="K67" s="43" t="inlineStr">
        <f aca="false">+IF(ISERR(IF(ISERR((K29*K30)+(K58*K59))/(K58+K29),K59,((K29*K30)+(K58*K59))/(K58+K29))),0,IF(ISERR((K29*K30)+(K58*K59))/(K58+K29),K59,((K29*K30)+(K58*K59))/(K58+K29)))</f>
        <is>
          <t/>
        </is>
      </c>
      <c r="L67" s="43" t="inlineStr">
        <f aca="false">+IF(ISERR(IF(ISERR((L29*L30)+(L58*L59))/(L58+L29),L59,((L29*L30)+(L58*L59))/(L58+L29))),0,IF(ISERR((L29*L30)+(L58*L59))/(L58+L29),L59,((L29*L30)+(L58*L59))/(L58+L29)))</f>
        <is>
          <t/>
        </is>
      </c>
      <c r="M67" s="44" t="n">
        <f aca="false">+IF(ISERR(IF(ISERR((M29*M30)+(M58*M59))/(M58+M29),M59,((M29*M30)+(M58*M59))/(M58+M29))),0,IF(ISERR((M29*M30)+(M58*M59))/(M58+M29),M59,((M29*M30)+(M58*M59))/(M58+M29)))</f>
        <v>0.02650377158762</v>
      </c>
    </row>
    <row collapsed="false" customFormat="false" customHeight="false" hidden="false" ht="14" outlineLevel="0" r="69">
      <c r="A69" s="0" t="s">
        <v>49</v>
      </c>
    </row>
    <row collapsed="false" customFormat="false" customHeight="false" hidden="true" ht="28.35" outlineLevel="1" r="70">
      <c r="B70" s="15" t="s">
        <v>34</v>
      </c>
      <c r="C70" s="16" t="s">
        <v>50</v>
      </c>
      <c r="D70" s="15" t="s">
        <v>37</v>
      </c>
      <c r="E70" s="15" t="s">
        <v>51</v>
      </c>
      <c r="F70" s="45"/>
      <c r="G70" s="46" t="s">
        <v>52</v>
      </c>
      <c r="I70" s="45" t="s">
        <v>53</v>
      </c>
      <c r="J70" s="46" t="s">
        <v>54</v>
      </c>
      <c r="K70" s="46" t="s">
        <v>55</v>
      </c>
      <c r="L70" s="46" t="s">
        <v>56</v>
      </c>
      <c r="M70" s="46" t="s">
        <v>57</v>
      </c>
      <c r="N70" s="46" t="s">
        <v>58</v>
      </c>
      <c r="O70" s="46" t="s">
        <v>37</v>
      </c>
      <c r="P70" s="46" t="s">
        <v>34</v>
      </c>
      <c r="Q70" s="47"/>
      <c r="R70" s="46" t="s">
        <v>59</v>
      </c>
      <c r="S70" s="46" t="s">
        <v>57</v>
      </c>
      <c r="T70" s="46" t="s">
        <v>37</v>
      </c>
      <c r="U70" s="46" t="s">
        <v>34</v>
      </c>
    </row>
    <row collapsed="false" customFormat="false" customHeight="false" hidden="true" ht="14" outlineLevel="1" r="71">
      <c r="B71" s="10" t="n">
        <f aca="false">+'bid input'!B2</f>
        <v>1104134</v>
      </c>
      <c r="C71" s="18" t="str">
        <f aca="false">+IF('bid input'!Q2=1,"Y","N")</f>
        <v>N</v>
      </c>
      <c r="D71" s="19" t="n">
        <f aca="false">+IF(C71="N",0,'bid input'!K2)</f>
        <v>0</v>
      </c>
      <c r="E71" s="14" t="n">
        <f aca="false">+MIN('bid input'!D2,'bid input'!M2)</f>
        <v>187500</v>
      </c>
      <c r="F71" s="48" t="n">
        <f aca="false">+IF(D71&gt;0,E71,0)</f>
        <v>0</v>
      </c>
      <c r="G71" s="49" t="n">
        <f aca="false">+IF($F71&gt;0,RANK($D71,$D$71:$D$90,1),0)</f>
        <v>0</v>
      </c>
      <c r="H71" s="50" t="n">
        <f aca="false">+IF(ISERROR(VLOOKUP(B71,$J$96:$K$115,2,0)),0,VLOOKUP(B71,$J$96:$K$115,2,0))</f>
        <v>0</v>
      </c>
      <c r="I71" s="50" t="n">
        <f aca="false">+IF(ISERROR(VLOOKUP(B71,$J$96:$K$115,2,0)),0,VLOOKUP(B71,$J$96:$K$115,2,0))</f>
        <v>0</v>
      </c>
      <c r="J71" s="51" t="n">
        <f aca="false">VLOOKUP(B71,'bid input'!B:S,18,0)</f>
        <v>40928.625</v>
      </c>
      <c r="K71" s="49" t="str">
        <f aca="false">IF(G71=0,"",G71)</f>
        <v/>
      </c>
      <c r="L71" s="49" t="n">
        <f aca="false">IF(ISERROR(RANK(K71,K$71:K$90,1)),0,RANK(K71,K$71:K$90,1))</f>
        <v>0</v>
      </c>
      <c r="M71" s="52" t="n">
        <f aca="false">VALUE(L71&amp;J71)</f>
        <v>40928.625</v>
      </c>
      <c r="N71" s="49" t="n">
        <f aca="false">IF(L71=0,0,COUNT(M$71:M$90)-(RANK(M71,M$71:M$90,0)+COUNTIF(M71:M$71,M71))+2)</f>
        <v>0</v>
      </c>
      <c r="O71" s="53" t="inlineStr">
        <f aca="false">D71</f>
        <is>
          <t/>
        </is>
      </c>
      <c r="P71" s="54" t="n">
        <f aca="false">B71</f>
        <v>1104134</v>
      </c>
      <c r="Q71" s="55"/>
      <c r="R71" s="1" t="n">
        <f aca="true">OFFSET(N$71,MATCH(SMALL(N$71:N$90,ROW()-ROW(R$71)+1),N$71:N$90,0)-1,0)</f>
        <v>0</v>
      </c>
      <c r="S71" s="1" t="n">
        <f aca="true">OFFSET(M$71,MATCH(SMALL(N$71:N$90,ROW()-ROW(R$71)+1),N$71:N$90,0)-1,0)</f>
        <v>40928.625</v>
      </c>
      <c r="T71" s="53" t="n">
        <f aca="false">VLOOKUP(S71,M$71:O$90,3,0)</f>
        <v>0</v>
      </c>
      <c r="U71" s="1" t="n">
        <f aca="false">VLOOKUP(S71,M$71:P$90,4,0)</f>
        <v>1104134</v>
      </c>
    </row>
    <row collapsed="false" customFormat="false" customHeight="false" hidden="true" ht="14" outlineLevel="1" r="72">
      <c r="B72" s="10" t="n">
        <f aca="false">+'bid input'!B3</f>
        <v>1104143</v>
      </c>
      <c r="C72" s="18" t="str">
        <f aca="false">+IF('bid input'!Q3=1,"Y","N")</f>
        <v>N</v>
      </c>
      <c r="D72" s="19" t="n">
        <f aca="false">+IF(C72="N",0,'bid input'!K3)</f>
        <v>0</v>
      </c>
      <c r="E72" s="14" t="n">
        <f aca="false">+MIN('bid input'!D3,'bid input'!M3)</f>
        <v>500000</v>
      </c>
      <c r="F72" s="48" t="n">
        <f aca="false">+IF(D72&gt;0,E72,0)</f>
        <v>0</v>
      </c>
      <c r="G72" s="49" t="n">
        <f aca="false">+IF($F72&gt;0,RANK($D72,$D$71:$D$90,1),0)</f>
        <v>0</v>
      </c>
      <c r="H72" s="50" t="n">
        <f aca="false">+IF(ISERROR(VLOOKUP(B72,$J$96:$K$115,2,0)),0,VLOOKUP(B72,$J$96:$K$115,2,0))</f>
        <v>0</v>
      </c>
      <c r="I72" s="50" t="n">
        <f aca="false">+IF(ISERROR(VLOOKUP(B72,$J$96:$K$115,2,0)),0,VLOOKUP(B72,$J$96:$K$115,2,0))</f>
        <v>0</v>
      </c>
      <c r="J72" s="51" t="n">
        <f aca="false">VLOOKUP(B72,'bid input'!B:S,18,0)</f>
        <v>40928.625</v>
      </c>
      <c r="K72" s="49" t="str">
        <f aca="false">IF(G72=0,"",G72)</f>
        <v/>
      </c>
      <c r="L72" s="49" t="n">
        <f aca="false">IF(ISERROR(RANK(K72,K$71:K$90,1)),0,RANK(K72,K$71:K$90,1))</f>
        <v>0</v>
      </c>
      <c r="M72" s="52" t="n">
        <f aca="false">VALUE(L72&amp;J72)</f>
        <v>40928.625</v>
      </c>
      <c r="N72" s="49" t="n">
        <f aca="false">IF(L72=0,0,COUNT(M$71:M$90)-(RANK(M72,M$71:M$90,0)+COUNTIF(M$71:M72,M72))+2)</f>
        <v>0</v>
      </c>
      <c r="O72" s="53" t="inlineStr">
        <f aca="false">D72</f>
        <is>
          <t/>
        </is>
      </c>
      <c r="P72" s="54" t="n">
        <f aca="false">B72</f>
        <v>1104143</v>
      </c>
      <c r="Q72" s="55"/>
      <c r="R72" s="1" t="n">
        <f aca="true">OFFSET(N$71,MATCH(SMALL(N$71:N$90,ROW()-ROW(R$71)+1),N$71:N$90,0)-1,0)</f>
        <v>0</v>
      </c>
      <c r="S72" s="1" t="n">
        <f aca="true">OFFSET(M$71,MATCH(SMALL(N$71:N$90,ROW()-ROW(R$71)+1),N$71:N$90,0)-1,0)</f>
        <v>40928.625</v>
      </c>
      <c r="T72" s="53" t="n">
        <f aca="false">VLOOKUP(S72,M$71:O$90,3,0)</f>
        <v>0</v>
      </c>
      <c r="U72" s="1" t="n">
        <f aca="false">VLOOKUP(S72,M$71:P$90,4,0)</f>
        <v>1104134</v>
      </c>
    </row>
    <row collapsed="false" customFormat="false" customHeight="false" hidden="true" ht="14" outlineLevel="1" r="73">
      <c r="B73" s="10" t="n">
        <f aca="false">+'bid input'!B4</f>
        <v>1104154</v>
      </c>
      <c r="C73" s="18" t="str">
        <f aca="false">+IF('bid input'!Q4=1,"Y","N")</f>
        <v>N</v>
      </c>
      <c r="D73" s="19" t="n">
        <f aca="false">+IF(C73="N",0,'bid input'!K4)</f>
        <v>0</v>
      </c>
      <c r="E73" s="14" t="n">
        <f aca="false">+MIN('bid input'!D4,'bid input'!M4)</f>
        <v>185000</v>
      </c>
      <c r="F73" s="48" t="n">
        <f aca="false">+IF(D73&gt;0,E73,0)</f>
        <v>0</v>
      </c>
      <c r="G73" s="49" t="n">
        <f aca="false">+IF($F73&gt;0,RANK($D73,$D$71:$D$90,1),0)</f>
        <v>0</v>
      </c>
      <c r="H73" s="50" t="n">
        <f aca="false">+IF(ISERROR(VLOOKUP(B73,$J$96:$K$115,2,0)),0,VLOOKUP(B73,$J$96:$K$115,2,0))</f>
        <v>0</v>
      </c>
      <c r="I73" s="50" t="n">
        <f aca="false">+IF(ISERROR(VLOOKUP(B73,$J$96:$K$115,2,0)),0,VLOOKUP(B73,$J$96:$K$115,2,0))</f>
        <v>0</v>
      </c>
      <c r="J73" s="51" t="n">
        <f aca="false">VLOOKUP(B73,'bid input'!B:S,18,0)</f>
        <v>40928.625</v>
      </c>
      <c r="K73" s="49" t="str">
        <f aca="false">IF(G73=0,"",G73)</f>
        <v/>
      </c>
      <c r="L73" s="49" t="n">
        <f aca="false">IF(ISERROR(RANK(K73,K$71:K$90,1)),0,RANK(K73,K$71:K$90,1))</f>
        <v>0</v>
      </c>
      <c r="M73" s="52" t="n">
        <f aca="false">VALUE(L73&amp;J73)</f>
        <v>40928.625</v>
      </c>
      <c r="N73" s="49" t="n">
        <f aca="false">IF(L73=0,0,COUNT(M$71:M$90)-(RANK(M73,M$71:M$90,0)+COUNTIF(M$71:M73,M73))+2)</f>
        <v>0</v>
      </c>
      <c r="O73" s="53" t="inlineStr">
        <f aca="false">D73</f>
        <is>
          <t/>
        </is>
      </c>
      <c r="P73" s="54" t="n">
        <f aca="false">B73</f>
        <v>1104154</v>
      </c>
      <c r="Q73" s="55"/>
      <c r="R73" s="1" t="n">
        <f aca="true">OFFSET(N$71,MATCH(SMALL(N$71:N$90,ROW()-ROW(R$71)+1),N$71:N$90,0)-1,0)</f>
        <v>0</v>
      </c>
      <c r="S73" s="1" t="n">
        <f aca="true">OFFSET(M$71,MATCH(SMALL(N$71:N$90,ROW()-ROW(R$71)+1),N$71:N$90,0)-1,0)</f>
        <v>40928.625</v>
      </c>
      <c r="T73" s="53" t="n">
        <f aca="false">VLOOKUP(S73,M$71:O$90,3,0)</f>
        <v>0</v>
      </c>
      <c r="U73" s="1" t="n">
        <f aca="false">VLOOKUP(S73,M$71:P$90,4,0)</f>
        <v>1104134</v>
      </c>
    </row>
    <row collapsed="false" customFormat="false" customHeight="false" hidden="true" ht="14" outlineLevel="1" r="74">
      <c r="B74" s="10" t="n">
        <f aca="false">+'bid input'!B5</f>
        <v>1104152</v>
      </c>
      <c r="C74" s="18" t="str">
        <f aca="false">+IF('bid input'!Q5=1,"Y","N")</f>
        <v>N</v>
      </c>
      <c r="D74" s="19" t="n">
        <f aca="false">+IF(C74="N",0,'bid input'!K5)</f>
        <v>0</v>
      </c>
      <c r="E74" s="14" t="n">
        <f aca="false">+MIN('bid input'!D5,'bid input'!M5)</f>
        <v>1500000</v>
      </c>
      <c r="F74" s="48" t="n">
        <f aca="false">+IF(D74&gt;0,E74,0)</f>
        <v>0</v>
      </c>
      <c r="G74" s="49" t="n">
        <f aca="false">+IF($F74&gt;0,RANK($D74,$D$71:$D$90,1),0)</f>
        <v>0</v>
      </c>
      <c r="H74" s="50" t="n">
        <f aca="false">+IF(ISERROR(VLOOKUP(B74,$J$96:$K$115,2,0)),0,VLOOKUP(B74,$J$96:$K$115,2,0))</f>
        <v>0</v>
      </c>
      <c r="I74" s="50" t="n">
        <f aca="false">+IF(ISERROR(VLOOKUP(B74,$J$96:$K$115,2,0)),0,VLOOKUP(B74,$J$96:$K$115,2,0))</f>
        <v>0</v>
      </c>
      <c r="J74" s="51" t="n">
        <f aca="false">VLOOKUP(B74,'bid input'!B:S,18,0)</f>
        <v>40928.625</v>
      </c>
      <c r="K74" s="49" t="str">
        <f aca="false">IF(G74=0,"",G74)</f>
        <v/>
      </c>
      <c r="L74" s="49" t="n">
        <f aca="false">IF(ISERROR(RANK(K74,K$71:K$90,1)),0,RANK(K74,K$71:K$90,1))</f>
        <v>0</v>
      </c>
      <c r="M74" s="52" t="n">
        <f aca="false">VALUE(L74&amp;J74)</f>
        <v>40928.625</v>
      </c>
      <c r="N74" s="49" t="n">
        <f aca="false">IF(L74=0,0,COUNT(M$71:M$90)-(RANK(M74,M$71:M$90,0)+COUNTIF(M$71:M74,M74))+2)</f>
        <v>0</v>
      </c>
      <c r="O74" s="53" t="inlineStr">
        <f aca="false">D74</f>
        <is>
          <t/>
        </is>
      </c>
      <c r="P74" s="54" t="n">
        <f aca="false">B74</f>
        <v>1104152</v>
      </c>
      <c r="Q74" s="55"/>
      <c r="R74" s="1" t="n">
        <f aca="true">OFFSET(N$71,MATCH(SMALL(N$71:N$90,ROW()-ROW(R$71)+1),N$71:N$90,0)-1,0)</f>
        <v>0</v>
      </c>
      <c r="S74" s="1" t="n">
        <f aca="true">OFFSET(M$71,MATCH(SMALL(N$71:N$90,ROW()-ROW(R$71)+1),N$71:N$90,0)-1,0)</f>
        <v>40928.625</v>
      </c>
      <c r="T74" s="53" t="n">
        <f aca="false">VLOOKUP(S74,M$71:O$90,3,0)</f>
        <v>0</v>
      </c>
      <c r="U74" s="1" t="n">
        <f aca="false">VLOOKUP(S74,M$71:P$90,4,0)</f>
        <v>1104134</v>
      </c>
    </row>
    <row collapsed="false" customFormat="false" customHeight="false" hidden="true" ht="14" outlineLevel="1" r="75">
      <c r="B75" s="10" t="n">
        <f aca="false">+'bid input'!B6</f>
        <v>1104136</v>
      </c>
      <c r="C75" s="18" t="str">
        <f aca="false">+IF('bid input'!Q6=1,"Y","N")</f>
        <v>N</v>
      </c>
      <c r="D75" s="19" t="n">
        <f aca="false">+IF(C75="N",0,'bid input'!K6)</f>
        <v>0</v>
      </c>
      <c r="E75" s="14" t="n">
        <f aca="false">+MIN('bid input'!D6,'bid input'!M6)</f>
        <v>860000</v>
      </c>
      <c r="F75" s="48" t="n">
        <f aca="false">+IF(D75&gt;0,E75,0)</f>
        <v>0</v>
      </c>
      <c r="G75" s="49" t="n">
        <f aca="false">+IF($F75&gt;0,RANK($D75,$D$71:$D$90,1),0)</f>
        <v>0</v>
      </c>
      <c r="H75" s="50" t="n">
        <f aca="false">+IF(ISERROR(VLOOKUP(B75,$J$96:$K$115,2,0)),0,VLOOKUP(B75,$J$96:$K$115,2,0))</f>
        <v>0</v>
      </c>
      <c r="I75" s="50" t="n">
        <f aca="false">+IF(ISERROR(VLOOKUP(B75,$J$96:$K$115,2,0)),0,VLOOKUP(B75,$J$96:$K$115,2,0))</f>
        <v>0</v>
      </c>
      <c r="J75" s="51" t="n">
        <f aca="false">VLOOKUP(B75,'bid input'!B:S,18,0)</f>
        <v>40928.7126388889</v>
      </c>
      <c r="K75" s="49" t="str">
        <f aca="false">IF(G75=0,"",G75)</f>
        <v/>
      </c>
      <c r="L75" s="49" t="n">
        <f aca="false">IF(ISERROR(RANK(K75,K$71:K$90,1)),0,RANK(K75,K$71:K$90,1))</f>
        <v>0</v>
      </c>
      <c r="M75" s="52" t="n">
        <f aca="false">VALUE(L75&amp;J75)</f>
        <v>40928.7126388889</v>
      </c>
      <c r="N75" s="49" t="n">
        <f aca="false">IF(L75=0,0,COUNT(M$71:M$90)-(RANK(M75,M$71:M$90,0)+COUNTIF(M$71:M75,M75))+2)</f>
        <v>0</v>
      </c>
      <c r="O75" s="53" t="inlineStr">
        <f aca="false">D75</f>
        <is>
          <t/>
        </is>
      </c>
      <c r="P75" s="54" t="n">
        <f aca="false">B75</f>
        <v>1104136</v>
      </c>
      <c r="Q75" s="55"/>
      <c r="R75" s="1" t="n">
        <f aca="true">OFFSET(N$71,MATCH(SMALL(N$71:N$90,ROW()-ROW(R$71)+1),N$71:N$90,0)-1,0)</f>
        <v>0</v>
      </c>
      <c r="S75" s="1" t="n">
        <f aca="true">OFFSET(M$71,MATCH(SMALL(N$71:N$90,ROW()-ROW(R$71)+1),N$71:N$90,0)-1,0)</f>
        <v>40928.625</v>
      </c>
      <c r="T75" s="53" t="n">
        <f aca="false">VLOOKUP(S75,M$71:O$90,3,0)</f>
        <v>0</v>
      </c>
      <c r="U75" s="1" t="n">
        <f aca="false">VLOOKUP(S75,M$71:P$90,4,0)</f>
        <v>1104134</v>
      </c>
    </row>
    <row collapsed="false" customFormat="false" customHeight="false" hidden="true" ht="14" outlineLevel="1" r="76">
      <c r="B76" s="10" t="n">
        <f aca="false">+'bid input'!B7</f>
        <v>1104138</v>
      </c>
      <c r="C76" s="18" t="str">
        <f aca="false">+IF('bid input'!Q7=1,"Y","N")</f>
        <v>N</v>
      </c>
      <c r="D76" s="19" t="n">
        <f aca="false">+IF(C76="N",0,'bid input'!K7)</f>
        <v>0</v>
      </c>
      <c r="E76" s="14" t="n">
        <f aca="false">+MIN('bid input'!D7,'bid input'!M7)</f>
        <v>300000</v>
      </c>
      <c r="F76" s="48" t="n">
        <f aca="false">+IF(D76&gt;0,E76,0)</f>
        <v>0</v>
      </c>
      <c r="G76" s="49" t="n">
        <f aca="false">+IF($F76&gt;0,RANK($D76,$D$71:$D$90,1),0)</f>
        <v>0</v>
      </c>
      <c r="H76" s="50" t="n">
        <f aca="false">+IF(ISERROR(VLOOKUP(B76,$J$96:$K$115,2,0)),0,VLOOKUP(B76,$J$96:$K$115,2,0))</f>
        <v>0</v>
      </c>
      <c r="I76" s="50" t="n">
        <f aca="false">+IF(ISERROR(VLOOKUP(B76,$J$96:$K$115,2,0)),0,VLOOKUP(B76,$J$96:$K$115,2,0))</f>
        <v>0</v>
      </c>
      <c r="J76" s="51" t="n">
        <f aca="false">VLOOKUP(B76,'bid input'!B:S,18,0)</f>
        <v>40928.7726388889</v>
      </c>
      <c r="K76" s="49" t="str">
        <f aca="false">IF(G76=0,"",G76)</f>
        <v/>
      </c>
      <c r="L76" s="49" t="n">
        <f aca="false">IF(ISERROR(RANK(K76,K$71:K$90,1)),0,RANK(K76,K$71:K$90,1))</f>
        <v>0</v>
      </c>
      <c r="M76" s="52" t="n">
        <f aca="false">VALUE(L76&amp;J76)</f>
        <v>40928.7726388889</v>
      </c>
      <c r="N76" s="49" t="n">
        <f aca="false">IF(L76=0,0,COUNT(M$71:M$90)-(RANK(M76,M$71:M$90,0)+COUNTIF(M$71:M76,M76))+2)</f>
        <v>0</v>
      </c>
      <c r="O76" s="53" t="inlineStr">
        <f aca="false">D76</f>
        <is>
          <t/>
        </is>
      </c>
      <c r="P76" s="54" t="n">
        <f aca="false">B76</f>
        <v>1104138</v>
      </c>
      <c r="Q76" s="55"/>
      <c r="R76" s="1" t="n">
        <f aca="true">OFFSET(N$71,MATCH(SMALL(N$71:N$90,ROW()-ROW(R$71)+1),N$71:N$90,0)-1,0)</f>
        <v>0</v>
      </c>
      <c r="S76" s="1" t="n">
        <f aca="true">OFFSET(M$71,MATCH(SMALL(N$71:N$90,ROW()-ROW(R$71)+1),N$71:N$90,0)-1,0)</f>
        <v>40928.625</v>
      </c>
      <c r="T76" s="53" t="n">
        <f aca="false">VLOOKUP(S76,M$71:O$90,3,0)</f>
        <v>0</v>
      </c>
      <c r="U76" s="1" t="n">
        <f aca="false">VLOOKUP(S76,M$71:P$90,4,0)</f>
        <v>1104134</v>
      </c>
    </row>
    <row collapsed="false" customFormat="false" customHeight="false" hidden="true" ht="14" outlineLevel="1" r="77">
      <c r="B77" s="10" t="n">
        <f aca="false">+'bid input'!B8</f>
        <v>1104139</v>
      </c>
      <c r="C77" s="18" t="str">
        <f aca="false">+IF('bid input'!Q8=1,"Y","N")</f>
        <v>N</v>
      </c>
      <c r="D77" s="19" t="n">
        <f aca="false">+IF(C77="N",0,'bid input'!K8)</f>
        <v>0</v>
      </c>
      <c r="E77" s="14" t="n">
        <f aca="false">+MIN('bid input'!D8,'bid input'!M8)</f>
        <v>250000</v>
      </c>
      <c r="F77" s="48" t="n">
        <f aca="false">+IF(D77&gt;0,E77,0)</f>
        <v>0</v>
      </c>
      <c r="G77" s="49" t="n">
        <f aca="false">+IF($F77&gt;0,RANK($D77,$D$71:$D$90,1),0)</f>
        <v>0</v>
      </c>
      <c r="H77" s="50" t="n">
        <f aca="false">+IF(ISERROR(VLOOKUP(B77,$J$96:$K$115,2,0)),0,VLOOKUP(B77,$J$96:$K$115,2,0))</f>
        <v>0</v>
      </c>
      <c r="I77" s="50" t="n">
        <f aca="false">+IF(ISERROR(VLOOKUP(B77,$J$96:$K$115,2,0)),0,VLOOKUP(B77,$J$96:$K$115,2,0))</f>
        <v>0</v>
      </c>
      <c r="J77" s="51" t="n">
        <f aca="false">VLOOKUP(B77,'bid input'!B:S,18,0)</f>
        <v>40928.8026388889</v>
      </c>
      <c r="K77" s="49" t="str">
        <f aca="false">IF(G77=0,"",G77)</f>
        <v/>
      </c>
      <c r="L77" s="49" t="n">
        <f aca="false">IF(ISERROR(RANK(K77,K$71:K$90,1)),0,RANK(K77,K$71:K$90,1))</f>
        <v>0</v>
      </c>
      <c r="M77" s="52" t="n">
        <f aca="false">VALUE(L77&amp;J77)</f>
        <v>40928.8026388889</v>
      </c>
      <c r="N77" s="49" t="n">
        <f aca="false">IF(L77=0,0,COUNT(M$71:M$90)-(RANK(M77,M$71:M$90,0)+COUNTIF(M$71:M77,M77))+2)</f>
        <v>0</v>
      </c>
      <c r="O77" s="53" t="inlineStr">
        <f aca="false">D77</f>
        <is>
          <t/>
        </is>
      </c>
      <c r="P77" s="54" t="n">
        <f aca="false">B77</f>
        <v>1104139</v>
      </c>
      <c r="Q77" s="55"/>
      <c r="R77" s="1" t="n">
        <f aca="true">OFFSET(N$71,MATCH(SMALL(N$71:N$90,ROW()-ROW(R$71)+1),N$71:N$90,0)-1,0)</f>
        <v>0</v>
      </c>
      <c r="S77" s="1" t="n">
        <f aca="true">OFFSET(M$71,MATCH(SMALL(N$71:N$90,ROW()-ROW(R$71)+1),N$71:N$90,0)-1,0)</f>
        <v>40928.625</v>
      </c>
      <c r="T77" s="53" t="n">
        <f aca="false">VLOOKUP(S77,M$71:O$90,3,0)</f>
        <v>0</v>
      </c>
      <c r="U77" s="1" t="n">
        <f aca="false">VLOOKUP(S77,M$71:P$90,4,0)</f>
        <v>1104134</v>
      </c>
    </row>
    <row collapsed="false" customFormat="false" customHeight="false" hidden="true" ht="14" outlineLevel="1" r="78">
      <c r="B78" s="10" t="n">
        <f aca="false">+'bid input'!B9</f>
        <v>1104140</v>
      </c>
      <c r="C78" s="18" t="str">
        <f aca="false">+IF('bid input'!Q9=1,"Y","N")</f>
        <v>N</v>
      </c>
      <c r="D78" s="19" t="n">
        <f aca="false">+IF(C78="N",0,'bid input'!K9)</f>
        <v>0</v>
      </c>
      <c r="E78" s="14" t="n">
        <f aca="false">+MIN('bid input'!D9,'bid input'!M9)</f>
        <v>74000</v>
      </c>
      <c r="F78" s="48" t="n">
        <f aca="false">+IF(D78&gt;0,E78,0)</f>
        <v>0</v>
      </c>
      <c r="G78" s="49" t="n">
        <f aca="false">+IF($F78&gt;0,RANK($D78,$D$71:$D$90,1),0)</f>
        <v>0</v>
      </c>
      <c r="H78" s="50" t="n">
        <f aca="false">+IF(ISERROR(VLOOKUP(B78,$J$96:$K$115,2,0)),0,VLOOKUP(B78,$J$96:$K$115,2,0))</f>
        <v>0</v>
      </c>
      <c r="I78" s="50" t="n">
        <f aca="false">+IF(ISERROR(VLOOKUP(B78,$J$96:$K$115,2,0)),0,VLOOKUP(B78,$J$96:$K$115,2,0))</f>
        <v>0</v>
      </c>
      <c r="J78" s="51" t="n">
        <f aca="false">VLOOKUP(B78,'bid input'!B:S,18,0)</f>
        <v>40928.8326388889</v>
      </c>
      <c r="K78" s="49" t="str">
        <f aca="false">IF(G78=0,"",G78)</f>
        <v/>
      </c>
      <c r="L78" s="49" t="n">
        <f aca="false">IF(ISERROR(RANK(K78,K$71:K$90,1)),0,RANK(K78,K$71:K$90,1))</f>
        <v>0</v>
      </c>
      <c r="M78" s="52" t="n">
        <f aca="false">VALUE(L78&amp;J78)</f>
        <v>40928.8326388889</v>
      </c>
      <c r="N78" s="49" t="n">
        <f aca="false">IF(L78=0,0,COUNT(M$71:M$90)-(RANK(M78,M$71:M$90,0)+COUNTIF(M$71:M78,M78))+2)</f>
        <v>0</v>
      </c>
      <c r="O78" s="53" t="inlineStr">
        <f aca="false">D78</f>
        <is>
          <t/>
        </is>
      </c>
      <c r="P78" s="54" t="n">
        <f aca="false">B78</f>
        <v>1104140</v>
      </c>
      <c r="Q78" s="55"/>
      <c r="R78" s="1" t="n">
        <f aca="true">OFFSET(N$71,MATCH(SMALL(N$71:N$90,ROW()-ROW(R$71)+1),N$71:N$90,0)-1,0)</f>
        <v>0</v>
      </c>
      <c r="S78" s="1" t="n">
        <f aca="true">OFFSET(M$71,MATCH(SMALL(N$71:N$90,ROW()-ROW(R$71)+1),N$71:N$90,0)-1,0)</f>
        <v>40928.625</v>
      </c>
      <c r="T78" s="53" t="n">
        <f aca="false">VLOOKUP(S78,M$71:O$90,3,0)</f>
        <v>0</v>
      </c>
      <c r="U78" s="1" t="n">
        <f aca="false">VLOOKUP(S78,M$71:P$90,4,0)</f>
        <v>1104134</v>
      </c>
    </row>
    <row collapsed="false" customFormat="false" customHeight="false" hidden="true" ht="14" outlineLevel="1" r="79">
      <c r="B79" s="10" t="n">
        <f aca="false">+'bid input'!B10</f>
        <v>1104141</v>
      </c>
      <c r="C79" s="18" t="str">
        <f aca="false">+IF('bid input'!Q10=1,"Y","N")</f>
        <v>N</v>
      </c>
      <c r="D79" s="19" t="n">
        <f aca="false">+IF(C79="N",0,'bid input'!K10)</f>
        <v>0</v>
      </c>
      <c r="E79" s="14" t="n">
        <f aca="false">+MIN('bid input'!D10,'bid input'!M10)</f>
        <v>285000</v>
      </c>
      <c r="F79" s="48" t="n">
        <f aca="false">+IF(D79&gt;0,E79,0)</f>
        <v>0</v>
      </c>
      <c r="G79" s="49" t="n">
        <f aca="false">+IF($F79&gt;0,RANK($D79,$D$71:$D$90,1),0)</f>
        <v>0</v>
      </c>
      <c r="H79" s="50" t="n">
        <f aca="false">+IF(ISERROR(VLOOKUP(B79,$J$96:$K$115,2,0)),0,VLOOKUP(B79,$J$96:$K$115,2,0))</f>
        <v>0</v>
      </c>
      <c r="I79" s="50" t="n">
        <f aca="false">+IF(ISERROR(VLOOKUP(B79,$J$96:$K$115,2,0)),0,VLOOKUP(B79,$J$96:$K$115,2,0))</f>
        <v>0</v>
      </c>
      <c r="J79" s="51" t="n">
        <f aca="false">VLOOKUP(B79,'bid input'!B:S,18,0)</f>
        <v>40928.8626388889</v>
      </c>
      <c r="K79" s="49" t="str">
        <f aca="false">IF(G79=0,"",G79)</f>
        <v/>
      </c>
      <c r="L79" s="49" t="n">
        <f aca="false">IF(ISERROR(RANK(K79,K$71:K$90,1)),0,RANK(K79,K$71:K$90,1))</f>
        <v>0</v>
      </c>
      <c r="M79" s="52" t="n">
        <f aca="false">VALUE(L79&amp;J79)</f>
        <v>40928.8626388889</v>
      </c>
      <c r="N79" s="49" t="n">
        <f aca="false">IF(L79=0,0,COUNT(M$71:M$90)-(RANK(M79,M$71:M$90,0)+COUNTIF(M$71:M79,M79))+2)</f>
        <v>0</v>
      </c>
      <c r="O79" s="53" t="inlineStr">
        <f aca="false">D79</f>
        <is>
          <t/>
        </is>
      </c>
      <c r="P79" s="54" t="n">
        <f aca="false">B79</f>
        <v>1104141</v>
      </c>
      <c r="Q79" s="55"/>
      <c r="R79" s="1" t="n">
        <f aca="true">OFFSET(N$71,MATCH(SMALL(N$71:N$90,ROW()-ROW(R$71)+1),N$71:N$90,0)-1,0)</f>
        <v>0</v>
      </c>
      <c r="S79" s="1" t="n">
        <f aca="true">OFFSET(M$71,MATCH(SMALL(N$71:N$90,ROW()-ROW(R$71)+1),N$71:N$90,0)-1,0)</f>
        <v>40928.625</v>
      </c>
      <c r="T79" s="53" t="n">
        <f aca="false">VLOOKUP(S79,M$71:O$90,3,0)</f>
        <v>0</v>
      </c>
      <c r="U79" s="1" t="n">
        <f aca="false">VLOOKUP(S79,M$71:P$90,4,0)</f>
        <v>1104134</v>
      </c>
    </row>
    <row collapsed="false" customFormat="false" customHeight="false" hidden="true" ht="14" outlineLevel="1" r="80">
      <c r="B80" s="10" t="n">
        <f aca="false">+'bid input'!B11</f>
        <v>1104159</v>
      </c>
      <c r="C80" s="18" t="str">
        <f aca="false">+IF('bid input'!Q11=1,"Y","N")</f>
        <v>N</v>
      </c>
      <c r="D80" s="19" t="n">
        <f aca="false">+IF(C80="N",0,'bid input'!K11)</f>
        <v>0</v>
      </c>
      <c r="E80" s="14" t="n">
        <f aca="false">+MIN('bid input'!D11,'bid input'!M11)</f>
        <v>532000</v>
      </c>
      <c r="F80" s="48" t="n">
        <f aca="false">+IF(D80&gt;0,E80,0)</f>
        <v>0</v>
      </c>
      <c r="G80" s="49" t="n">
        <f aca="false">+IF($F80&gt;0,RANK($D80,$D$71:$D$90,1),0)</f>
        <v>0</v>
      </c>
      <c r="H80" s="50" t="n">
        <f aca="false">+IF(ISERROR(VLOOKUP(B80,$J$96:$K$115,2,0)),0,VLOOKUP(B80,$J$96:$K$115,2,0))</f>
        <v>0</v>
      </c>
      <c r="I80" s="50" t="n">
        <f aca="false">+IF(ISERROR(VLOOKUP(B80,$J$96:$K$115,2,0)),0,VLOOKUP(B80,$J$96:$K$115,2,0))</f>
        <v>0</v>
      </c>
      <c r="J80" s="51" t="n">
        <f aca="false">VLOOKUP(B80,'bid input'!B:S,18,0)</f>
        <v>40928.9026388889</v>
      </c>
      <c r="K80" s="49" t="str">
        <f aca="false">IF(G80=0,"",G80)</f>
        <v/>
      </c>
      <c r="L80" s="49" t="n">
        <f aca="false">IF(ISERROR(RANK(K80,K$71:K$90,1)),0,RANK(K80,K$71:K$90,1))</f>
        <v>0</v>
      </c>
      <c r="M80" s="52" t="n">
        <f aca="false">VALUE(L80&amp;J80)</f>
        <v>40928.9026388889</v>
      </c>
      <c r="N80" s="49" t="n">
        <f aca="false">IF(L80=0,0,COUNT(M$71:M$90)-(RANK(M80,M$71:M$90,0)+COUNTIF(M$71:M80,M80))+2)</f>
        <v>0</v>
      </c>
      <c r="O80" s="53" t="inlineStr">
        <f aca="false">D80</f>
        <is>
          <t/>
        </is>
      </c>
      <c r="P80" s="54" t="n">
        <f aca="false">B80</f>
        <v>1104159</v>
      </c>
      <c r="Q80" s="55"/>
      <c r="R80" s="1" t="n">
        <f aca="true">OFFSET(N$71,MATCH(SMALL(N$71:N$90,ROW()-ROW(R$71)+1),N$71:N$90,0)-1,0)</f>
        <v>0</v>
      </c>
      <c r="S80" s="56" t="n">
        <f aca="true">OFFSET(M$71,MATCH(SMALL(N$71:N$90,ROW()-ROW(R$71)+1),N$71:N$90,0)-1,0)</f>
        <v>40928.625</v>
      </c>
      <c r="T80" s="53" t="n">
        <f aca="false">VLOOKUP(S80,M$71:O$90,3,0)</f>
        <v>0</v>
      </c>
      <c r="U80" s="56" t="n">
        <f aca="false">VLOOKUP(S80,M$71:P$90,4,0)</f>
        <v>1104134</v>
      </c>
    </row>
    <row collapsed="false" customFormat="false" customHeight="false" hidden="true" ht="14" outlineLevel="1" r="81">
      <c r="B81" s="10" t="n">
        <f aca="false">+'bid input'!B12</f>
        <v>1104161</v>
      </c>
      <c r="C81" s="18" t="str">
        <f aca="false">+IF('bid input'!Q12=1,"Y","N")</f>
        <v>N</v>
      </c>
      <c r="D81" s="19" t="n">
        <f aca="false">+IF(C81="N",0,'bid input'!K12)</f>
        <v>0</v>
      </c>
      <c r="E81" s="14" t="n">
        <f aca="false">+MIN('bid input'!D12,'bid input'!M12)</f>
        <v>292000</v>
      </c>
      <c r="F81" s="48" t="n">
        <f aca="false">+IF(D81&gt;0,E81,0)</f>
        <v>0</v>
      </c>
      <c r="G81" s="49" t="n">
        <f aca="false">+IF($F81&gt;0,RANK($D81,$D$71:$D$90,1),0)</f>
        <v>0</v>
      </c>
      <c r="H81" s="50" t="n">
        <f aca="false">+IF(ISERROR(VLOOKUP(B81,$J$96:$K$115,2,0)),0,VLOOKUP(B81,$J$96:$K$115,2,0))</f>
        <v>0</v>
      </c>
      <c r="I81" s="50" t="n">
        <f aca="false">+IF(ISERROR(VLOOKUP(B81,$J$96:$K$115,2,0)),0,VLOOKUP(B81,$J$96:$K$115,2,0))</f>
        <v>0</v>
      </c>
      <c r="J81" s="51" t="n">
        <f aca="false">VLOOKUP(B81,'bid input'!B:S,18,0)</f>
        <v>40928.9626388889</v>
      </c>
      <c r="K81" s="49" t="str">
        <f aca="false">IF(G81=0,"",G81)</f>
        <v/>
      </c>
      <c r="L81" s="49" t="n">
        <f aca="false">IF(ISERROR(RANK(K81,K$71:K$90,1)),0,RANK(K81,K$71:K$90,1))</f>
        <v>0</v>
      </c>
      <c r="M81" s="52" t="n">
        <f aca="false">VALUE(L81&amp;J81)</f>
        <v>40928.9626388889</v>
      </c>
      <c r="N81" s="49" t="n">
        <f aca="false">IF(L81=0,0,COUNT(M$71:M$90)-(RANK(M81,M$71:M$90,0)+COUNTIF(M$71:M81,M81))+2)</f>
        <v>0</v>
      </c>
      <c r="O81" s="53" t="inlineStr">
        <f aca="false">D81</f>
        <is>
          <t/>
        </is>
      </c>
      <c r="P81" s="54" t="n">
        <f aca="false">B81</f>
        <v>1104161</v>
      </c>
      <c r="Q81" s="55"/>
      <c r="R81" s="1" t="n">
        <f aca="true">OFFSET(N$71,MATCH(SMALL(N$71:N$90,ROW()-ROW(R$71)+1),N$71:N$90,0)-1,0)</f>
        <v>0</v>
      </c>
      <c r="S81" s="56" t="n">
        <f aca="true">OFFSET(M$71,MATCH(SMALL(N$71:N$90,ROW()-ROW(R$71)+1),N$71:N$90,0)-1,0)</f>
        <v>40928.625</v>
      </c>
      <c r="T81" s="53" t="n">
        <f aca="false">VLOOKUP(S81,M$71:O$90,3,0)</f>
        <v>0</v>
      </c>
      <c r="U81" s="56" t="n">
        <f aca="false">VLOOKUP(S81,M$71:P$90,4,0)</f>
        <v>1104134</v>
      </c>
    </row>
    <row collapsed="false" customFormat="false" customHeight="false" hidden="true" ht="14" outlineLevel="1" r="82">
      <c r="B82" s="10" t="n">
        <f aca="false">+'bid input'!B13</f>
        <v>1104145</v>
      </c>
      <c r="C82" s="18" t="str">
        <f aca="false">+IF('bid input'!Q13=1,"Y","N")</f>
        <v>N</v>
      </c>
      <c r="D82" s="19" t="n">
        <f aca="false">+IF(C82="N",0,'bid input'!K13)</f>
        <v>0</v>
      </c>
      <c r="E82" s="14" t="n">
        <f aca="false">+MIN('bid input'!D13,'bid input'!M13)</f>
        <v>752000</v>
      </c>
      <c r="F82" s="48" t="n">
        <f aca="false">+IF(D82&gt;0,E82,0)</f>
        <v>0</v>
      </c>
      <c r="G82" s="49" t="n">
        <f aca="false">+IF($F82&gt;0,RANK($D82,$D$71:$D$90,1),0)</f>
        <v>0</v>
      </c>
      <c r="H82" s="50" t="n">
        <f aca="false">+IF(ISERROR(VLOOKUP(B82,$J$96:$K$115,2,0)),0,VLOOKUP(B82,$J$96:$K$115,2,0))</f>
        <v>0</v>
      </c>
      <c r="I82" s="50" t="n">
        <f aca="false">+IF(ISERROR(VLOOKUP(B82,$J$96:$K$115,2,0)),0,VLOOKUP(B82,$J$96:$K$115,2,0))</f>
        <v>0</v>
      </c>
      <c r="J82" s="51" t="n">
        <f aca="false">VLOOKUP(B82,'bid input'!B:S,18,0)</f>
        <v>40928.9826388889</v>
      </c>
      <c r="K82" s="49" t="str">
        <f aca="false">IF(G82=0,"",G82)</f>
        <v/>
      </c>
      <c r="L82" s="49" t="n">
        <f aca="false">IF(ISERROR(RANK(K82,K$71:K$90,1)),0,RANK(K82,K$71:K$90,1))</f>
        <v>0</v>
      </c>
      <c r="M82" s="52" t="n">
        <f aca="false">VALUE(L82&amp;J82)</f>
        <v>40928.9826388889</v>
      </c>
      <c r="N82" s="49" t="n">
        <f aca="false">IF(L82=0,0,COUNT(M$71:M$90)-(RANK(M82,M$71:M$90,0)+COUNTIF(M$71:M82,M82))+2)</f>
        <v>0</v>
      </c>
      <c r="O82" s="53" t="inlineStr">
        <f aca="false">D82</f>
        <is>
          <t/>
        </is>
      </c>
      <c r="P82" s="54" t="n">
        <f aca="false">B82</f>
        <v>1104145</v>
      </c>
      <c r="Q82" s="55"/>
      <c r="R82" s="1" t="n">
        <f aca="true">OFFSET(N$71,MATCH(SMALL(N$71:N$90,ROW()-ROW(R$71)+1),N$71:N$90,0)-1,0)</f>
        <v>0</v>
      </c>
      <c r="S82" s="56" t="n">
        <f aca="true">OFFSET(M$71,MATCH(SMALL(N$71:N$90,ROW()-ROW(R$71)+1),N$71:N$90,0)-1,0)</f>
        <v>40928.625</v>
      </c>
      <c r="T82" s="53" t="n">
        <f aca="false">VLOOKUP(S82,M$71:O$90,3,0)</f>
        <v>0</v>
      </c>
      <c r="U82" s="56" t="n">
        <f aca="false">VLOOKUP(S82,M$71:P$90,4,0)</f>
        <v>1104134</v>
      </c>
    </row>
    <row collapsed="false" customFormat="false" customHeight="false" hidden="true" ht="14" outlineLevel="1" r="83">
      <c r="B83" s="10" t="n">
        <f aca="false">+'bid input'!B14</f>
        <v>1104133</v>
      </c>
      <c r="C83" s="18" t="str">
        <f aca="false">+IF('bid input'!Q14=1,"Y","N")</f>
        <v>N</v>
      </c>
      <c r="D83" s="19" t="n">
        <f aca="false">+IF(C83="N",0,'bid input'!K14)</f>
        <v>0</v>
      </c>
      <c r="E83" s="14" t="n">
        <f aca="false">+MIN('bid input'!D14,'bid input'!M14)</f>
        <v>418000</v>
      </c>
      <c r="F83" s="48" t="n">
        <f aca="false">+IF(D83&gt;0,E83,0)</f>
        <v>0</v>
      </c>
      <c r="G83" s="49" t="n">
        <f aca="false">+IF($F83&gt;0,RANK($D83,$D$71:$D$90,1),0)</f>
        <v>0</v>
      </c>
      <c r="H83" s="50" t="n">
        <f aca="false">+IF(ISERROR(VLOOKUP(B83,$J$96:$K$115,2,0)),0,VLOOKUP(B83,$J$96:$K$115,2,0))</f>
        <v>0</v>
      </c>
      <c r="I83" s="50" t="n">
        <f aca="false">+IF(ISERROR(VLOOKUP(B83,$J$96:$K$115,2,0)),0,VLOOKUP(B83,$J$96:$K$115,2,0))</f>
        <v>0</v>
      </c>
      <c r="J83" s="51" t="n">
        <f aca="false">VLOOKUP(B83,'bid input'!B:S,18,0)</f>
        <v>40929.0993055556</v>
      </c>
      <c r="K83" s="49" t="str">
        <f aca="false">IF(G83=0,"",G83)</f>
        <v/>
      </c>
      <c r="L83" s="49" t="n">
        <f aca="false">IF(ISERROR(RANK(K83,K$71:K$90,1)),0,RANK(K83,K$71:K$90,1))</f>
        <v>0</v>
      </c>
      <c r="M83" s="52" t="n">
        <f aca="false">VALUE(L83&amp;J83)</f>
        <v>40929.0993055556</v>
      </c>
      <c r="N83" s="49" t="n">
        <f aca="false">IF(L83=0,0,COUNT(M$71:M$90)-(RANK(M83,M$71:M$90,0)+COUNTIF(M$71:M83,M83))+2)</f>
        <v>0</v>
      </c>
      <c r="O83" s="53" t="inlineStr">
        <f aca="false">D83</f>
        <is>
          <t/>
        </is>
      </c>
      <c r="P83" s="54" t="n">
        <f aca="false">B83</f>
        <v>1104133</v>
      </c>
      <c r="Q83" s="55"/>
      <c r="R83" s="1" t="n">
        <f aca="true">OFFSET(N$71,MATCH(SMALL(N$71:N$90,ROW()-ROW(R$71)+1),N$71:N$90,0)-1,0)</f>
        <v>0</v>
      </c>
      <c r="S83" s="56" t="n">
        <f aca="true">OFFSET(M$71,MATCH(SMALL(N$71:N$90,ROW()-ROW(R$71)+1),N$71:N$90,0)-1,0)</f>
        <v>40928.625</v>
      </c>
      <c r="T83" s="53" t="n">
        <f aca="false">VLOOKUP(S83,M$71:O$90,3,0)</f>
        <v>0</v>
      </c>
      <c r="U83" s="56" t="n">
        <f aca="false">VLOOKUP(S83,M$71:P$90,4,0)</f>
        <v>1104134</v>
      </c>
    </row>
    <row collapsed="false" customFormat="false" customHeight="false" hidden="true" ht="14" outlineLevel="1" r="84">
      <c r="B84" s="10" t="n">
        <f aca="false">+'bid input'!B15</f>
        <v>1104149</v>
      </c>
      <c r="C84" s="18" t="str">
        <f aca="false">+IF('bid input'!Q15=1,"Y","N")</f>
        <v>N</v>
      </c>
      <c r="D84" s="19" t="n">
        <f aca="false">+IF(C84="N",0,'bid input'!K15)</f>
        <v>0</v>
      </c>
      <c r="E84" s="14" t="n">
        <f aca="false">+MIN('bid input'!D15,'bid input'!M15)</f>
        <v>47000</v>
      </c>
      <c r="F84" s="48" t="n">
        <f aca="false">+IF(D84&gt;0,E84,0)</f>
        <v>0</v>
      </c>
      <c r="G84" s="49" t="n">
        <f aca="false">+IF($F84&gt;0,RANK($D84,$D$71:$D$90,1),0)</f>
        <v>0</v>
      </c>
      <c r="H84" s="50" t="n">
        <f aca="false">+IF(ISERROR(VLOOKUP(B84,$J$96:$K$115,2,0)),0,VLOOKUP(B84,$J$96:$K$115,2,0))</f>
        <v>0</v>
      </c>
      <c r="I84" s="50" t="n">
        <f aca="false">+IF(ISERROR(VLOOKUP(B84,$J$96:$K$115,2,0)),0,VLOOKUP(B84,$J$96:$K$115,2,0))</f>
        <v>0</v>
      </c>
      <c r="J84" s="51" t="n">
        <f aca="false">VLOOKUP(B84,'bid input'!B:S,18,0)</f>
        <v>40929.1026388889</v>
      </c>
      <c r="K84" s="49" t="str">
        <f aca="false">IF(G84=0,"",G84)</f>
        <v/>
      </c>
      <c r="L84" s="49" t="n">
        <f aca="false">IF(ISERROR(RANK(K84,K$71:K$90,1)),0,RANK(K84,K$71:K$90,1))</f>
        <v>0</v>
      </c>
      <c r="M84" s="52" t="n">
        <f aca="false">VALUE(L84&amp;J84)</f>
        <v>40929.1026388889</v>
      </c>
      <c r="N84" s="49" t="n">
        <f aca="false">IF(L84=0,0,COUNT(M$71:M$90)-(RANK(M84,M$71:M$90,0)+COUNTIF(M$71:M84,M84))+2)</f>
        <v>0</v>
      </c>
      <c r="O84" s="53" t="inlineStr">
        <f aca="false">D84</f>
        <is>
          <t/>
        </is>
      </c>
      <c r="P84" s="54" t="n">
        <f aca="false">B84</f>
        <v>1104149</v>
      </c>
      <c r="Q84" s="55"/>
      <c r="R84" s="1" t="n">
        <f aca="true">OFFSET(N$71,MATCH(SMALL(N$71:N$90,ROW()-ROW(R$71)+1),N$71:N$90,0)-1,0)</f>
        <v>0</v>
      </c>
      <c r="S84" s="56" t="n">
        <f aca="true">OFFSET(M$71,MATCH(SMALL(N$71:N$90,ROW()-ROW(R$71)+1),N$71:N$90,0)-1,0)</f>
        <v>40928.625</v>
      </c>
      <c r="T84" s="53" t="n">
        <f aca="false">VLOOKUP(S84,M$71:O$90,3,0)</f>
        <v>0</v>
      </c>
      <c r="U84" s="56" t="n">
        <f aca="false">VLOOKUP(S84,M$71:P$90,4,0)</f>
        <v>1104134</v>
      </c>
    </row>
    <row collapsed="false" customFormat="false" customHeight="false" hidden="true" ht="14" outlineLevel="1" r="85">
      <c r="B85" s="10" t="n">
        <f aca="false">+'bid input'!B16</f>
        <v>1104151</v>
      </c>
      <c r="C85" s="18" t="str">
        <f aca="false">+IF('bid input'!Q16=1,"Y","N")</f>
        <v>N</v>
      </c>
      <c r="D85" s="19" t="n">
        <f aca="false">+IF(C85="N",0,'bid input'!K16)</f>
        <v>0</v>
      </c>
      <c r="E85" s="14" t="n">
        <f aca="false">+MIN('bid input'!D16,'bid input'!M16)</f>
        <v>283000</v>
      </c>
      <c r="F85" s="48" t="n">
        <f aca="false">+IF(D85&gt;0,E85,0)</f>
        <v>0</v>
      </c>
      <c r="G85" s="49" t="n">
        <f aca="false">+IF($F85&gt;0,RANK($D85,$D$71:$D$90,1),0)</f>
        <v>0</v>
      </c>
      <c r="H85" s="50" t="n">
        <f aca="false">+IF(ISERROR(VLOOKUP(B85,$J$96:$K$115,2,0)),0,VLOOKUP(B85,$J$96:$K$115,2,0))</f>
        <v>0</v>
      </c>
      <c r="I85" s="50" t="n">
        <f aca="false">+IF(ISERROR(VLOOKUP(B85,$J$96:$K$115,2,0)),0,VLOOKUP(B85,$J$96:$K$115,2,0))</f>
        <v>0</v>
      </c>
      <c r="J85" s="51" t="n">
        <f aca="false">VLOOKUP(B85,'bid input'!B:S,18,0)</f>
        <v>40929.1626388889</v>
      </c>
      <c r="K85" s="49" t="str">
        <f aca="false">IF(G85=0,"",G85)</f>
        <v/>
      </c>
      <c r="L85" s="49" t="n">
        <f aca="false">IF(ISERROR(RANK(K85,K$71:K$90,1)),0,RANK(K85,K$71:K$90,1))</f>
        <v>0</v>
      </c>
      <c r="M85" s="52" t="n">
        <f aca="false">VALUE(L85&amp;J85)</f>
        <v>40929.1626388889</v>
      </c>
      <c r="N85" s="49" t="n">
        <f aca="false">IF(L85=0,0,COUNT(M$71:M$90)-(RANK(M85,M$71:M$90,0)+COUNTIF(M$71:M85,M85))+2)</f>
        <v>0</v>
      </c>
      <c r="O85" s="53" t="inlineStr">
        <f aca="false">D85</f>
        <is>
          <t/>
        </is>
      </c>
      <c r="P85" s="54" t="n">
        <f aca="false">B85</f>
        <v>1104151</v>
      </c>
      <c r="Q85" s="55"/>
      <c r="R85" s="1" t="n">
        <f aca="true">OFFSET(N$71,MATCH(SMALL(N$71:N$90,ROW()-ROW(R$71)+1),N$71:N$90,0)-1,0)</f>
        <v>0</v>
      </c>
      <c r="S85" s="56" t="n">
        <f aca="true">OFFSET(M$71,MATCH(SMALL(N$71:N$90,ROW()-ROW(R$71)+1),N$71:N$90,0)-1,0)</f>
        <v>40928.625</v>
      </c>
      <c r="T85" s="53" t="n">
        <f aca="false">VLOOKUP(S85,M$71:O$90,3,0)</f>
        <v>0</v>
      </c>
      <c r="U85" s="56" t="n">
        <f aca="false">VLOOKUP(S85,M$71:P$90,4,0)</f>
        <v>1104134</v>
      </c>
    </row>
    <row collapsed="false" customFormat="false" customHeight="false" hidden="true" ht="14" outlineLevel="1" r="86">
      <c r="B86" s="10" t="n">
        <f aca="false">+'bid input'!B17</f>
        <v>1104131</v>
      </c>
      <c r="C86" s="18" t="str">
        <f aca="false">+IF('bid input'!Q17=1,"Y","N")</f>
        <v>N</v>
      </c>
      <c r="D86" s="19" t="n">
        <f aca="false">+IF(C86="N",0,'bid input'!K17)</f>
        <v>0</v>
      </c>
      <c r="E86" s="14" t="n">
        <f aca="false">+MIN('bid input'!D17,'bid input'!M17)</f>
        <v>598000</v>
      </c>
      <c r="F86" s="48" t="n">
        <f aca="false">+IF(D86&gt;0,E86,0)</f>
        <v>0</v>
      </c>
      <c r="G86" s="49" t="n">
        <f aca="false">+IF($F86&gt;0,RANK($D86,$D$71:$D$90,1),0)</f>
        <v>0</v>
      </c>
      <c r="H86" s="50" t="n">
        <f aca="false">+IF(ISERROR(VLOOKUP(B86,$J$96:$K$115,2,0)),0,VLOOKUP(B86,$J$96:$K$115,2,0))</f>
        <v>0</v>
      </c>
      <c r="I86" s="50" t="n">
        <f aca="false">+IF(ISERROR(VLOOKUP(B86,$J$96:$K$115,2,0)),0,VLOOKUP(B86,$J$96:$K$115,2,0))</f>
        <v>0</v>
      </c>
      <c r="J86" s="51" t="n">
        <f aca="false">VLOOKUP(B86,'bid input'!B:S,18,0)</f>
        <v>40929.1926388889</v>
      </c>
      <c r="K86" s="49" t="str">
        <f aca="false">IF(G86=0,"",G86)</f>
        <v/>
      </c>
      <c r="L86" s="49" t="n">
        <f aca="false">IF(ISERROR(RANK(K86,K$71:K$90,1)),0,RANK(K86,K$71:K$90,1))</f>
        <v>0</v>
      </c>
      <c r="M86" s="52" t="n">
        <f aca="false">VALUE(L86&amp;J86)</f>
        <v>40929.1926388889</v>
      </c>
      <c r="N86" s="49" t="n">
        <f aca="false">IF(L86=0,0,COUNT(M$71:M$90)-(RANK(M86,M$71:M$90,0)+COUNTIF(M$71:M86,M86))+2)</f>
        <v>0</v>
      </c>
      <c r="O86" s="53" t="inlineStr">
        <f aca="false">D86</f>
        <is>
          <t/>
        </is>
      </c>
      <c r="P86" s="54" t="n">
        <f aca="false">B86</f>
        <v>1104131</v>
      </c>
      <c r="Q86" s="55"/>
      <c r="R86" s="1" t="n">
        <f aca="true">OFFSET(N$71,MATCH(SMALL(N$71:N$90,ROW()-ROW(R$71)+1),N$71:N$90,0)-1,0)</f>
        <v>0</v>
      </c>
      <c r="S86" s="56" t="n">
        <f aca="true">OFFSET(M$71,MATCH(SMALL(N$71:N$90,ROW()-ROW(R$71)+1),N$71:N$90,0)-1,0)</f>
        <v>40928.625</v>
      </c>
      <c r="T86" s="53" t="n">
        <f aca="false">VLOOKUP(S86,M$71:O$90,3,0)</f>
        <v>0</v>
      </c>
      <c r="U86" s="56" t="n">
        <f aca="false">VLOOKUP(S86,M$71:P$90,4,0)</f>
        <v>1104134</v>
      </c>
    </row>
    <row collapsed="false" customFormat="false" customHeight="false" hidden="true" ht="14" outlineLevel="1" r="87">
      <c r="B87" s="10" t="n">
        <f aca="false">+'bid input'!B18</f>
        <v>1104155</v>
      </c>
      <c r="C87" s="18" t="str">
        <f aca="false">+IF('bid input'!Q18=1,"Y","N")</f>
        <v>N</v>
      </c>
      <c r="D87" s="19" t="n">
        <f aca="false">+IF(C87="N",0,'bid input'!K18)</f>
        <v>0</v>
      </c>
      <c r="E87" s="14" t="n">
        <f aca="false">+MIN('bid input'!D18,'bid input'!M18)</f>
        <v>639000</v>
      </c>
      <c r="F87" s="48" t="n">
        <f aca="false">+IF(D87&gt;0,E87,0)</f>
        <v>0</v>
      </c>
      <c r="G87" s="49" t="n">
        <f aca="false">+IF($F87&gt;0,RANK($D87,$D$71:$D$90,1),0)</f>
        <v>0</v>
      </c>
      <c r="H87" s="50" t="n">
        <f aca="false">+IF(ISERROR(VLOOKUP(B87,$J$96:$K$115,2,0)),0,VLOOKUP(B87,$J$96:$K$115,2,0))</f>
        <v>0</v>
      </c>
      <c r="I87" s="50" t="n">
        <f aca="false">+IF(ISERROR(VLOOKUP(B87,$J$96:$K$115,2,0)),0,VLOOKUP(B87,$J$96:$K$115,2,0))</f>
        <v>0</v>
      </c>
      <c r="J87" s="51" t="n">
        <f aca="false">VLOOKUP(B87,'bid input'!B:S,18,0)</f>
        <v>40929.2826388889</v>
      </c>
      <c r="K87" s="49" t="str">
        <f aca="false">IF(G87=0,"",G87)</f>
        <v/>
      </c>
      <c r="L87" s="49" t="n">
        <f aca="false">IF(ISERROR(RANK(K87,K$71:K$90,1)),0,RANK(K87,K$71:K$90,1))</f>
        <v>0</v>
      </c>
      <c r="M87" s="52" t="n">
        <f aca="false">VALUE(L87&amp;J87)</f>
        <v>40929.2826388889</v>
      </c>
      <c r="N87" s="49" t="n">
        <f aca="false">IF(L87=0,0,COUNT(M$71:M$90)-(RANK(M87,M$71:M$90,0)+COUNTIF(M$71:M87,M87))+2)</f>
        <v>0</v>
      </c>
      <c r="O87" s="53" t="inlineStr">
        <f aca="false">D87</f>
        <is>
          <t/>
        </is>
      </c>
      <c r="P87" s="54" t="n">
        <f aca="false">B87</f>
        <v>1104155</v>
      </c>
      <c r="Q87" s="55"/>
      <c r="R87" s="1" t="n">
        <f aca="true">OFFSET(N$71,MATCH(SMALL(N$71:N$90,ROW()-ROW(R$71)+1),N$71:N$90,0)-1,0)</f>
        <v>0</v>
      </c>
      <c r="S87" s="56" t="n">
        <f aca="true">OFFSET(M$71,MATCH(SMALL(N$71:N$90,ROW()-ROW(R$71)+1),N$71:N$90,0)-1,0)</f>
        <v>40928.625</v>
      </c>
      <c r="T87" s="53" t="n">
        <f aca="false">VLOOKUP(S87,M$71:O$90,3,0)</f>
        <v>0</v>
      </c>
      <c r="U87" s="56" t="n">
        <f aca="false">VLOOKUP(S87,M$71:P$90,4,0)</f>
        <v>1104134</v>
      </c>
    </row>
    <row collapsed="false" customFormat="false" customHeight="false" hidden="true" ht="14" outlineLevel="1" r="88">
      <c r="B88" s="10" t="n">
        <f aca="false">+'bid input'!B19</f>
        <v>1104156</v>
      </c>
      <c r="C88" s="18" t="str">
        <f aca="false">+IF('bid input'!Q19=1,"Y","N")</f>
        <v>N</v>
      </c>
      <c r="D88" s="19" t="n">
        <f aca="false">+IF(C88="N",0,'bid input'!K19)</f>
        <v>0</v>
      </c>
      <c r="E88" s="14" t="n">
        <f aca="false">+MIN('bid input'!D19,'bid input'!M19)</f>
        <v>274000</v>
      </c>
      <c r="F88" s="48" t="n">
        <f aca="false">+IF(D88&gt;0,E88,0)</f>
        <v>0</v>
      </c>
      <c r="G88" s="49" t="n">
        <f aca="false">+IF($F88&gt;0,RANK($D88,$D$71:$D$90,1),0)</f>
        <v>0</v>
      </c>
      <c r="H88" s="50" t="n">
        <f aca="false">+IF(ISERROR(VLOOKUP(B88,$J$96:$K$115,2,0)),0,VLOOKUP(B88,$J$96:$K$115,2,0))</f>
        <v>0</v>
      </c>
      <c r="I88" s="50" t="n">
        <f aca="false">+IF(ISERROR(VLOOKUP(B88,$J$96:$K$115,2,0)),0,VLOOKUP(B88,$J$96:$K$115,2,0))</f>
        <v>0</v>
      </c>
      <c r="J88" s="51" t="n">
        <f aca="false">VLOOKUP(B88,'bid input'!B:S,18,0)</f>
        <v>40929.3126388889</v>
      </c>
      <c r="K88" s="49" t="str">
        <f aca="false">IF(G88=0,"",G88)</f>
        <v/>
      </c>
      <c r="L88" s="49" t="n">
        <f aca="false">IF(ISERROR(RANK(K88,K$71:K$90,1)),0,RANK(K88,K$71:K$90,1))</f>
        <v>0</v>
      </c>
      <c r="M88" s="52" t="n">
        <f aca="false">VALUE(L88&amp;J88)</f>
        <v>40929.3126388889</v>
      </c>
      <c r="N88" s="49" t="n">
        <f aca="false">IF(L88=0,0,COUNT(M$71:M$90)-(RANK(M88,M$71:M$90,0)+COUNTIF(M$71:M88,M88))+2)</f>
        <v>0</v>
      </c>
      <c r="O88" s="53" t="inlineStr">
        <f aca="false">D88</f>
        <is>
          <t/>
        </is>
      </c>
      <c r="P88" s="54" t="n">
        <f aca="false">B88</f>
        <v>1104156</v>
      </c>
      <c r="Q88" s="55"/>
      <c r="R88" s="1" t="n">
        <f aca="true">OFFSET(N$71,MATCH(SMALL(N$71:N$90,ROW()-ROW(R$71)+1),N$71:N$90,0)-1,0)</f>
        <v>0</v>
      </c>
      <c r="S88" s="56" t="n">
        <f aca="true">OFFSET(M$71,MATCH(SMALL(N$71:N$90,ROW()-ROW(R$71)+1),N$71:N$90,0)-1,0)</f>
        <v>40928.625</v>
      </c>
      <c r="T88" s="53" t="n">
        <f aca="false">VLOOKUP(S88,M$71:O$90,3,0)</f>
        <v>0</v>
      </c>
      <c r="U88" s="56" t="n">
        <f aca="false">VLOOKUP(S88,M$71:P$90,4,0)</f>
        <v>1104134</v>
      </c>
    </row>
    <row collapsed="false" customFormat="false" customHeight="false" hidden="true" ht="14" outlineLevel="1" r="89">
      <c r="B89" s="10" t="n">
        <f aca="false">+'bid input'!B20</f>
        <v>1104157</v>
      </c>
      <c r="C89" s="18" t="str">
        <f aca="false">+IF('bid input'!Q20=1,"Y","N")</f>
        <v>N</v>
      </c>
      <c r="D89" s="19" t="n">
        <f aca="false">+IF(C89="N",0,'bid input'!K20)</f>
        <v>0</v>
      </c>
      <c r="E89" s="14" t="n">
        <f aca="false">+MIN('bid input'!D20,'bid input'!M20)</f>
        <v>629000</v>
      </c>
      <c r="F89" s="48" t="n">
        <f aca="false">+IF(D89&gt;0,E89,0)</f>
        <v>0</v>
      </c>
      <c r="G89" s="49" t="n">
        <f aca="false">+IF($F89&gt;0,RANK($D89,$D$71:$D$90,1),0)</f>
        <v>0</v>
      </c>
      <c r="H89" s="50" t="n">
        <f aca="false">+IF(ISERROR(VLOOKUP(B89,$J$96:$K$115,2,0)),0,VLOOKUP(B89,$J$96:$K$115,2,0))</f>
        <v>0</v>
      </c>
      <c r="I89" s="50" t="n">
        <f aca="false">+IF(ISERROR(VLOOKUP(B89,$J$96:$K$115,2,0)),0,VLOOKUP(B89,$J$96:$K$115,2,0))</f>
        <v>0</v>
      </c>
      <c r="J89" s="51" t="n">
        <f aca="false">VLOOKUP(B89,'bid input'!B:S,18,0)</f>
        <v>40929.3426388889</v>
      </c>
      <c r="K89" s="49" t="str">
        <f aca="false">IF(G89=0,"",G89)</f>
        <v/>
      </c>
      <c r="L89" s="49" t="n">
        <f aca="false">IF(ISERROR(RANK(K89,K$71:K$90,1)),0,RANK(K89,K$71:K$90,1))</f>
        <v>0</v>
      </c>
      <c r="M89" s="52" t="n">
        <f aca="false">VALUE(L89&amp;J89)</f>
        <v>40929.3426388889</v>
      </c>
      <c r="N89" s="49" t="n">
        <f aca="false">IF(L89=0,0,COUNT(M$71:M$90)-(RANK(M89,M$71:M$90,0)+COUNTIF(M$71:M89,M89))+2)</f>
        <v>0</v>
      </c>
      <c r="O89" s="53" t="inlineStr">
        <f aca="false">D89</f>
        <is>
          <t/>
        </is>
      </c>
      <c r="P89" s="54" t="n">
        <f aca="false">B89</f>
        <v>1104157</v>
      </c>
      <c r="Q89" s="55"/>
      <c r="R89" s="1" t="n">
        <f aca="true">OFFSET(N$71,MATCH(SMALL(N$71:N$90,ROW()-ROW(R$71)+1),N$71:N$90,0)-1,0)</f>
        <v>0</v>
      </c>
      <c r="S89" s="56" t="n">
        <f aca="true">OFFSET(M$71,MATCH(SMALL(N$71:N$90,ROW()-ROW(R$71)+1),N$71:N$90,0)-1,0)</f>
        <v>40928.625</v>
      </c>
      <c r="T89" s="53" t="n">
        <f aca="false">VLOOKUP(S89,M$71:O$90,3,0)</f>
        <v>0</v>
      </c>
      <c r="U89" s="56" t="n">
        <f aca="false">VLOOKUP(S89,M$71:P$90,4,0)</f>
        <v>1104134</v>
      </c>
    </row>
    <row collapsed="false" customFormat="false" customHeight="false" hidden="true" ht="14" outlineLevel="1" r="90">
      <c r="B90" s="10" t="n">
        <f aca="false">+'bid input'!B21</f>
        <v>1104158</v>
      </c>
      <c r="C90" s="18" t="str">
        <f aca="false">+IF('bid input'!Q21=1,"Y","N")</f>
        <v>N</v>
      </c>
      <c r="D90" s="19" t="n">
        <f aca="false">+IF(C90="N",0,'bid input'!K21)</f>
        <v>0</v>
      </c>
      <c r="E90" s="14" t="n">
        <f aca="false">+MIN('bid input'!D21,'bid input'!M21)</f>
        <v>562000</v>
      </c>
      <c r="F90" s="48" t="n">
        <f aca="false">+IF(D90&gt;0,E90,0)</f>
        <v>0</v>
      </c>
      <c r="G90" s="49" t="n">
        <f aca="false">+IF($F90&gt;0,RANK($D90,$D$71:$D$90,1),0)</f>
        <v>0</v>
      </c>
      <c r="H90" s="50" t="n">
        <f aca="false">+IF(ISERROR(VLOOKUP(B90,$J$96:$K$115,2,0)),0,VLOOKUP(B90,$J$96:$K$115,2,0))</f>
        <v>0</v>
      </c>
      <c r="I90" s="50" t="n">
        <f aca="false">+IF(ISERROR(VLOOKUP(B90,$J$96:$K$115,2,0)),0,VLOOKUP(B90,$J$96:$K$115,2,0))</f>
        <v>0</v>
      </c>
      <c r="J90" s="51" t="n">
        <f aca="false">VLOOKUP(B90,'bid input'!B:S,18,0)</f>
        <v>40929.3726388889</v>
      </c>
      <c r="K90" s="49" t="str">
        <f aca="false">IF(G90=0,"",G90)</f>
        <v/>
      </c>
      <c r="L90" s="49" t="n">
        <f aca="false">IF(ISERROR(RANK(K90,K$71:K$90,1)),0,RANK(K90,K$71:K$90,1))</f>
        <v>0</v>
      </c>
      <c r="M90" s="52" t="n">
        <f aca="false">VALUE(L90&amp;J90)</f>
        <v>40929.3726388889</v>
      </c>
      <c r="N90" s="49" t="n">
        <f aca="false">IF(L90=0,0,COUNT(M$71:M$90)-(RANK(M90,M$71:M$90,0)+COUNTIF(M$71:M90,M90))+2)</f>
        <v>0</v>
      </c>
      <c r="O90" s="53" t="inlineStr">
        <f aca="false">D90</f>
        <is>
          <t/>
        </is>
      </c>
      <c r="P90" s="54" t="n">
        <f aca="false">B90</f>
        <v>1104158</v>
      </c>
      <c r="Q90" s="55"/>
      <c r="R90" s="1" t="n">
        <f aca="true">OFFSET(N$71,MATCH(SMALL(N$71:N$90,ROW()-ROW(R$71)+1),N$71:N$90,0)-1,0)</f>
        <v>0</v>
      </c>
      <c r="S90" s="56" t="n">
        <f aca="true">OFFSET(M$71,MATCH(SMALL(N$71:N$90,ROW()-ROW(R$71)+1),N$71:N$90,0)-1,0)</f>
        <v>40928.625</v>
      </c>
      <c r="T90" s="53" t="n">
        <f aca="false">VLOOKUP(S90,M$71:O$90,3,0)</f>
        <v>0</v>
      </c>
      <c r="U90" s="56" t="n">
        <f aca="false">VLOOKUP(S90,M$71:P$90,4,0)</f>
        <v>1104134</v>
      </c>
    </row>
    <row collapsed="false" customFormat="false" customHeight="false" hidden="true" ht="14" outlineLevel="1" r="91">
      <c r="B91" s="0" t="s">
        <v>60</v>
      </c>
      <c r="C91" s="10" t="n">
        <f aca="false">+COUNTIF(C71:C90,"Y")</f>
        <v>0</v>
      </c>
      <c r="D91" s="19" t="n">
        <f aca="false">+IF(ISERROR(SUMPRODUCT(E71:E90,D71:D90)/E91),0,SUMPRODUCT(E71:E90,D71:D90)/E91)</f>
        <v>0</v>
      </c>
      <c r="E91" s="18" t="n">
        <f aca="false">+SUMIF(C71:C90,"Y",E71:E90)</f>
        <v>0</v>
      </c>
      <c r="F91" s="14"/>
      <c r="G91" s="14"/>
      <c r="H91" s="14"/>
      <c r="I91" s="50" t="n">
        <f aca="false">+IF(ISERROR(VLOOKUP(B91,$J$96:$K$115,2,0)),0,VLOOKUP(B91,$J$96:$K$115,2,0))</f>
        <v>0</v>
      </c>
      <c r="J91" s="14"/>
      <c r="K91" s="14"/>
      <c r="L91" s="14"/>
      <c r="P91" s="57"/>
    </row>
    <row collapsed="false" customFormat="false" customHeight="false" hidden="true" ht="14" outlineLevel="1" r="92">
      <c r="D92" s="58"/>
      <c r="I92" s="19" t="n">
        <f aca="false">+IF(ISERR(SUMPRODUCT(D71:D90,I71:I90)/I91),0,SUMPRODUCT(D71:D90,I71:I90)/I91)</f>
        <v>0</v>
      </c>
    </row>
    <row collapsed="false" customFormat="false" customHeight="false" hidden="true" ht="14" outlineLevel="1" r="93">
      <c r="B93" s="0" t="s">
        <v>61</v>
      </c>
      <c r="E93" s="18" t="n">
        <f aca="false">IF(M62="UNDER",+M61,0)</f>
        <v>1011497.5</v>
      </c>
      <c r="Q93" s="56"/>
      <c r="R93" s="56"/>
    </row>
    <row collapsed="false" customFormat="false" customHeight="false" hidden="true" ht="14" outlineLevel="1" r="94">
      <c r="B94" s="0" t="s">
        <v>62</v>
      </c>
      <c r="H94" s="1" t="s">
        <v>63</v>
      </c>
      <c r="I94" s="1" t="s">
        <v>64</v>
      </c>
      <c r="J94" s="1" t="s">
        <v>65</v>
      </c>
      <c r="Q94" s="56"/>
      <c r="R94" s="56"/>
    </row>
    <row collapsed="false" customFormat="false" customHeight="false" hidden="true" ht="14" outlineLevel="1" r="95">
      <c r="E95" s="18"/>
      <c r="F95" s="14"/>
      <c r="H95" s="1"/>
      <c r="I95" s="59" t="n">
        <f aca="false">E93</f>
        <v>1011497.5</v>
      </c>
      <c r="J95" s="1"/>
      <c r="Q95" s="56"/>
      <c r="R95" s="56"/>
    </row>
    <row collapsed="false" customFormat="false" customHeight="false" hidden="true" ht="14" outlineLevel="1" r="96">
      <c r="E96" s="50"/>
      <c r="F96" s="18"/>
      <c r="G96" s="1" t="n">
        <v>1</v>
      </c>
      <c r="H96" s="60" t="n">
        <f aca="false">+IF(I95&gt;0,MIN(SUMIF($N$71:$N$90,G96,$E$71:$E$90),I95),0)</f>
        <v>0</v>
      </c>
      <c r="I96" s="59" t="n">
        <f aca="false">I95-H96</f>
        <v>1011497.5</v>
      </c>
      <c r="J96" s="1" t="str">
        <f aca="false">IF(ISERROR(VLOOKUP(G96,R$71:U$90,4,0)),"",VLOOKUP(G96,R$71:U$90,4,0))</f>
        <v/>
      </c>
      <c r="K96" s="14" t="n">
        <f aca="false">+H96</f>
        <v>0</v>
      </c>
      <c r="Q96" s="56"/>
      <c r="R96" s="56"/>
    </row>
    <row collapsed="false" customFormat="false" customHeight="false" hidden="true" ht="14" outlineLevel="1" r="97">
      <c r="E97" s="50"/>
      <c r="F97" s="18"/>
      <c r="G97" s="1" t="n">
        <f aca="false">1+G96</f>
        <v>2</v>
      </c>
      <c r="H97" s="60" t="n">
        <f aca="false">+IF(I96&gt;0,MIN(SUMIF($N$71:$N$90,G97,$E$71:$E$90),I96),0)</f>
        <v>0</v>
      </c>
      <c r="I97" s="59" t="n">
        <f aca="false">I96-H97</f>
        <v>1011497.5</v>
      </c>
      <c r="J97" s="1" t="str">
        <f aca="false">IF(ISERROR(VLOOKUP(G97,R$71:U$90,4,0)),"",VLOOKUP(G97,R$71:U$90,4,0))</f>
        <v/>
      </c>
      <c r="K97" s="14" t="n">
        <f aca="false">+H97</f>
        <v>0</v>
      </c>
      <c r="Q97" s="56"/>
      <c r="R97" s="56"/>
    </row>
    <row collapsed="false" customFormat="false" customHeight="false" hidden="true" ht="14" outlineLevel="1" r="98">
      <c r="E98" s="50"/>
      <c r="F98" s="18"/>
      <c r="G98" s="1" t="n">
        <f aca="false">1+G97</f>
        <v>3</v>
      </c>
      <c r="H98" s="60" t="n">
        <f aca="false">+IF(I97&gt;0,MIN(SUMIF($N$71:$N$90,G98,$E$71:$E$90),I97),0)</f>
        <v>0</v>
      </c>
      <c r="I98" s="59" t="n">
        <f aca="false">I97-H98</f>
        <v>1011497.5</v>
      </c>
      <c r="J98" s="1" t="str">
        <f aca="false">IF(ISERROR(VLOOKUP(G98,R$71:U$90,4,0)),"",VLOOKUP(G98,R$71:U$90,4,0))</f>
        <v/>
      </c>
      <c r="K98" s="14" t="n">
        <f aca="false">+H98</f>
        <v>0</v>
      </c>
      <c r="Q98" s="56"/>
      <c r="R98" s="56"/>
    </row>
    <row collapsed="false" customFormat="false" customHeight="false" hidden="true" ht="14" outlineLevel="1" r="99">
      <c r="E99" s="50"/>
      <c r="F99" s="18"/>
      <c r="G99" s="1" t="n">
        <f aca="false">1+G98</f>
        <v>4</v>
      </c>
      <c r="H99" s="60" t="n">
        <f aca="false">+IF(I98&gt;0,MIN(SUMIF($N$71:$N$90,G99,$E$71:$E$90),I98),0)</f>
        <v>0</v>
      </c>
      <c r="I99" s="59" t="n">
        <f aca="false">I98-H99</f>
        <v>1011497.5</v>
      </c>
      <c r="J99" s="1" t="str">
        <f aca="false">IF(ISERROR(VLOOKUP(G99,R$71:U$90,4,0)),"",VLOOKUP(G99,R$71:U$90,4,0))</f>
        <v/>
      </c>
      <c r="K99" s="14" t="n">
        <f aca="false">+H99</f>
        <v>0</v>
      </c>
      <c r="Q99" s="56"/>
      <c r="R99" s="56"/>
    </row>
    <row collapsed="false" customFormat="false" customHeight="false" hidden="true" ht="14" outlineLevel="1" r="100">
      <c r="E100" s="50"/>
      <c r="F100" s="18"/>
      <c r="G100" s="1" t="n">
        <f aca="false">1+G99</f>
        <v>5</v>
      </c>
      <c r="H100" s="60" t="n">
        <f aca="false">+IF(I99&gt;0,MIN(SUMIF($N$71:$N$90,G100,$E$71:$E$90),I99),0)</f>
        <v>0</v>
      </c>
      <c r="I100" s="59" t="n">
        <f aca="false">I99-H100</f>
        <v>1011497.5</v>
      </c>
      <c r="J100" s="1" t="str">
        <f aca="false">IF(ISERROR(VLOOKUP(G100,R$71:U$90,4,0)),"",VLOOKUP(G100,R$71:U$90,4,0))</f>
        <v/>
      </c>
      <c r="K100" s="14" t="n">
        <f aca="false">+H100</f>
        <v>0</v>
      </c>
      <c r="Q100" s="56"/>
      <c r="R100" s="56"/>
    </row>
    <row collapsed="false" customFormat="false" customHeight="false" hidden="true" ht="14" outlineLevel="1" r="101">
      <c r="E101" s="50"/>
      <c r="F101" s="18"/>
      <c r="G101" s="1" t="n">
        <f aca="false">1+G100</f>
        <v>6</v>
      </c>
      <c r="H101" s="60" t="n">
        <f aca="false">+IF(I100&gt;0,MIN(SUMIF($N$71:$N$90,G101,$E$71:$E$90),I100),0)</f>
        <v>0</v>
      </c>
      <c r="I101" s="59" t="n">
        <f aca="false">I100-H101</f>
        <v>1011497.5</v>
      </c>
      <c r="J101" s="1" t="str">
        <f aca="false">IF(ISERROR(VLOOKUP(G101,R$71:U$90,4,0)),"",VLOOKUP(G101,R$71:U$90,4,0))</f>
        <v/>
      </c>
      <c r="K101" s="14" t="n">
        <f aca="false">+H101</f>
        <v>0</v>
      </c>
      <c r="Q101" s="56"/>
      <c r="R101" s="56"/>
    </row>
    <row collapsed="false" customFormat="false" customHeight="false" hidden="true" ht="14" outlineLevel="1" r="102">
      <c r="E102" s="50"/>
      <c r="F102" s="18"/>
      <c r="G102" s="1" t="n">
        <f aca="false">1+G101</f>
        <v>7</v>
      </c>
      <c r="H102" s="60" t="n">
        <f aca="false">+IF(I101&gt;0,MIN(SUMIF($N$71:$N$90,G102,$E$71:$E$90),I101),0)</f>
        <v>0</v>
      </c>
      <c r="I102" s="59" t="n">
        <f aca="false">I101-H102</f>
        <v>1011497.5</v>
      </c>
      <c r="J102" s="1" t="str">
        <f aca="false">IF(ISERROR(VLOOKUP(G102,R$71:U$90,4,0)),"",VLOOKUP(G102,R$71:U$90,4,0))</f>
        <v/>
      </c>
      <c r="K102" s="14" t="n">
        <f aca="false">+H102</f>
        <v>0</v>
      </c>
      <c r="Q102" s="56"/>
      <c r="R102" s="56"/>
    </row>
    <row collapsed="false" customFormat="false" customHeight="false" hidden="true" ht="14" outlineLevel="1" r="103">
      <c r="E103" s="50"/>
      <c r="F103" s="18"/>
      <c r="G103" s="1" t="n">
        <f aca="false">1+G102</f>
        <v>8</v>
      </c>
      <c r="H103" s="60" t="n">
        <f aca="false">+IF(I102&gt;0,MIN(SUMIF($N$71:$N$90,G103,$E$71:$E$90),I102),0)</f>
        <v>0</v>
      </c>
      <c r="I103" s="59" t="n">
        <f aca="false">I102-H103</f>
        <v>1011497.5</v>
      </c>
      <c r="J103" s="1" t="str">
        <f aca="false">IF(ISERROR(VLOOKUP(G103,R$71:U$90,4,0)),"",VLOOKUP(G103,R$71:U$90,4,0))</f>
        <v/>
      </c>
      <c r="K103" s="14" t="n">
        <f aca="false">+H103</f>
        <v>0</v>
      </c>
      <c r="Q103" s="56"/>
      <c r="R103" s="56"/>
    </row>
    <row collapsed="false" customFormat="false" customHeight="false" hidden="true" ht="14" outlineLevel="1" r="104">
      <c r="E104" s="50"/>
      <c r="F104" s="18"/>
      <c r="G104" s="1" t="n">
        <f aca="false">1+G103</f>
        <v>9</v>
      </c>
      <c r="H104" s="60" t="n">
        <f aca="false">+IF(I103&gt;0,MIN(SUMIF($N$71:$N$90,G104,$E$71:$E$90),I103),0)</f>
        <v>0</v>
      </c>
      <c r="I104" s="59" t="n">
        <f aca="false">I103-H104</f>
        <v>1011497.5</v>
      </c>
      <c r="J104" s="1" t="str">
        <f aca="false">IF(ISERROR(VLOOKUP(G104,R$71:U$90,4,0)),"",VLOOKUP(G104,R$71:U$90,4,0))</f>
        <v/>
      </c>
      <c r="K104" s="14" t="n">
        <f aca="false">+H104</f>
        <v>0</v>
      </c>
    </row>
    <row collapsed="false" customFormat="false" customHeight="false" hidden="true" ht="14" outlineLevel="1" r="105">
      <c r="E105" s="50"/>
      <c r="F105" s="18"/>
      <c r="G105" s="1" t="n">
        <f aca="false">1+G104</f>
        <v>10</v>
      </c>
      <c r="H105" s="60" t="n">
        <f aca="false">+IF(I104&gt;0,MIN(SUMIF($N$71:$N$90,G105,$E$71:$E$90),I104),0)</f>
        <v>0</v>
      </c>
      <c r="I105" s="59" t="n">
        <f aca="false">I104-H105</f>
        <v>1011497.5</v>
      </c>
      <c r="J105" s="1" t="str">
        <f aca="false">IF(ISERROR(VLOOKUP(G105,R$71:U$90,4,0)),"",VLOOKUP(G105,R$71:U$90,4,0))</f>
        <v/>
      </c>
      <c r="K105" s="14" t="n">
        <f aca="false">+H105</f>
        <v>0</v>
      </c>
    </row>
    <row collapsed="false" customFormat="false" customHeight="false" hidden="true" ht="14" outlineLevel="1" r="106">
      <c r="E106" s="50"/>
      <c r="F106" s="18"/>
      <c r="G106" s="1" t="n">
        <f aca="false">1+G105</f>
        <v>11</v>
      </c>
      <c r="H106" s="60" t="n">
        <f aca="false">+IF(I105&gt;0,MIN(SUMIF($N$71:$N$90,G106,$E$71:$E$90),I105),0)</f>
        <v>0</v>
      </c>
      <c r="I106" s="59" t="n">
        <f aca="false">I105-H106</f>
        <v>1011497.5</v>
      </c>
      <c r="J106" s="1" t="str">
        <f aca="false">IF(ISERROR(VLOOKUP(G106,R$71:U$90,4,0)),"",VLOOKUP(G106,R$71:U$90,4,0))</f>
        <v/>
      </c>
      <c r="K106" s="14" t="n">
        <f aca="false">+H106</f>
        <v>0</v>
      </c>
    </row>
    <row collapsed="false" customFormat="false" customHeight="false" hidden="true" ht="14" outlineLevel="1" r="107">
      <c r="E107" s="50"/>
      <c r="F107" s="18"/>
      <c r="G107" s="1" t="n">
        <f aca="false">1+G106</f>
        <v>12</v>
      </c>
      <c r="H107" s="60" t="n">
        <f aca="false">+IF(I106&gt;0,MIN(SUMIF($N$71:$N$90,G107,$E$71:$E$90),I106),0)</f>
        <v>0</v>
      </c>
      <c r="I107" s="59" t="n">
        <f aca="false">I106-H107</f>
        <v>1011497.5</v>
      </c>
      <c r="J107" s="1" t="str">
        <f aca="false">IF(ISERROR(VLOOKUP(G107,R$71:U$90,4,0)),"",VLOOKUP(G107,R$71:U$90,4,0))</f>
        <v/>
      </c>
      <c r="K107" s="14" t="n">
        <f aca="false">+H107</f>
        <v>0</v>
      </c>
    </row>
    <row collapsed="false" customFormat="false" customHeight="false" hidden="true" ht="14" outlineLevel="1" r="108">
      <c r="E108" s="50"/>
      <c r="F108" s="18"/>
      <c r="G108" s="1" t="n">
        <f aca="false">1+G107</f>
        <v>13</v>
      </c>
      <c r="H108" s="60" t="n">
        <f aca="false">+IF(I107&gt;0,MIN(SUMIF($N$71:$N$90,G108,$E$71:$E$90),I107),0)</f>
        <v>0</v>
      </c>
      <c r="I108" s="59" t="n">
        <f aca="false">I107-H108</f>
        <v>1011497.5</v>
      </c>
      <c r="J108" s="1" t="str">
        <f aca="false">IF(ISERROR(VLOOKUP(G108,R$71:U$90,4,0)),"",VLOOKUP(G108,R$71:U$90,4,0))</f>
        <v/>
      </c>
      <c r="K108" s="14" t="n">
        <f aca="false">+H108</f>
        <v>0</v>
      </c>
    </row>
    <row collapsed="false" customFormat="false" customHeight="false" hidden="true" ht="14" outlineLevel="1" r="109">
      <c r="E109" s="50"/>
      <c r="F109" s="18"/>
      <c r="G109" s="1" t="n">
        <f aca="false">1+G108</f>
        <v>14</v>
      </c>
      <c r="H109" s="60" t="n">
        <f aca="false">+IF(I108&gt;0,MIN(SUMIF($N$71:$N$90,G109,$E$71:$E$90),I108),0)</f>
        <v>0</v>
      </c>
      <c r="I109" s="59" t="n">
        <f aca="false">I108-H109</f>
        <v>1011497.5</v>
      </c>
      <c r="J109" s="1" t="str">
        <f aca="false">IF(ISERROR(VLOOKUP(G109,R$71:U$90,4,0)),"",VLOOKUP(G109,R$71:U$90,4,0))</f>
        <v/>
      </c>
      <c r="K109" s="14" t="n">
        <f aca="false">+H109</f>
        <v>0</v>
      </c>
    </row>
    <row collapsed="false" customFormat="false" customHeight="false" hidden="true" ht="14" outlineLevel="1" r="110">
      <c r="E110" s="50"/>
      <c r="F110" s="18"/>
      <c r="G110" s="1" t="n">
        <f aca="false">1+G109</f>
        <v>15</v>
      </c>
      <c r="H110" s="60" t="n">
        <f aca="false">+IF(I109&gt;0,MIN(SUMIF($N$71:$N$90,G110,$E$71:$E$90),I109),0)</f>
        <v>0</v>
      </c>
      <c r="I110" s="59" t="n">
        <f aca="false">I109-H110</f>
        <v>1011497.5</v>
      </c>
      <c r="J110" s="1" t="str">
        <f aca="false">IF(ISERROR(VLOOKUP(G110,R$71:U$90,4,0)),"",VLOOKUP(G110,R$71:U$90,4,0))</f>
        <v/>
      </c>
      <c r="K110" s="14" t="n">
        <f aca="false">+H110</f>
        <v>0</v>
      </c>
    </row>
    <row collapsed="false" customFormat="false" customHeight="false" hidden="true" ht="14" outlineLevel="1" r="111">
      <c r="E111" s="50"/>
      <c r="F111" s="18"/>
      <c r="G111" s="1" t="n">
        <f aca="false">1+G110</f>
        <v>16</v>
      </c>
      <c r="H111" s="60" t="n">
        <f aca="false">+IF(I110&gt;0,MIN(SUMIF($N$71:$N$90,G111,$E$71:$E$90),I110),0)</f>
        <v>0</v>
      </c>
      <c r="I111" s="59" t="n">
        <f aca="false">I110-H111</f>
        <v>1011497.5</v>
      </c>
      <c r="J111" s="1" t="str">
        <f aca="false">IF(ISERROR(VLOOKUP(G111,R$71:U$90,4,0)),"",VLOOKUP(G111,R$71:U$90,4,0))</f>
        <v/>
      </c>
      <c r="K111" s="14" t="n">
        <f aca="false">+H111</f>
        <v>0</v>
      </c>
    </row>
    <row collapsed="false" customFormat="false" customHeight="false" hidden="true" ht="14" outlineLevel="1" r="112">
      <c r="E112" s="50"/>
      <c r="F112" s="18"/>
      <c r="G112" s="1" t="n">
        <f aca="false">1+G111</f>
        <v>17</v>
      </c>
      <c r="H112" s="60" t="n">
        <f aca="false">+IF(I111&gt;0,MIN(SUMIF($N$71:$N$90,G112,$E$71:$E$90),I111),0)</f>
        <v>0</v>
      </c>
      <c r="I112" s="59" t="n">
        <f aca="false">I111-H112</f>
        <v>1011497.5</v>
      </c>
      <c r="J112" s="1" t="str">
        <f aca="false">IF(ISERROR(VLOOKUP(G112,R$71:U$90,4,0)),"",VLOOKUP(G112,R$71:U$90,4,0))</f>
        <v/>
      </c>
      <c r="K112" s="14" t="n">
        <f aca="false">+H112</f>
        <v>0</v>
      </c>
    </row>
    <row collapsed="false" customFormat="false" customHeight="false" hidden="true" ht="14" outlineLevel="1" r="113">
      <c r="E113" s="50"/>
      <c r="F113" s="18"/>
      <c r="G113" s="1" t="n">
        <f aca="false">1+G112</f>
        <v>18</v>
      </c>
      <c r="H113" s="60" t="n">
        <f aca="false">+IF(I112&gt;0,MIN(SUMIF($N$71:$N$90,G113,$E$71:$E$90),I112),0)</f>
        <v>0</v>
      </c>
      <c r="I113" s="59" t="n">
        <f aca="false">I112-H113</f>
        <v>1011497.5</v>
      </c>
      <c r="J113" s="1" t="str">
        <f aca="false">IF(ISERROR(VLOOKUP(G113,R$71:U$90,4,0)),"",VLOOKUP(G113,R$71:U$90,4,0))</f>
        <v/>
      </c>
      <c r="K113" s="14" t="n">
        <f aca="false">+H113</f>
        <v>0</v>
      </c>
    </row>
    <row collapsed="false" customFormat="false" customHeight="false" hidden="true" ht="14" outlineLevel="1" r="114">
      <c r="E114" s="50"/>
      <c r="F114" s="18"/>
      <c r="G114" s="1" t="n">
        <f aca="false">1+G113</f>
        <v>19</v>
      </c>
      <c r="H114" s="60" t="n">
        <f aca="false">+IF(I113&gt;0,MIN(SUMIF($N$71:$N$90,G114,$E$71:$E$90),I113),0)</f>
        <v>0</v>
      </c>
      <c r="I114" s="59" t="n">
        <f aca="false">I113-H114</f>
        <v>1011497.5</v>
      </c>
      <c r="J114" s="1" t="str">
        <f aca="false">IF(ISERROR(VLOOKUP(G114,R$71:U$90,4,0)),"",VLOOKUP(G114,R$71:U$90,4,0))</f>
        <v/>
      </c>
      <c r="K114" s="14" t="n">
        <f aca="false">+H114</f>
        <v>0</v>
      </c>
    </row>
    <row collapsed="false" customFormat="false" customHeight="false" hidden="true" ht="14" outlineLevel="1" r="115">
      <c r="E115" s="50"/>
      <c r="F115" s="18"/>
      <c r="G115" s="1" t="n">
        <f aca="false">1+G114</f>
        <v>20</v>
      </c>
      <c r="H115" s="60" t="n">
        <f aca="false">+IF(I114&gt;0,MIN(SUMIF($N$71:$N$90,G115,$E$71:$E$90),I114),0)</f>
        <v>0</v>
      </c>
      <c r="I115" s="59" t="n">
        <f aca="false">I114-H115</f>
        <v>1011497.5</v>
      </c>
      <c r="J115" s="1" t="str">
        <f aca="false">IF(ISERROR(VLOOKUP(G115,R$71:U$90,4,0)),"",VLOOKUP(G115,R$71:U$90,4,0))</f>
        <v/>
      </c>
      <c r="K115" s="14" t="n">
        <f aca="false">+H115</f>
        <v>0</v>
      </c>
    </row>
    <row collapsed="false" customFormat="false" customHeight="false" hidden="true" ht="14" outlineLevel="1" r="116">
      <c r="E116" s="18"/>
    </row>
    <row collapsed="false" customFormat="false" customHeight="false" hidden="true" ht="14" outlineLevel="1" r="117">
      <c r="E117" s="18"/>
      <c r="G117" s="14" t="n">
        <f aca="false">+G61</f>
        <v>0</v>
      </c>
      <c r="H117" s="14" t="n">
        <f aca="false">+H61</f>
        <v>0</v>
      </c>
      <c r="I117" s="14" t="n">
        <f aca="false">+I61</f>
        <v>0</v>
      </c>
      <c r="J117" s="14" t="n">
        <f aca="false">+J61</f>
        <v>262700</v>
      </c>
      <c r="K117" s="14" t="n">
        <f aca="false">+K61</f>
        <v>360797.5</v>
      </c>
      <c r="L117" s="14" t="n">
        <f aca="false">+L61</f>
        <v>388000</v>
      </c>
      <c r="M117" s="14" t="n">
        <f aca="false">+M61</f>
        <v>1011497.5</v>
      </c>
    </row>
    <row collapsed="false" customFormat="false" customHeight="false" hidden="true" ht="14" outlineLevel="1" r="118">
      <c r="B118" s="15" t="s">
        <v>34</v>
      </c>
      <c r="C118" s="15" t="s">
        <v>37</v>
      </c>
      <c r="D118" s="15" t="s">
        <v>66</v>
      </c>
      <c r="E118" s="15" t="s">
        <v>67</v>
      </c>
    </row>
    <row collapsed="false" customFormat="false" customHeight="false" hidden="true" ht="14" outlineLevel="1" r="119">
      <c r="B119" s="10" t="n">
        <f aca="false">+B71</f>
        <v>1104134</v>
      </c>
      <c r="C119" s="61" t="inlineStr">
        <f aca="false">+D71</f>
        <is>
          <t/>
        </is>
      </c>
      <c r="D119" s="14" t="n">
        <f aca="false">+I71</f>
        <v>0</v>
      </c>
      <c r="E119" s="61" t="n">
        <f aca="false">+IF(D119&gt;0,C119+(SUMPRODUCT($G119:$L119,$G$141:$L$141)/$M119),0)</f>
        <v>0</v>
      </c>
      <c r="G119" s="50" t="n">
        <f aca="false">+G$117/$M$117*$D119</f>
        <v>0</v>
      </c>
      <c r="H119" s="50" t="n">
        <f aca="false">+H$117/$M$117*$D119</f>
        <v>0</v>
      </c>
      <c r="I119" s="50" t="n">
        <f aca="false">+I$117/$M$117*$D119</f>
        <v>0</v>
      </c>
      <c r="J119" s="50" t="n">
        <f aca="false">+J$117/$M$117*$D119</f>
        <v>0</v>
      </c>
      <c r="K119" s="50" t="n">
        <f aca="false">+K$117/$M$117*$D119</f>
        <v>0</v>
      </c>
      <c r="L119" s="50" t="n">
        <f aca="false">+L$117/$M$117*$D119</f>
        <v>0</v>
      </c>
      <c r="M119" s="14" t="n">
        <f aca="false">SUM(G119:L119)</f>
        <v>0</v>
      </c>
    </row>
    <row collapsed="false" customFormat="false" customHeight="false" hidden="true" ht="14" outlineLevel="1" r="120">
      <c r="B120" s="10" t="n">
        <f aca="false">+B72</f>
        <v>1104143</v>
      </c>
      <c r="C120" s="61" t="inlineStr">
        <f aca="false">+D72</f>
        <is>
          <t/>
        </is>
      </c>
      <c r="D120" s="14" t="n">
        <f aca="false">+I72</f>
        <v>0</v>
      </c>
      <c r="E120" s="61" t="n">
        <f aca="false">+IF(D120&gt;0,C120+(SUMPRODUCT($G120:$L120,$G$141:$L$141)/$M120),0)</f>
        <v>0</v>
      </c>
      <c r="G120" s="50" t="n">
        <f aca="false">+G$117/$M$117*$D120</f>
        <v>0</v>
      </c>
      <c r="H120" s="50" t="n">
        <f aca="false">+H$117/$M$117*$D120</f>
        <v>0</v>
      </c>
      <c r="I120" s="50" t="n">
        <f aca="false">+I$117/$M$117*$D120</f>
        <v>0</v>
      </c>
      <c r="J120" s="50" t="n">
        <f aca="false">+J$117/$M$117*$D120</f>
        <v>0</v>
      </c>
      <c r="K120" s="50" t="n">
        <f aca="false">+K$117/$M$117*$D120</f>
        <v>0</v>
      </c>
      <c r="L120" s="50" t="n">
        <f aca="false">+L$117/$M$117*$D120</f>
        <v>0</v>
      </c>
      <c r="M120" s="14" t="n">
        <f aca="false">SUM(G120:L120)</f>
        <v>0</v>
      </c>
    </row>
    <row collapsed="false" customFormat="false" customHeight="false" hidden="true" ht="14" outlineLevel="1" r="121">
      <c r="B121" s="10" t="n">
        <f aca="false">+B73</f>
        <v>1104154</v>
      </c>
      <c r="C121" s="61" t="inlineStr">
        <f aca="false">+D73</f>
        <is>
          <t/>
        </is>
      </c>
      <c r="D121" s="14" t="n">
        <f aca="false">+I73</f>
        <v>0</v>
      </c>
      <c r="E121" s="61" t="n">
        <f aca="false">+IF(D121&gt;0,C121+(SUMPRODUCT($G121:$L121,$G$141:$L$141)/$M121),0)</f>
        <v>0</v>
      </c>
      <c r="G121" s="50" t="n">
        <f aca="false">+G$117/$M$117*$D121</f>
        <v>0</v>
      </c>
      <c r="H121" s="50" t="n">
        <f aca="false">+H$117/$M$117*$D121</f>
        <v>0</v>
      </c>
      <c r="I121" s="50" t="n">
        <f aca="false">+I$117/$M$117*$D121</f>
        <v>0</v>
      </c>
      <c r="J121" s="50" t="n">
        <f aca="false">+J$117/$M$117*$D121</f>
        <v>0</v>
      </c>
      <c r="K121" s="50" t="n">
        <f aca="false">+K$117/$M$117*$D121</f>
        <v>0</v>
      </c>
      <c r="L121" s="50" t="n">
        <f aca="false">+L$117/$M$117*$D121</f>
        <v>0</v>
      </c>
      <c r="M121" s="14" t="n">
        <f aca="false">SUM(G121:L121)</f>
        <v>0</v>
      </c>
    </row>
    <row collapsed="false" customFormat="false" customHeight="false" hidden="true" ht="14" outlineLevel="1" r="122">
      <c r="B122" s="10" t="n">
        <f aca="false">+B74</f>
        <v>1104152</v>
      </c>
      <c r="C122" s="61" t="inlineStr">
        <f aca="false">+D74</f>
        <is>
          <t/>
        </is>
      </c>
      <c r="D122" s="14" t="n">
        <f aca="false">+I74</f>
        <v>0</v>
      </c>
      <c r="E122" s="61" t="n">
        <f aca="false">+IF(D122&gt;0,C122+(SUMPRODUCT($G122:$L122,$G$141:$L$141)/$M122),0)</f>
        <v>0</v>
      </c>
      <c r="G122" s="50" t="n">
        <f aca="false">+G$117/$M$117*$D122</f>
        <v>0</v>
      </c>
      <c r="H122" s="50" t="n">
        <f aca="false">+H$117/$M$117*$D122</f>
        <v>0</v>
      </c>
      <c r="I122" s="50" t="n">
        <f aca="false">+I$117/$M$117*$D122</f>
        <v>0</v>
      </c>
      <c r="J122" s="50" t="n">
        <f aca="false">+J$117/$M$117*$D122</f>
        <v>0</v>
      </c>
      <c r="K122" s="50" t="n">
        <f aca="false">+K$117/$M$117*$D122</f>
        <v>0</v>
      </c>
      <c r="L122" s="50" t="n">
        <f aca="false">+L$117/$M$117*$D122</f>
        <v>0</v>
      </c>
      <c r="M122" s="14" t="n">
        <f aca="false">SUM(G122:L122)</f>
        <v>0</v>
      </c>
    </row>
    <row collapsed="false" customFormat="false" customHeight="false" hidden="true" ht="14" outlineLevel="1" r="123">
      <c r="B123" s="10" t="n">
        <f aca="false">+B75</f>
        <v>1104136</v>
      </c>
      <c r="C123" s="61" t="inlineStr">
        <f aca="false">+D75</f>
        <is>
          <t/>
        </is>
      </c>
      <c r="D123" s="14" t="n">
        <f aca="false">+I75</f>
        <v>0</v>
      </c>
      <c r="E123" s="61" t="n">
        <f aca="false">+IF(D123&gt;0,C123+(SUMPRODUCT($G123:$L123,$G$141:$L$141)/$M123),0)</f>
        <v>0</v>
      </c>
      <c r="G123" s="50" t="n">
        <f aca="false">+G$117/$M$117*$D123</f>
        <v>0</v>
      </c>
      <c r="H123" s="50" t="n">
        <f aca="false">+H$117/$M$117*$D123</f>
        <v>0</v>
      </c>
      <c r="I123" s="50" t="n">
        <f aca="false">+I$117/$M$117*$D123</f>
        <v>0</v>
      </c>
      <c r="J123" s="50" t="n">
        <f aca="false">+J$117/$M$117*$D123</f>
        <v>0</v>
      </c>
      <c r="K123" s="50" t="n">
        <f aca="false">+K$117/$M$117*$D123</f>
        <v>0</v>
      </c>
      <c r="L123" s="50" t="n">
        <f aca="false">+L$117/$M$117*$D123</f>
        <v>0</v>
      </c>
      <c r="M123" s="14" t="n">
        <f aca="false">SUM(G123:L123)</f>
        <v>0</v>
      </c>
    </row>
    <row collapsed="false" customFormat="false" customHeight="false" hidden="true" ht="14" outlineLevel="1" r="124">
      <c r="B124" s="10" t="n">
        <f aca="false">+B76</f>
        <v>1104138</v>
      </c>
      <c r="C124" s="61" t="inlineStr">
        <f aca="false">+D76</f>
        <is>
          <t/>
        </is>
      </c>
      <c r="D124" s="14" t="n">
        <f aca="false">+I76</f>
        <v>0</v>
      </c>
      <c r="E124" s="61" t="n">
        <f aca="false">+IF(D124&gt;0,C124+(SUMPRODUCT($G124:$L124,$G$141:$L$141)/$M124),0)</f>
        <v>0</v>
      </c>
      <c r="G124" s="50" t="n">
        <f aca="false">+G$117/$M$117*$D124</f>
        <v>0</v>
      </c>
      <c r="H124" s="50" t="n">
        <f aca="false">+H$117/$M$117*$D124</f>
        <v>0</v>
      </c>
      <c r="I124" s="50" t="n">
        <f aca="false">+I$117/$M$117*$D124</f>
        <v>0</v>
      </c>
      <c r="J124" s="50" t="n">
        <f aca="false">+J$117/$M$117*$D124</f>
        <v>0</v>
      </c>
      <c r="K124" s="50" t="n">
        <f aca="false">+K$117/$M$117*$D124</f>
        <v>0</v>
      </c>
      <c r="L124" s="50" t="n">
        <f aca="false">+L$117/$M$117*$D124</f>
        <v>0</v>
      </c>
      <c r="M124" s="14" t="n">
        <f aca="false">SUM(G124:L124)</f>
        <v>0</v>
      </c>
    </row>
    <row collapsed="false" customFormat="false" customHeight="false" hidden="true" ht="14" outlineLevel="1" r="125">
      <c r="B125" s="10" t="n">
        <f aca="false">+B77</f>
        <v>1104139</v>
      </c>
      <c r="C125" s="61" t="inlineStr">
        <f aca="false">+D77</f>
        <is>
          <t/>
        </is>
      </c>
      <c r="D125" s="14" t="n">
        <f aca="false">+I77</f>
        <v>0</v>
      </c>
      <c r="E125" s="61" t="n">
        <f aca="false">+IF(D125&gt;0,C125+(SUMPRODUCT($G125:$L125,$G$141:$L$141)/$M125),0)</f>
        <v>0</v>
      </c>
      <c r="G125" s="50" t="n">
        <f aca="false">+G$117/$M$117*$D125</f>
        <v>0</v>
      </c>
      <c r="H125" s="50" t="n">
        <f aca="false">+H$117/$M$117*$D125</f>
        <v>0</v>
      </c>
      <c r="I125" s="50" t="n">
        <f aca="false">+I$117/$M$117*$D125</f>
        <v>0</v>
      </c>
      <c r="J125" s="50" t="n">
        <f aca="false">+J$117/$M$117*$D125</f>
        <v>0</v>
      </c>
      <c r="K125" s="50" t="n">
        <f aca="false">+K$117/$M$117*$D125</f>
        <v>0</v>
      </c>
      <c r="L125" s="50" t="n">
        <f aca="false">+L$117/$M$117*$D125</f>
        <v>0</v>
      </c>
      <c r="M125" s="14" t="n">
        <f aca="false">SUM(G125:L125)</f>
        <v>0</v>
      </c>
    </row>
    <row collapsed="false" customFormat="false" customHeight="false" hidden="true" ht="14" outlineLevel="1" r="126">
      <c r="B126" s="10" t="n">
        <f aca="false">+B78</f>
        <v>1104140</v>
      </c>
      <c r="C126" s="61" t="inlineStr">
        <f aca="false">+D78</f>
        <is>
          <t/>
        </is>
      </c>
      <c r="D126" s="14" t="n">
        <f aca="false">+I78</f>
        <v>0</v>
      </c>
      <c r="E126" s="61" t="n">
        <f aca="false">+IF(D126&gt;0,C126+(SUMPRODUCT($G126:$L126,$G$141:$L$141)/$M126),0)</f>
        <v>0</v>
      </c>
      <c r="G126" s="50" t="n">
        <f aca="false">+G$117/$M$117*$D126</f>
        <v>0</v>
      </c>
      <c r="H126" s="50" t="n">
        <f aca="false">+H$117/$M$117*$D126</f>
        <v>0</v>
      </c>
      <c r="I126" s="50" t="n">
        <f aca="false">+I$117/$M$117*$D126</f>
        <v>0</v>
      </c>
      <c r="J126" s="50" t="n">
        <f aca="false">+J$117/$M$117*$D126</f>
        <v>0</v>
      </c>
      <c r="K126" s="50" t="n">
        <f aca="false">+K$117/$M$117*$D126</f>
        <v>0</v>
      </c>
      <c r="L126" s="50" t="n">
        <f aca="false">+L$117/$M$117*$D126</f>
        <v>0</v>
      </c>
      <c r="M126" s="14" t="n">
        <f aca="false">SUM(G126:L126)</f>
        <v>0</v>
      </c>
    </row>
    <row collapsed="false" customFormat="false" customHeight="false" hidden="true" ht="14" outlineLevel="1" r="127">
      <c r="B127" s="10" t="n">
        <f aca="false">+B79</f>
        <v>1104141</v>
      </c>
      <c r="C127" s="61" t="inlineStr">
        <f aca="false">+D79</f>
        <is>
          <t/>
        </is>
      </c>
      <c r="D127" s="14" t="n">
        <f aca="false">+I79</f>
        <v>0</v>
      </c>
      <c r="E127" s="61" t="n">
        <f aca="false">+IF(D127&gt;0,C127+(SUMPRODUCT($G127:$L127,$G$141:$L$141)/$M127),0)</f>
        <v>0</v>
      </c>
      <c r="G127" s="50" t="n">
        <f aca="false">+G$117/$M$117*$D127</f>
        <v>0</v>
      </c>
      <c r="H127" s="50" t="n">
        <f aca="false">+H$117/$M$117*$D127</f>
        <v>0</v>
      </c>
      <c r="I127" s="50" t="n">
        <f aca="false">+I$117/$M$117*$D127</f>
        <v>0</v>
      </c>
      <c r="J127" s="50" t="n">
        <f aca="false">+J$117/$M$117*$D127</f>
        <v>0</v>
      </c>
      <c r="K127" s="50" t="n">
        <f aca="false">+K$117/$M$117*$D127</f>
        <v>0</v>
      </c>
      <c r="L127" s="50" t="n">
        <f aca="false">+L$117/$M$117*$D127</f>
        <v>0</v>
      </c>
      <c r="M127" s="14" t="n">
        <f aca="false">SUM(G127:L127)</f>
        <v>0</v>
      </c>
    </row>
    <row collapsed="false" customFormat="false" customHeight="false" hidden="true" ht="14" outlineLevel="1" r="128">
      <c r="B128" s="10" t="n">
        <f aca="false">+B80</f>
        <v>1104159</v>
      </c>
      <c r="C128" s="61" t="inlineStr">
        <f aca="false">+D80</f>
        <is>
          <t/>
        </is>
      </c>
      <c r="D128" s="14" t="n">
        <f aca="false">+I80</f>
        <v>0</v>
      </c>
      <c r="E128" s="61" t="n">
        <f aca="false">+IF(D128&gt;0,C128+(SUMPRODUCT($G128:$L128,$G$141:$L$141)/$M128),0)</f>
        <v>0</v>
      </c>
      <c r="G128" s="50" t="n">
        <f aca="false">+G$117/$M$117*$D128</f>
        <v>0</v>
      </c>
      <c r="H128" s="50" t="n">
        <f aca="false">+H$117/$M$117*$D128</f>
        <v>0</v>
      </c>
      <c r="I128" s="50" t="n">
        <f aca="false">+I$117/$M$117*$D128</f>
        <v>0</v>
      </c>
      <c r="J128" s="50" t="n">
        <f aca="false">+J$117/$M$117*$D128</f>
        <v>0</v>
      </c>
      <c r="K128" s="50" t="n">
        <f aca="false">+K$117/$M$117*$D128</f>
        <v>0</v>
      </c>
      <c r="L128" s="50" t="n">
        <f aca="false">+L$117/$M$117*$D128</f>
        <v>0</v>
      </c>
      <c r="M128" s="14" t="n">
        <f aca="false">SUM(G128:L128)</f>
        <v>0</v>
      </c>
    </row>
    <row collapsed="false" customFormat="false" customHeight="false" hidden="true" ht="14" outlineLevel="1" r="129">
      <c r="B129" s="10" t="n">
        <f aca="false">+B81</f>
        <v>1104161</v>
      </c>
      <c r="C129" s="61" t="inlineStr">
        <f aca="false">+D81</f>
        <is>
          <t/>
        </is>
      </c>
      <c r="D129" s="14" t="n">
        <f aca="false">+I81</f>
        <v>0</v>
      </c>
      <c r="E129" s="61" t="n">
        <f aca="false">+IF(D129&gt;0,C129+(SUMPRODUCT($G129:$L129,$G$141:$L$141)/$M129),0)</f>
        <v>0</v>
      </c>
      <c r="G129" s="50" t="n">
        <f aca="false">+G$117/$M$117*$D129</f>
        <v>0</v>
      </c>
      <c r="H129" s="50" t="n">
        <f aca="false">+H$117/$M$117*$D129</f>
        <v>0</v>
      </c>
      <c r="I129" s="50" t="n">
        <f aca="false">+I$117/$M$117*$D129</f>
        <v>0</v>
      </c>
      <c r="J129" s="50" t="n">
        <f aca="false">+J$117/$M$117*$D129</f>
        <v>0</v>
      </c>
      <c r="K129" s="50" t="n">
        <f aca="false">+K$117/$M$117*$D129</f>
        <v>0</v>
      </c>
      <c r="L129" s="50" t="n">
        <f aca="false">+L$117/$M$117*$D129</f>
        <v>0</v>
      </c>
      <c r="M129" s="14" t="n">
        <f aca="false">SUM(G129:L129)</f>
        <v>0</v>
      </c>
    </row>
    <row collapsed="false" customFormat="false" customHeight="false" hidden="true" ht="14" outlineLevel="1" r="130">
      <c r="B130" s="10" t="n">
        <f aca="false">+B82</f>
        <v>1104145</v>
      </c>
      <c r="C130" s="61" t="inlineStr">
        <f aca="false">+D82</f>
        <is>
          <t/>
        </is>
      </c>
      <c r="D130" s="14" t="n">
        <f aca="false">+I82</f>
        <v>0</v>
      </c>
      <c r="E130" s="61" t="n">
        <f aca="false">+IF(D130&gt;0,C130+(SUMPRODUCT($G130:$L130,$G$141:$L$141)/$M130),0)</f>
        <v>0</v>
      </c>
      <c r="G130" s="50" t="n">
        <f aca="false">+G$117/$M$117*$D130</f>
        <v>0</v>
      </c>
      <c r="H130" s="50" t="n">
        <f aca="false">+H$117/$M$117*$D130</f>
        <v>0</v>
      </c>
      <c r="I130" s="50" t="n">
        <f aca="false">+I$117/$M$117*$D130</f>
        <v>0</v>
      </c>
      <c r="J130" s="50" t="n">
        <f aca="false">+J$117/$M$117*$D130</f>
        <v>0</v>
      </c>
      <c r="K130" s="50" t="n">
        <f aca="false">+K$117/$M$117*$D130</f>
        <v>0</v>
      </c>
      <c r="L130" s="50" t="n">
        <f aca="false">+L$117/$M$117*$D130</f>
        <v>0</v>
      </c>
      <c r="M130" s="14" t="n">
        <f aca="false">SUM(G130:L130)</f>
        <v>0</v>
      </c>
    </row>
    <row collapsed="false" customFormat="false" customHeight="false" hidden="true" ht="14" outlineLevel="1" r="131">
      <c r="B131" s="10" t="n">
        <f aca="false">+B83</f>
        <v>1104133</v>
      </c>
      <c r="C131" s="61" t="inlineStr">
        <f aca="false">+D83</f>
        <is>
          <t/>
        </is>
      </c>
      <c r="D131" s="14" t="n">
        <f aca="false">+I83</f>
        <v>0</v>
      </c>
      <c r="E131" s="61" t="n">
        <f aca="false">+IF(D131&gt;0,C131+(SUMPRODUCT($G131:$L131,$G$141:$L$141)/$M131),0)</f>
        <v>0</v>
      </c>
      <c r="G131" s="50" t="n">
        <f aca="false">+G$117/$M$117*$D131</f>
        <v>0</v>
      </c>
      <c r="H131" s="50" t="n">
        <f aca="false">+H$117/$M$117*$D131</f>
        <v>0</v>
      </c>
      <c r="I131" s="50" t="n">
        <f aca="false">+I$117/$M$117*$D131</f>
        <v>0</v>
      </c>
      <c r="J131" s="50" t="n">
        <f aca="false">+J$117/$M$117*$D131</f>
        <v>0</v>
      </c>
      <c r="K131" s="50" t="n">
        <f aca="false">+K$117/$M$117*$D131</f>
        <v>0</v>
      </c>
      <c r="L131" s="50" t="n">
        <f aca="false">+L$117/$M$117*$D131</f>
        <v>0</v>
      </c>
      <c r="M131" s="14" t="n">
        <f aca="false">SUM(G131:L131)</f>
        <v>0</v>
      </c>
    </row>
    <row collapsed="false" customFormat="false" customHeight="false" hidden="true" ht="14" outlineLevel="1" r="132">
      <c r="B132" s="10" t="n">
        <f aca="false">+B84</f>
        <v>1104149</v>
      </c>
      <c r="C132" s="61" t="inlineStr">
        <f aca="false">+D84</f>
        <is>
          <t/>
        </is>
      </c>
      <c r="D132" s="14" t="n">
        <f aca="false">+I84</f>
        <v>0</v>
      </c>
      <c r="E132" s="61" t="n">
        <f aca="false">+IF(D132&gt;0,C132+(SUMPRODUCT($G132:$L132,$G$141:$L$141)/$M132),0)</f>
        <v>0</v>
      </c>
      <c r="G132" s="50" t="n">
        <f aca="false">+G$117/$M$117*$D132</f>
        <v>0</v>
      </c>
      <c r="H132" s="50" t="n">
        <f aca="false">+H$117/$M$117*$D132</f>
        <v>0</v>
      </c>
      <c r="I132" s="50" t="n">
        <f aca="false">+I$117/$M$117*$D132</f>
        <v>0</v>
      </c>
      <c r="J132" s="50" t="n">
        <f aca="false">+J$117/$M$117*$D132</f>
        <v>0</v>
      </c>
      <c r="K132" s="50" t="n">
        <f aca="false">+K$117/$M$117*$D132</f>
        <v>0</v>
      </c>
      <c r="L132" s="50" t="n">
        <f aca="false">+L$117/$M$117*$D132</f>
        <v>0</v>
      </c>
      <c r="M132" s="14" t="n">
        <f aca="false">SUM(G132:L132)</f>
        <v>0</v>
      </c>
    </row>
    <row collapsed="false" customFormat="false" customHeight="false" hidden="true" ht="14" outlineLevel="1" r="133">
      <c r="B133" s="10" t="n">
        <f aca="false">+B85</f>
        <v>1104151</v>
      </c>
      <c r="C133" s="61" t="inlineStr">
        <f aca="false">+D85</f>
        <is>
          <t/>
        </is>
      </c>
      <c r="D133" s="14" t="n">
        <f aca="false">+I85</f>
        <v>0</v>
      </c>
      <c r="E133" s="61" t="n">
        <f aca="false">+IF(D133&gt;0,C133+(SUMPRODUCT($G133:$L133,$G$141:$L$141)/$M133),0)</f>
        <v>0</v>
      </c>
      <c r="G133" s="50" t="n">
        <f aca="false">+G$117/$M$117*$D133</f>
        <v>0</v>
      </c>
      <c r="H133" s="50" t="n">
        <f aca="false">+H$117/$M$117*$D133</f>
        <v>0</v>
      </c>
      <c r="I133" s="50" t="n">
        <f aca="false">+I$117/$M$117*$D133</f>
        <v>0</v>
      </c>
      <c r="J133" s="50" t="n">
        <f aca="false">+J$117/$M$117*$D133</f>
        <v>0</v>
      </c>
      <c r="K133" s="50" t="n">
        <f aca="false">+K$117/$M$117*$D133</f>
        <v>0</v>
      </c>
      <c r="L133" s="50" t="n">
        <f aca="false">+L$117/$M$117*$D133</f>
        <v>0</v>
      </c>
      <c r="M133" s="14" t="n">
        <f aca="false">SUM(G133:L133)</f>
        <v>0</v>
      </c>
    </row>
    <row collapsed="false" customFormat="false" customHeight="false" hidden="true" ht="14" outlineLevel="1" r="134">
      <c r="B134" s="10" t="n">
        <f aca="false">+B86</f>
        <v>1104131</v>
      </c>
      <c r="C134" s="61" t="inlineStr">
        <f aca="false">+D86</f>
        <is>
          <t/>
        </is>
      </c>
      <c r="D134" s="14" t="n">
        <f aca="false">+I86</f>
        <v>0</v>
      </c>
      <c r="E134" s="61" t="n">
        <f aca="false">+IF(D134&gt;0,C134+(SUMPRODUCT($G134:$L134,$G$141:$L$141)/$M134),0)</f>
        <v>0</v>
      </c>
      <c r="G134" s="50" t="n">
        <f aca="false">+G$117/$M$117*$D134</f>
        <v>0</v>
      </c>
      <c r="H134" s="50" t="n">
        <f aca="false">+H$117/$M$117*$D134</f>
        <v>0</v>
      </c>
      <c r="I134" s="50" t="n">
        <f aca="false">+I$117/$M$117*$D134</f>
        <v>0</v>
      </c>
      <c r="J134" s="50" t="n">
        <f aca="false">+J$117/$M$117*$D134</f>
        <v>0</v>
      </c>
      <c r="K134" s="50" t="n">
        <f aca="false">+K$117/$M$117*$D134</f>
        <v>0</v>
      </c>
      <c r="L134" s="50" t="n">
        <f aca="false">+L$117/$M$117*$D134</f>
        <v>0</v>
      </c>
      <c r="M134" s="14" t="n">
        <f aca="false">SUM(G134:L134)</f>
        <v>0</v>
      </c>
    </row>
    <row collapsed="false" customFormat="false" customHeight="false" hidden="true" ht="14" outlineLevel="1" r="135">
      <c r="B135" s="10" t="n">
        <f aca="false">+B87</f>
        <v>1104155</v>
      </c>
      <c r="C135" s="61" t="inlineStr">
        <f aca="false">+D87</f>
        <is>
          <t/>
        </is>
      </c>
      <c r="D135" s="14" t="n">
        <f aca="false">+I87</f>
        <v>0</v>
      </c>
      <c r="E135" s="61" t="n">
        <f aca="false">+IF(D135&gt;0,C135+(SUMPRODUCT($G135:$L135,$G$141:$L$141)/$M135),0)</f>
        <v>0</v>
      </c>
      <c r="G135" s="50" t="n">
        <f aca="false">+G$117/$M$117*$D135</f>
        <v>0</v>
      </c>
      <c r="H135" s="50" t="n">
        <f aca="false">+H$117/$M$117*$D135</f>
        <v>0</v>
      </c>
      <c r="I135" s="50" t="n">
        <f aca="false">+I$117/$M$117*$D135</f>
        <v>0</v>
      </c>
      <c r="J135" s="50" t="n">
        <f aca="false">+J$117/$M$117*$D135</f>
        <v>0</v>
      </c>
      <c r="K135" s="50" t="n">
        <f aca="false">+K$117/$M$117*$D135</f>
        <v>0</v>
      </c>
      <c r="L135" s="50" t="n">
        <f aca="false">+L$117/$M$117*$D135</f>
        <v>0</v>
      </c>
      <c r="M135" s="14" t="n">
        <f aca="false">SUM(G135:L135)</f>
        <v>0</v>
      </c>
    </row>
    <row collapsed="false" customFormat="false" customHeight="false" hidden="true" ht="14" outlineLevel="1" r="136">
      <c r="B136" s="10" t="n">
        <f aca="false">+B88</f>
        <v>1104156</v>
      </c>
      <c r="C136" s="61" t="inlineStr">
        <f aca="false">+D88</f>
        <is>
          <t/>
        </is>
      </c>
      <c r="D136" s="14" t="n">
        <f aca="false">+I88</f>
        <v>0</v>
      </c>
      <c r="E136" s="61" t="n">
        <f aca="false">+IF(D136&gt;0,C136+(SUMPRODUCT($G136:$L136,$G$141:$L$141)/$M136),0)</f>
        <v>0</v>
      </c>
      <c r="G136" s="50" t="n">
        <f aca="false">+G$117/$M$117*$D136</f>
        <v>0</v>
      </c>
      <c r="H136" s="50" t="n">
        <f aca="false">+H$117/$M$117*$D136</f>
        <v>0</v>
      </c>
      <c r="I136" s="50" t="n">
        <f aca="false">+I$117/$M$117*$D136</f>
        <v>0</v>
      </c>
      <c r="J136" s="50" t="n">
        <f aca="false">+J$117/$M$117*$D136</f>
        <v>0</v>
      </c>
      <c r="K136" s="50" t="n">
        <f aca="false">+K$117/$M$117*$D136</f>
        <v>0</v>
      </c>
      <c r="L136" s="50" t="n">
        <f aca="false">+L$117/$M$117*$D136</f>
        <v>0</v>
      </c>
      <c r="M136" s="14" t="n">
        <f aca="false">SUM(G136:L136)</f>
        <v>0</v>
      </c>
    </row>
    <row collapsed="false" customFormat="false" customHeight="false" hidden="true" ht="14" outlineLevel="1" r="137">
      <c r="B137" s="10" t="n">
        <f aca="false">+B89</f>
        <v>1104157</v>
      </c>
      <c r="C137" s="61" t="inlineStr">
        <f aca="false">+D89</f>
        <is>
          <t/>
        </is>
      </c>
      <c r="D137" s="14" t="n">
        <f aca="false">+I89</f>
        <v>0</v>
      </c>
      <c r="E137" s="61" t="n">
        <f aca="false">+IF(D137&gt;0,C137+(SUMPRODUCT($G137:$L137,$G$141:$L$141)/$M137),0)</f>
        <v>0</v>
      </c>
      <c r="G137" s="50" t="n">
        <f aca="false">+G$117/$M$117*$D137</f>
        <v>0</v>
      </c>
      <c r="H137" s="50" t="n">
        <f aca="false">+H$117/$M$117*$D137</f>
        <v>0</v>
      </c>
      <c r="I137" s="50" t="n">
        <f aca="false">+I$117/$M$117*$D137</f>
        <v>0</v>
      </c>
      <c r="J137" s="50" t="n">
        <f aca="false">+J$117/$M$117*$D137</f>
        <v>0</v>
      </c>
      <c r="K137" s="50" t="n">
        <f aca="false">+K$117/$M$117*$D137</f>
        <v>0</v>
      </c>
      <c r="L137" s="50" t="n">
        <f aca="false">+L$117/$M$117*$D137</f>
        <v>0</v>
      </c>
      <c r="M137" s="14" t="n">
        <f aca="false">SUM(G137:L137)</f>
        <v>0</v>
      </c>
    </row>
    <row collapsed="false" customFormat="false" customHeight="false" hidden="true" ht="14" outlineLevel="1" r="138">
      <c r="B138" s="10" t="n">
        <f aca="false">+B90</f>
        <v>1104158</v>
      </c>
      <c r="C138" s="61" t="inlineStr">
        <f aca="false">+D90</f>
        <is>
          <t/>
        </is>
      </c>
      <c r="D138" s="14" t="n">
        <f aca="false">+I90</f>
        <v>0</v>
      </c>
      <c r="E138" s="61" t="n">
        <f aca="false">+IF(D138&gt;0,C138+(SUMPRODUCT($G138:$L138,$G$141:$L$141)/$M138),0)</f>
        <v>0</v>
      </c>
      <c r="G138" s="50" t="n">
        <f aca="false">+G$117/$M$117*$D138</f>
        <v>0</v>
      </c>
      <c r="H138" s="50" t="n">
        <f aca="false">+H$117/$M$117*$D138</f>
        <v>0</v>
      </c>
      <c r="I138" s="50" t="n">
        <f aca="false">+I$117/$M$117*$D138</f>
        <v>0</v>
      </c>
      <c r="J138" s="50" t="n">
        <f aca="false">+J$117/$M$117*$D138</f>
        <v>0</v>
      </c>
      <c r="K138" s="50" t="n">
        <f aca="false">+K$117/$M$117*$D138</f>
        <v>0</v>
      </c>
      <c r="L138" s="50" t="n">
        <f aca="false">+L$117/$M$117*$D138</f>
        <v>0</v>
      </c>
      <c r="M138" s="14" t="n">
        <f aca="false">SUM(G138:L138)</f>
        <v>0</v>
      </c>
    </row>
    <row collapsed="false" customFormat="false" customHeight="false" hidden="true" ht="14" outlineLevel="1" r="139">
      <c r="D139" s="14" t="n">
        <f aca="false">SUM(D119:D138)</f>
        <v>0</v>
      </c>
      <c r="E139" s="61" t="e">
        <f aca="false">+SUMPRODUCT(D119:D138,E119:E138)/D139</f>
        <v>#DIV/0!</v>
      </c>
      <c r="G139" s="14" t="n">
        <f aca="false">SUM(G119:G138)</f>
        <v>0</v>
      </c>
      <c r="H139" s="14" t="n">
        <f aca="false">SUM(H119:H138)</f>
        <v>0</v>
      </c>
      <c r="I139" s="14" t="n">
        <f aca="false">SUM(I119:I138)</f>
        <v>0</v>
      </c>
      <c r="J139" s="14" t="n">
        <f aca="false">SUM(J119:J138)</f>
        <v>0</v>
      </c>
      <c r="K139" s="14" t="n">
        <f aca="false">SUM(K119:K138)</f>
        <v>0</v>
      </c>
      <c r="L139" s="14" t="n">
        <f aca="false">SUM(L119:L138)</f>
        <v>0</v>
      </c>
      <c r="M139" s="14" t="n">
        <f aca="false">SUM(M119:M138)</f>
        <v>0</v>
      </c>
    </row>
    <row collapsed="false" customFormat="false" customHeight="false" hidden="true" ht="14" outlineLevel="1" r="140">
      <c r="E140" s="62" t="inlineStr">
        <f aca="false">+E139-M148</f>
        <is>
          <t/>
        </is>
      </c>
      <c r="G140" s="19" t="n">
        <f aca="false">IF(ISERR(+SUMPRODUCT($C$119:$C$138,G$119:G$138)/G$139),0,+SUMPRODUCT($C$119:$C$138,G$119:G$138)/G$139)</f>
        <v>0</v>
      </c>
      <c r="H140" s="19" t="n">
        <f aca="false">IF(ISERR(+SUMPRODUCT($C$119:$C$138,H$119:H$138)/H$139),0,+SUMPRODUCT($C$119:$C$138,H$119:H$138)/H$139)</f>
        <v>0</v>
      </c>
      <c r="I140" s="19" t="n">
        <f aca="false">IF(ISERR(+SUMPRODUCT($C$119:$C$138,I$119:I$138)/I$139),0,+SUMPRODUCT($C$119:$C$138,I$119:I$138)/I$139)</f>
        <v>0</v>
      </c>
      <c r="J140" s="19" t="n">
        <f aca="false">IF(ISERR(+SUMPRODUCT($C$119:$C$138,J$119:J$138)/J$139),0,+SUMPRODUCT($C$119:$C$138,J$119:J$138)/J$139)</f>
        <v>0</v>
      </c>
      <c r="K140" s="19" t="n">
        <f aca="false">IF(ISERR(+SUMPRODUCT($C$119:$C$138,K$119:K$138)/K$139),0,+SUMPRODUCT($C$119:$C$138,K$119:K$138)/K$139)</f>
        <v>0</v>
      </c>
      <c r="L140" s="19" t="n">
        <f aca="false">IF(ISERR(+SUMPRODUCT($C$119:$C$138,L$119:L$138)/L$139),0,+SUMPRODUCT($C$119:$C$138,L$119:L$138)/L$139)</f>
        <v>0</v>
      </c>
      <c r="M140" s="19" t="n">
        <f aca="false">IF(ISERR(+SUMPRODUCT($C$119:$C$138,M$119:M$138)/M$139),0,+SUMPRODUCT($C$119:$C$138,M$119:M$138)/M$139)</f>
        <v>0</v>
      </c>
    </row>
    <row collapsed="false" customFormat="false" customHeight="false" hidden="true" ht="14" outlineLevel="1" r="141">
      <c r="E141" s="18"/>
      <c r="G141" s="63" t="inlineStr">
        <f aca="false">+G148-G140</f>
        <is>
          <t/>
        </is>
      </c>
      <c r="H141" s="63" t="inlineStr">
        <f aca="false">+H148-H140</f>
        <is>
          <t/>
        </is>
      </c>
      <c r="I141" s="63" t="inlineStr">
        <f aca="false">+I148-I140</f>
        <is>
          <t/>
        </is>
      </c>
      <c r="J141" s="63" t="inlineStr">
        <f aca="false">+J148-J140</f>
        <is>
          <t/>
        </is>
      </c>
      <c r="K141" s="63" t="inlineStr">
        <f aca="false">+K148-K140</f>
        <is>
          <t/>
        </is>
      </c>
      <c r="L141" s="63" t="inlineStr">
        <f aca="false">+L148-L140</f>
        <is>
          <t/>
        </is>
      </c>
      <c r="M141" s="63" t="inlineStr">
        <f aca="false">+M148-M140</f>
        <is>
          <t/>
        </is>
      </c>
    </row>
    <row collapsed="false" customFormat="false" customHeight="false" hidden="true" ht="14" outlineLevel="1" r="142">
      <c r="B142" s="0" t="s">
        <v>68</v>
      </c>
      <c r="D142" s="61" t="inlineStr">
        <f aca="false">+MAX(F8:F27,G36:L36)</f>
        <is>
          <t/>
        </is>
      </c>
      <c r="E142" s="18"/>
      <c r="G142" s="19"/>
      <c r="H142" s="19"/>
      <c r="I142" s="19"/>
      <c r="J142" s="19"/>
      <c r="K142" s="19"/>
      <c r="L142" s="19"/>
      <c r="M142" s="19"/>
    </row>
    <row collapsed="false" customFormat="false" customHeight="false" hidden="true" ht="14" outlineLevel="1" r="143">
      <c r="B143" s="0" t="s">
        <v>69</v>
      </c>
      <c r="D143" s="64" t="inlineStr">
        <f aca="false">+M67</f>
        <is>
          <t/>
        </is>
      </c>
      <c r="E143" s="18"/>
      <c r="G143" s="19"/>
      <c r="H143" s="19"/>
      <c r="I143" s="19"/>
      <c r="J143" s="19"/>
      <c r="K143" s="19"/>
      <c r="L143" s="19"/>
      <c r="M143" s="19"/>
    </row>
    <row collapsed="false" customFormat="false" customHeight="false" hidden="true" ht="14" outlineLevel="1" r="144">
      <c r="B144" s="0" t="s">
        <v>70</v>
      </c>
      <c r="D144" s="65" t="inlineStr">
        <f aca="false">+D142-D143</f>
        <is>
          <t/>
        </is>
      </c>
      <c r="E144" s="18"/>
      <c r="G144" s="19"/>
      <c r="H144" s="19"/>
      <c r="I144" s="19"/>
      <c r="J144" s="19"/>
      <c r="K144" s="19"/>
      <c r="L144" s="19"/>
      <c r="M144" s="19"/>
    </row>
    <row collapsed="false" customFormat="false" customHeight="false" hidden="true" ht="14" outlineLevel="1" r="145">
      <c r="B145" s="0" t="s">
        <v>71</v>
      </c>
      <c r="E145" s="66"/>
      <c r="G145" s="19" t="n">
        <f aca="false">+(1-G66)*$D$144</f>
        <v>0</v>
      </c>
      <c r="H145" s="19" t="n">
        <f aca="false">+(1-H66)*$D$144</f>
        <v>0</v>
      </c>
      <c r="I145" s="19" t="n">
        <f aca="false">+(1-I66)*$D$144</f>
        <v>0</v>
      </c>
      <c r="J145" s="19" t="n">
        <f aca="false">+(1-J66)*$D$144</f>
        <v>0.00112311420618999</v>
      </c>
      <c r="K145" s="19" t="n">
        <f aca="false">+(1-K66)*$D$144</f>
        <v>0.00157235988866599</v>
      </c>
      <c r="L145" s="19" t="n">
        <f aca="false">+(1-L66)*$D$144</f>
        <v>0.00179698272990399</v>
      </c>
    </row>
    <row collapsed="false" customFormat="false" customHeight="false" hidden="true" ht="14" outlineLevel="1" r="146">
      <c r="E146" s="18"/>
      <c r="G146" s="19" t="inlineStr">
        <f aca="false">+IF(G65&gt;0,IF(G140&lt;G67,G140+G145,G140),G140+G145)</f>
        <is>
          <t/>
        </is>
      </c>
      <c r="H146" s="19" t="inlineStr">
        <f aca="false">+IF(H65&gt;0,IF(H140&lt;H67,H140+H145,H140),H140+H145)</f>
        <is>
          <t/>
        </is>
      </c>
      <c r="I146" s="19" t="inlineStr">
        <f aca="false">+IF(I65&gt;0,IF(I140&lt;I67,I140+I145,I140),I140+I145)</f>
        <is>
          <t/>
        </is>
      </c>
      <c r="J146" s="19" t="inlineStr">
        <f aca="false">+IF(J65&gt;0,IF(J140&lt;J67,J140+J145,J140),J140+J145)</f>
        <is>
          <t/>
        </is>
      </c>
      <c r="K146" s="19" t="inlineStr">
        <f aca="false">+IF(K65&gt;0,IF(K140&lt;K67,K140+K145,K140),K140+K145)</f>
        <is>
          <t/>
        </is>
      </c>
      <c r="L146" s="19" t="inlineStr">
        <f aca="false">+IF(L65&gt;0,IF(L140&lt;L67,L140+L145,L140),L140+L145)</f>
        <is>
          <t/>
        </is>
      </c>
    </row>
    <row collapsed="false" customFormat="false" customHeight="false" hidden="false" ht="14" outlineLevel="0" r="147">
      <c r="D147" s="20" t="s">
        <v>72</v>
      </c>
      <c r="E147" s="21"/>
      <c r="F147" s="21"/>
      <c r="G147" s="22" t="n">
        <f aca="false">+G139</f>
        <v>0</v>
      </c>
      <c r="H147" s="22" t="n">
        <f aca="false">+H139</f>
        <v>0</v>
      </c>
      <c r="I147" s="22" t="n">
        <f aca="false">+I139</f>
        <v>0</v>
      </c>
      <c r="J147" s="22" t="n">
        <f aca="false">+J139</f>
        <v>0</v>
      </c>
      <c r="K147" s="22" t="n">
        <f aca="false">+K139</f>
        <v>0</v>
      </c>
      <c r="L147" s="22" t="n">
        <f aca="false">+L139</f>
        <v>0</v>
      </c>
      <c r="M147" s="23" t="n">
        <f aca="false">+M139</f>
        <v>0</v>
      </c>
    </row>
    <row collapsed="false" customFormat="false" customHeight="false" hidden="false" ht="14" outlineLevel="0" r="148">
      <c r="D148" s="24" t="s">
        <v>39</v>
      </c>
      <c r="E148" s="25"/>
      <c r="F148" s="25"/>
      <c r="G148" s="67" t="inlineStr">
        <f aca="false">+G146</f>
        <is>
          <t/>
        </is>
      </c>
      <c r="H148" s="67" t="inlineStr">
        <f aca="false">+H146</f>
        <is>
          <t/>
        </is>
      </c>
      <c r="I148" s="67" t="inlineStr">
        <f aca="false">+I146</f>
        <is>
          <t/>
        </is>
      </c>
      <c r="J148" s="67" t="inlineStr">
        <f aca="false">+J146</f>
        <is>
          <t/>
        </is>
      </c>
      <c r="K148" s="67" t="inlineStr">
        <f aca="false">+K146</f>
        <is>
          <t/>
        </is>
      </c>
      <c r="L148" s="67" t="inlineStr">
        <f aca="false">+L146</f>
        <is>
          <t/>
        </is>
      </c>
      <c r="M148" s="27" t="n">
        <f aca="false">+IF(M147=0,0,SUMPRODUCT(G147:L147,G148:L148/M147))</f>
        <v>0</v>
      </c>
    </row>
    <row collapsed="false" customFormat="false" customHeight="false" hidden="false" ht="14" outlineLevel="0" r="149">
      <c r="E149" s="18"/>
    </row>
    <row collapsed="false" customFormat="false" customHeight="false" hidden="false" ht="14" outlineLevel="0" r="150">
      <c r="E150" s="18"/>
    </row>
    <row collapsed="false" customFormat="false" customHeight="false" hidden="false" ht="14" outlineLevel="0" r="151">
      <c r="D151" s="33" t="s">
        <v>47</v>
      </c>
      <c r="E151" s="34"/>
      <c r="F151" s="34"/>
      <c r="G151" s="35" t="n">
        <f aca="false">+G65+G139</f>
        <v>318725</v>
      </c>
      <c r="H151" s="35" t="n">
        <f aca="false">+H65+H139</f>
        <v>375685</v>
      </c>
      <c r="I151" s="35" t="n">
        <f aca="false">+I65+I139</f>
        <v>479875</v>
      </c>
      <c r="J151" s="35" t="n">
        <f aca="false">+J65+J139</f>
        <v>262700</v>
      </c>
      <c r="K151" s="35" t="n">
        <f aca="false">+K65+K139</f>
        <v>154627.5</v>
      </c>
      <c r="L151" s="35" t="n">
        <f aca="false">+L65+L139</f>
        <v>97000</v>
      </c>
      <c r="M151" s="36" t="n">
        <f aca="false">+M65+M139</f>
        <v>1688612.5</v>
      </c>
    </row>
    <row collapsed="false" customFormat="false" customHeight="false" hidden="false" ht="14" outlineLevel="0" r="152">
      <c r="D152" s="41" t="s">
        <v>39</v>
      </c>
      <c r="E152" s="42"/>
      <c r="F152" s="42"/>
      <c r="G152" s="43" t="n">
        <f aca="false">+IF(ISERR(+IF(ISERR(G67),G146,((G139*G146)+(G65*G67))/G151)),0,+IF(ISERR(G67),G146,((G139*G146)+(G65*G67))/G151))</f>
        <v>0.024625</v>
      </c>
      <c r="H152" s="43" t="n">
        <f aca="false">+IF(ISERR(+IF(ISERR(H67),H146,((H139*H146)+(H65*H67))/H151)),0,+IF(ISERR(H67),H146,((H139*H146)+(H65*H67))/H151))</f>
        <v>0.02375</v>
      </c>
      <c r="I152" s="43" t="n">
        <f aca="false">+IF(ISERR(+IF(ISERR(I67),I146,((I139*I146)+(I65*I67))/I151)),0,+IF(ISERR(I67),I146,((I139*I146)+(I65*I67))/I151))</f>
        <v>0.0275</v>
      </c>
      <c r="J152" s="43" t="n">
        <f aca="false">+IF(ISERR(+IF(ISERR(J67),J146,((J139*J146)+(J65*J67))/J151)),0,+IF(ISERR(J67),J146,((J139*J146)+(J65*J67))/J151))</f>
        <v>0.02875</v>
      </c>
      <c r="K152" s="43" t="n">
        <f aca="false">+IF(ISERR(+IF(ISERR(K67),K146,((K139*K146)+(K65*K67))/K151)),0,+IF(ISERR(K67),K146,((K139*K146)+(K65*K67))/K151))</f>
        <v>0.02875</v>
      </c>
      <c r="L152" s="43" t="n">
        <f aca="false">+IF(ISERR(+IF(ISERR(L67),L146,((L139*L146)+(L65*L67))/L151)),0,+IF(ISERR(L67),L146,((L139*L146)+(L65*L67))/L151))</f>
        <v>0.02875</v>
      </c>
      <c r="M152" s="44" t="n">
        <f aca="false">+SUMPRODUCT(G151:L151,G152:L152)/M151</f>
        <v>0.02650377158762</v>
      </c>
    </row>
    <row collapsed="false" customFormat="false" customHeight="false" hidden="false" ht="14" outlineLevel="0" r="153">
      <c r="E153" s="18"/>
    </row>
    <row collapsed="false" customFormat="false" customHeight="false" hidden="false" ht="14" outlineLevel="0" r="154">
      <c r="D154" s="0" t="s">
        <v>40</v>
      </c>
      <c r="G154" s="14" t="n">
        <f aca="false">+G4-G151</f>
        <v>0</v>
      </c>
      <c r="H154" s="14" t="n">
        <f aca="false">+H4-H151</f>
        <v>0</v>
      </c>
      <c r="I154" s="14" t="n">
        <f aca="false">+I4-I151</f>
        <v>0</v>
      </c>
      <c r="J154" s="14" t="n">
        <f aca="false">+J4-J151</f>
        <v>262700</v>
      </c>
      <c r="K154" s="14" t="n">
        <f aca="false">+K4-K151</f>
        <v>360797.5</v>
      </c>
      <c r="L154" s="14" t="n">
        <f aca="false">+L4-L151</f>
        <v>388000</v>
      </c>
      <c r="M154" s="14" t="n">
        <f aca="false">+M4-M151</f>
        <v>1011497.5</v>
      </c>
    </row>
    <row collapsed="false" customFormat="false" customHeight="false" hidden="false" ht="14" outlineLevel="0" r="155">
      <c r="D155" s="0" t="s">
        <v>41</v>
      </c>
      <c r="G155" s="28" t="str">
        <f aca="false">+IF(G154=0,"NA",IF(G154&lt;0,"OVER","UNDER"))</f>
        <v>NA</v>
      </c>
      <c r="H155" s="28" t="str">
        <f aca="false">+IF(H154=0,"NA",IF(H154&lt;0,"OVER","UNDER"))</f>
        <v>NA</v>
      </c>
      <c r="I155" s="28" t="str">
        <f aca="false">+IF(I154=0,"NA",IF(I154&lt;0,"OVER","UNDER"))</f>
        <v>NA</v>
      </c>
      <c r="J155" s="28" t="str">
        <f aca="false">+IF(J154=0,"NA",IF(J154&lt;0,"OVER","UNDER"))</f>
        <v>UNDER</v>
      </c>
      <c r="K155" s="28" t="str">
        <f aca="false">+IF(K154=0,"NA",IF(K154&lt;0,"OVER","UNDER"))</f>
        <v>UNDER</v>
      </c>
      <c r="L155" s="28" t="str">
        <f aca="false">+IF(L154=0,"NA",IF(L154&lt;0,"OVER","UNDER"))</f>
        <v>UNDER</v>
      </c>
      <c r="M155" s="28" t="str">
        <f aca="false">+IF(M154=0,"NA",IF(M154&lt;0,"OVER","UNDER"))</f>
        <v>UNDER</v>
      </c>
    </row>
    <row collapsed="false" customFormat="false" customHeight="false" hidden="false" ht="14" outlineLevel="0" r="156">
      <c r="D156" s="32"/>
      <c r="E156" s="32"/>
      <c r="F156" s="32"/>
      <c r="G156" s="19"/>
      <c r="H156" s="19"/>
      <c r="I156" s="19"/>
      <c r="J156" s="19"/>
      <c r="K156" s="19"/>
      <c r="L156" s="19"/>
      <c r="M156" s="19"/>
    </row>
    <row collapsed="false" customFormat="false" customHeight="false" hidden="false" ht="14" outlineLevel="0" r="157">
      <c r="A157" s="0" t="s">
        <v>73</v>
      </c>
      <c r="E157" s="18"/>
      <c r="M157" s="14"/>
    </row>
    <row collapsed="false" customFormat="false" customHeight="false" hidden="true" ht="28.35" outlineLevel="1" r="158">
      <c r="B158" s="15" t="s">
        <v>34</v>
      </c>
      <c r="C158" s="16" t="s">
        <v>74</v>
      </c>
      <c r="D158" s="15" t="s">
        <v>75</v>
      </c>
      <c r="E158" s="15" t="s">
        <v>76</v>
      </c>
    </row>
    <row collapsed="false" customFormat="false" customHeight="false" hidden="true" ht="14" outlineLevel="1" r="159">
      <c r="B159" s="10" t="n">
        <f aca="false">+'bid input'!B2</f>
        <v>1104134</v>
      </c>
      <c r="C159" s="18" t="str">
        <f aca="false">+IF('bid input'!R2=1,"Y","N")</f>
        <v>N</v>
      </c>
      <c r="D159" s="14" t="n">
        <f aca="false">+IF(C159="Y",+'bid input'!M2,0)</f>
        <v>0</v>
      </c>
      <c r="E159" s="18" t="n">
        <f aca="false">+D159*$D$181</f>
        <v>0</v>
      </c>
      <c r="G159" s="50" t="n">
        <f aca="false">+IF(ISERR(+$E159/$E$179*G$154),0,+$E159/$E$179*G$154)</f>
        <v>0</v>
      </c>
      <c r="H159" s="50" t="n">
        <f aca="false">+IF(ISERR(+$E159/$E$179*H$154),0,+$E159/$E$179*H$154)</f>
        <v>0</v>
      </c>
      <c r="I159" s="50" t="n">
        <f aca="false">+IF(ISERR(+$E159/$E$179*I$154),0,+$E159/$E$179*I$154)</f>
        <v>0</v>
      </c>
      <c r="J159" s="50" t="n">
        <f aca="false">+IF(ISERR(+$E159/$E$179*J$154),0,+$E159/$E$179*J$154)</f>
        <v>0</v>
      </c>
      <c r="K159" s="50" t="n">
        <f aca="false">+IF(ISERR(+$E159/$E$179*K$154),0,+$E159/$E$179*K$154)</f>
        <v>0</v>
      </c>
      <c r="L159" s="50" t="n">
        <f aca="false">+IF(ISERR(+$E159/$E$179*L$154),0,+$E159/$E$179*L$154)</f>
        <v>0</v>
      </c>
      <c r="M159" s="14" t="n">
        <f aca="false">IF(ISERR(SUM(G159:L159)),0,SUM(G159:L159))</f>
        <v>0</v>
      </c>
    </row>
    <row collapsed="false" customFormat="false" customHeight="false" hidden="true" ht="14" outlineLevel="1" r="160">
      <c r="B160" s="10" t="n">
        <f aca="false">+'bid input'!B3</f>
        <v>1104143</v>
      </c>
      <c r="C160" s="18" t="str">
        <f aca="false">+IF('bid input'!R3=1,"Y","N")</f>
        <v>N</v>
      </c>
      <c r="D160" s="14" t="n">
        <f aca="false">+IF(C160="Y",+'bid input'!M3,0)</f>
        <v>0</v>
      </c>
      <c r="E160" s="18" t="n">
        <f aca="false">+D160*$D$181</f>
        <v>0</v>
      </c>
      <c r="G160" s="50" t="n">
        <f aca="false">+IF(ISERR(+$E160/$E$179*G$154),0,+$E160/$E$179*G$154)</f>
        <v>0</v>
      </c>
      <c r="H160" s="50" t="n">
        <f aca="false">+IF(ISERR(+$E160/$E$179*H$154),0,+$E160/$E$179*H$154)</f>
        <v>0</v>
      </c>
      <c r="I160" s="50" t="n">
        <f aca="false">+IF(ISERR(+$E160/$E$179*I$154),0,+$E160/$E$179*I$154)</f>
        <v>0</v>
      </c>
      <c r="J160" s="50" t="n">
        <f aca="false">+IF(ISERR(+$E160/$E$179*J$154),0,+$E160/$E$179*J$154)</f>
        <v>0</v>
      </c>
      <c r="K160" s="50" t="n">
        <f aca="false">+IF(ISERR(+$E160/$E$179*K$154),0,+$E160/$E$179*K$154)</f>
        <v>0</v>
      </c>
      <c r="L160" s="50" t="n">
        <f aca="false">+IF(ISERR(+$E160/$E$179*L$154),0,+$E160/$E$179*L$154)</f>
        <v>0</v>
      </c>
      <c r="M160" s="14" t="n">
        <f aca="false">IF(ISERR(SUM(G160:L160)),0,SUM(G160:L160))</f>
        <v>0</v>
      </c>
    </row>
    <row collapsed="false" customFormat="false" customHeight="false" hidden="true" ht="14" outlineLevel="1" r="161">
      <c r="B161" s="10" t="n">
        <f aca="false">+'bid input'!B4</f>
        <v>1104154</v>
      </c>
      <c r="C161" s="18" t="str">
        <f aca="false">+IF('bid input'!R4=1,"Y","N")</f>
        <v>N</v>
      </c>
      <c r="D161" s="14" t="n">
        <f aca="false">+IF(C161="Y",+'bid input'!M4,0)</f>
        <v>0</v>
      </c>
      <c r="E161" s="18" t="n">
        <f aca="false">+D161*$D$181</f>
        <v>0</v>
      </c>
      <c r="G161" s="50" t="n">
        <f aca="false">+IF(ISERR(+$E161/$E$179*G$154),0,+$E161/$E$179*G$154)</f>
        <v>0</v>
      </c>
      <c r="H161" s="50" t="n">
        <f aca="false">+IF(ISERR(+$E161/$E$179*H$154),0,+$E161/$E$179*H$154)</f>
        <v>0</v>
      </c>
      <c r="I161" s="50" t="n">
        <f aca="false">+IF(ISERR(+$E161/$E$179*I$154),0,+$E161/$E$179*I$154)</f>
        <v>0</v>
      </c>
      <c r="J161" s="50" t="n">
        <f aca="false">+IF(ISERR(+$E161/$E$179*J$154),0,+$E161/$E$179*J$154)</f>
        <v>0</v>
      </c>
      <c r="K161" s="50" t="n">
        <f aca="false">+IF(ISERR(+$E161/$E$179*K$154),0,+$E161/$E$179*K$154)</f>
        <v>0</v>
      </c>
      <c r="L161" s="50" t="n">
        <f aca="false">+IF(ISERR(+$E161/$E$179*L$154),0,+$E161/$E$179*L$154)</f>
        <v>0</v>
      </c>
      <c r="M161" s="14" t="n">
        <f aca="false">IF(ISERR(SUM(G161:L161)),0,SUM(G161:L161))</f>
        <v>0</v>
      </c>
    </row>
    <row collapsed="false" customFormat="false" customHeight="false" hidden="true" ht="14" outlineLevel="1" r="162">
      <c r="B162" s="10" t="n">
        <f aca="false">+'bid input'!B5</f>
        <v>1104152</v>
      </c>
      <c r="C162" s="18" t="str">
        <f aca="false">+IF('bid input'!R5=1,"Y","N")</f>
        <v>N</v>
      </c>
      <c r="D162" s="14" t="n">
        <f aca="false">+IF(C162="Y",+'bid input'!M5,0)</f>
        <v>0</v>
      </c>
      <c r="E162" s="18" t="n">
        <f aca="false">+D162*$D$181</f>
        <v>0</v>
      </c>
      <c r="G162" s="50" t="n">
        <f aca="false">+IF(ISERR(+$E162/$E$179*G$154),0,+$E162/$E$179*G$154)</f>
        <v>0</v>
      </c>
      <c r="H162" s="50" t="n">
        <f aca="false">+IF(ISERR(+$E162/$E$179*H$154),0,+$E162/$E$179*H$154)</f>
        <v>0</v>
      </c>
      <c r="I162" s="50" t="n">
        <f aca="false">+IF(ISERR(+$E162/$E$179*I$154),0,+$E162/$E$179*I$154)</f>
        <v>0</v>
      </c>
      <c r="J162" s="50" t="n">
        <f aca="false">+IF(ISERR(+$E162/$E$179*J$154),0,+$E162/$E$179*J$154)</f>
        <v>0</v>
      </c>
      <c r="K162" s="50" t="n">
        <f aca="false">+IF(ISERR(+$E162/$E$179*K$154),0,+$E162/$E$179*K$154)</f>
        <v>0</v>
      </c>
      <c r="L162" s="50" t="n">
        <f aca="false">+IF(ISERR(+$E162/$E$179*L$154),0,+$E162/$E$179*L$154)</f>
        <v>0</v>
      </c>
      <c r="M162" s="14" t="n">
        <f aca="false">IF(ISERR(SUM(G162:L162)),0,SUM(G162:L162))</f>
        <v>0</v>
      </c>
    </row>
    <row collapsed="false" customFormat="false" customHeight="false" hidden="true" ht="14" outlineLevel="1" r="163">
      <c r="B163" s="10" t="n">
        <f aca="false">+'bid input'!B6</f>
        <v>1104136</v>
      </c>
      <c r="C163" s="18" t="str">
        <f aca="false">+IF('bid input'!R6=1,"Y","N")</f>
        <v>N</v>
      </c>
      <c r="D163" s="14" t="n">
        <f aca="false">+IF(C163="Y",+'bid input'!M6,0)</f>
        <v>0</v>
      </c>
      <c r="E163" s="18" t="n">
        <f aca="false">+D163*$D$181</f>
        <v>0</v>
      </c>
      <c r="G163" s="50" t="n">
        <f aca="false">+IF(ISERR(+$E163/$E$179*G$154),0,+$E163/$E$179*G$154)</f>
        <v>0</v>
      </c>
      <c r="H163" s="50" t="n">
        <f aca="false">+IF(ISERR(+$E163/$E$179*H$154),0,+$E163/$E$179*H$154)</f>
        <v>0</v>
      </c>
      <c r="I163" s="50" t="n">
        <f aca="false">+IF(ISERR(+$E163/$E$179*I$154),0,+$E163/$E$179*I$154)</f>
        <v>0</v>
      </c>
      <c r="J163" s="50" t="n">
        <f aca="false">+IF(ISERR(+$E163/$E$179*J$154),0,+$E163/$E$179*J$154)</f>
        <v>0</v>
      </c>
      <c r="K163" s="50" t="n">
        <f aca="false">+IF(ISERR(+$E163/$E$179*K$154),0,+$E163/$E$179*K$154)</f>
        <v>0</v>
      </c>
      <c r="L163" s="50" t="n">
        <f aca="false">+IF(ISERR(+$E163/$E$179*L$154),0,+$E163/$E$179*L$154)</f>
        <v>0</v>
      </c>
      <c r="M163" s="14" t="n">
        <f aca="false">IF(ISERR(SUM(G163:L163)),0,SUM(G163:L163))</f>
        <v>0</v>
      </c>
    </row>
    <row collapsed="false" customFormat="false" customHeight="false" hidden="true" ht="14" outlineLevel="1" r="164">
      <c r="B164" s="10" t="n">
        <f aca="false">+'bid input'!B7</f>
        <v>1104138</v>
      </c>
      <c r="C164" s="18" t="str">
        <f aca="false">+IF('bid input'!R7=1,"Y","N")</f>
        <v>N</v>
      </c>
      <c r="D164" s="14" t="n">
        <f aca="false">+IF(C164="Y",+'bid input'!M7,0)</f>
        <v>0</v>
      </c>
      <c r="E164" s="18" t="n">
        <f aca="false">+D164*$D$181</f>
        <v>0</v>
      </c>
      <c r="G164" s="50" t="n">
        <f aca="false">+IF(ISERR(+$E164/$E$179*G$154),0,+$E164/$E$179*G$154)</f>
        <v>0</v>
      </c>
      <c r="H164" s="50" t="n">
        <f aca="false">+IF(ISERR(+$E164/$E$179*H$154),0,+$E164/$E$179*H$154)</f>
        <v>0</v>
      </c>
      <c r="I164" s="50" t="n">
        <f aca="false">+IF(ISERR(+$E164/$E$179*I$154),0,+$E164/$E$179*I$154)</f>
        <v>0</v>
      </c>
      <c r="J164" s="50" t="n">
        <f aca="false">+IF(ISERR(+$E164/$E$179*J$154),0,+$E164/$E$179*J$154)</f>
        <v>0</v>
      </c>
      <c r="K164" s="50" t="n">
        <f aca="false">+IF(ISERR(+$E164/$E$179*K$154),0,+$E164/$E$179*K$154)</f>
        <v>0</v>
      </c>
      <c r="L164" s="50" t="n">
        <f aca="false">+IF(ISERR(+$E164/$E$179*L$154),0,+$E164/$E$179*L$154)</f>
        <v>0</v>
      </c>
      <c r="M164" s="14" t="n">
        <f aca="false">IF(ISERR(SUM(G164:L164)),0,SUM(G164:L164))</f>
        <v>0</v>
      </c>
    </row>
    <row collapsed="false" customFormat="false" customHeight="false" hidden="true" ht="14" outlineLevel="1" r="165">
      <c r="B165" s="10" t="n">
        <f aca="false">+'bid input'!B8</f>
        <v>1104139</v>
      </c>
      <c r="C165" s="18" t="str">
        <f aca="false">+IF('bid input'!R8=1,"Y","N")</f>
        <v>N</v>
      </c>
      <c r="D165" s="14" t="n">
        <f aca="false">+IF(C165="Y",+'bid input'!M8,0)</f>
        <v>0</v>
      </c>
      <c r="E165" s="18" t="n">
        <f aca="false">+D165*$D$181</f>
        <v>0</v>
      </c>
      <c r="G165" s="50" t="n">
        <f aca="false">+IF(ISERR(+$E165/$E$179*G$154),0,+$E165/$E$179*G$154)</f>
        <v>0</v>
      </c>
      <c r="H165" s="50" t="n">
        <f aca="false">+IF(ISERR(+$E165/$E$179*H$154),0,+$E165/$E$179*H$154)</f>
        <v>0</v>
      </c>
      <c r="I165" s="50" t="n">
        <f aca="false">+IF(ISERR(+$E165/$E$179*I$154),0,+$E165/$E$179*I$154)</f>
        <v>0</v>
      </c>
      <c r="J165" s="50" t="n">
        <f aca="false">+IF(ISERR(+$E165/$E$179*J$154),0,+$E165/$E$179*J$154)</f>
        <v>0</v>
      </c>
      <c r="K165" s="50" t="n">
        <f aca="false">+IF(ISERR(+$E165/$E$179*K$154),0,+$E165/$E$179*K$154)</f>
        <v>0</v>
      </c>
      <c r="L165" s="50" t="n">
        <f aca="false">+IF(ISERR(+$E165/$E$179*L$154),0,+$E165/$E$179*L$154)</f>
        <v>0</v>
      </c>
      <c r="M165" s="14" t="n">
        <f aca="false">IF(ISERR(SUM(G165:L165)),0,SUM(G165:L165))</f>
        <v>0</v>
      </c>
    </row>
    <row collapsed="false" customFormat="false" customHeight="false" hidden="true" ht="14" outlineLevel="1" r="166">
      <c r="B166" s="10" t="n">
        <f aca="false">+'bid input'!B9</f>
        <v>1104140</v>
      </c>
      <c r="C166" s="18" t="str">
        <f aca="false">+IF('bid input'!R9=1,"Y","N")</f>
        <v>N</v>
      </c>
      <c r="D166" s="14" t="n">
        <f aca="false">+IF(C166="Y",+'bid input'!M9,0)</f>
        <v>0</v>
      </c>
      <c r="E166" s="18" t="n">
        <f aca="false">+D166*$D$181</f>
        <v>0</v>
      </c>
      <c r="G166" s="50" t="n">
        <f aca="false">+IF(ISERR(+$E166/$E$179*G$154),0,+$E166/$E$179*G$154)</f>
        <v>0</v>
      </c>
      <c r="H166" s="50" t="n">
        <f aca="false">+IF(ISERR(+$E166/$E$179*H$154),0,+$E166/$E$179*H$154)</f>
        <v>0</v>
      </c>
      <c r="I166" s="50" t="n">
        <f aca="false">+IF(ISERR(+$E166/$E$179*I$154),0,+$E166/$E$179*I$154)</f>
        <v>0</v>
      </c>
      <c r="J166" s="50" t="n">
        <f aca="false">+IF(ISERR(+$E166/$E$179*J$154),0,+$E166/$E$179*J$154)</f>
        <v>0</v>
      </c>
      <c r="K166" s="50" t="n">
        <f aca="false">+IF(ISERR(+$E166/$E$179*K$154),0,+$E166/$E$179*K$154)</f>
        <v>0</v>
      </c>
      <c r="L166" s="50" t="n">
        <f aca="false">+IF(ISERR(+$E166/$E$179*L$154),0,+$E166/$E$179*L$154)</f>
        <v>0</v>
      </c>
      <c r="M166" s="14" t="n">
        <f aca="false">IF(ISERR(SUM(G166:L166)),0,SUM(G166:L166))</f>
        <v>0</v>
      </c>
    </row>
    <row collapsed="false" customFormat="false" customHeight="false" hidden="true" ht="14" outlineLevel="1" r="167">
      <c r="B167" s="10" t="n">
        <f aca="false">+'bid input'!B10</f>
        <v>1104141</v>
      </c>
      <c r="C167" s="18" t="str">
        <f aca="false">+IF('bid input'!R10=1,"Y","N")</f>
        <v>N</v>
      </c>
      <c r="D167" s="14" t="n">
        <f aca="false">+IF(C167="Y",+'bid input'!M10,0)</f>
        <v>0</v>
      </c>
      <c r="E167" s="18" t="n">
        <f aca="false">+D167*$D$181</f>
        <v>0</v>
      </c>
      <c r="G167" s="50" t="n">
        <f aca="false">+IF(ISERR(+$E167/$E$179*G$154),0,+$E167/$E$179*G$154)</f>
        <v>0</v>
      </c>
      <c r="H167" s="50" t="n">
        <f aca="false">+IF(ISERR(+$E167/$E$179*H$154),0,+$E167/$E$179*H$154)</f>
        <v>0</v>
      </c>
      <c r="I167" s="50" t="n">
        <f aca="false">+IF(ISERR(+$E167/$E$179*I$154),0,+$E167/$E$179*I$154)</f>
        <v>0</v>
      </c>
      <c r="J167" s="50" t="n">
        <f aca="false">+IF(ISERR(+$E167/$E$179*J$154),0,+$E167/$E$179*J$154)</f>
        <v>0</v>
      </c>
      <c r="K167" s="50" t="n">
        <f aca="false">+IF(ISERR(+$E167/$E$179*K$154),0,+$E167/$E$179*K$154)</f>
        <v>0</v>
      </c>
      <c r="L167" s="50" t="n">
        <f aca="false">+IF(ISERR(+$E167/$E$179*L$154),0,+$E167/$E$179*L$154)</f>
        <v>0</v>
      </c>
      <c r="M167" s="14" t="n">
        <f aca="false">IF(ISERR(SUM(G167:L167)),0,SUM(G167:L167))</f>
        <v>0</v>
      </c>
    </row>
    <row collapsed="false" customFormat="false" customHeight="false" hidden="true" ht="14" outlineLevel="1" r="168">
      <c r="B168" s="10" t="n">
        <f aca="false">+'bid input'!B11</f>
        <v>1104159</v>
      </c>
      <c r="C168" s="18" t="str">
        <f aca="false">+IF('bid input'!R11=1,"Y","N")</f>
        <v>N</v>
      </c>
      <c r="D168" s="14" t="n">
        <f aca="false">+IF(C168="Y",+'bid input'!M11,0)</f>
        <v>0</v>
      </c>
      <c r="E168" s="18" t="n">
        <f aca="false">+D168*$D$181</f>
        <v>0</v>
      </c>
      <c r="G168" s="50" t="n">
        <f aca="false">+IF(ISERR(+$E168/$E$179*G$154),0,+$E168/$E$179*G$154)</f>
        <v>0</v>
      </c>
      <c r="H168" s="50" t="n">
        <f aca="false">+IF(ISERR(+$E168/$E$179*H$154),0,+$E168/$E$179*H$154)</f>
        <v>0</v>
      </c>
      <c r="I168" s="50" t="n">
        <f aca="false">+IF(ISERR(+$E168/$E$179*I$154),0,+$E168/$E$179*I$154)</f>
        <v>0</v>
      </c>
      <c r="J168" s="50" t="n">
        <f aca="false">+IF(ISERR(+$E168/$E$179*J$154),0,+$E168/$E$179*J$154)</f>
        <v>0</v>
      </c>
      <c r="K168" s="50" t="n">
        <f aca="false">+IF(ISERR(+$E168/$E$179*K$154),0,+$E168/$E$179*K$154)</f>
        <v>0</v>
      </c>
      <c r="L168" s="50" t="n">
        <f aca="false">+IF(ISERR(+$E168/$E$179*L$154),0,+$E168/$E$179*L$154)</f>
        <v>0</v>
      </c>
      <c r="M168" s="14" t="n">
        <f aca="false">IF(ISERR(SUM(G168:L168)),0,SUM(G168:L168))</f>
        <v>0</v>
      </c>
    </row>
    <row collapsed="false" customFormat="false" customHeight="false" hidden="true" ht="14" outlineLevel="1" r="169">
      <c r="B169" s="10" t="n">
        <f aca="false">+'bid input'!B12</f>
        <v>1104161</v>
      </c>
      <c r="C169" s="18" t="str">
        <f aca="false">+IF('bid input'!R12=1,"Y","N")</f>
        <v>N</v>
      </c>
      <c r="D169" s="14" t="n">
        <f aca="false">+IF(C169="Y",+'bid input'!M12,0)</f>
        <v>0</v>
      </c>
      <c r="E169" s="18" t="n">
        <f aca="false">+D169*$D$181</f>
        <v>0</v>
      </c>
      <c r="G169" s="50" t="n">
        <f aca="false">+IF(ISERR(+$E169/$E$179*G$154),0,+$E169/$E$179*G$154)</f>
        <v>0</v>
      </c>
      <c r="H169" s="50" t="n">
        <f aca="false">+IF(ISERR(+$E169/$E$179*H$154),0,+$E169/$E$179*H$154)</f>
        <v>0</v>
      </c>
      <c r="I169" s="50" t="n">
        <f aca="false">+IF(ISERR(+$E169/$E$179*I$154),0,+$E169/$E$179*I$154)</f>
        <v>0</v>
      </c>
      <c r="J169" s="50" t="n">
        <f aca="false">+IF(ISERR(+$E169/$E$179*J$154),0,+$E169/$E$179*J$154)</f>
        <v>0</v>
      </c>
      <c r="K169" s="50" t="n">
        <f aca="false">+IF(ISERR(+$E169/$E$179*K$154),0,+$E169/$E$179*K$154)</f>
        <v>0</v>
      </c>
      <c r="L169" s="50" t="n">
        <f aca="false">+IF(ISERR(+$E169/$E$179*L$154),0,+$E169/$E$179*L$154)</f>
        <v>0</v>
      </c>
      <c r="M169" s="14" t="n">
        <f aca="false">IF(ISERR(SUM(G169:L169)),0,SUM(G169:L169))</f>
        <v>0</v>
      </c>
    </row>
    <row collapsed="false" customFormat="false" customHeight="false" hidden="true" ht="14" outlineLevel="1" r="170">
      <c r="B170" s="10" t="n">
        <f aca="false">+'bid input'!B13</f>
        <v>1104145</v>
      </c>
      <c r="C170" s="18" t="str">
        <f aca="false">+IF('bid input'!R13=1,"Y","N")</f>
        <v>N</v>
      </c>
      <c r="D170" s="14" t="n">
        <f aca="false">+IF(C170="Y",+'bid input'!M13,0)</f>
        <v>0</v>
      </c>
      <c r="E170" s="18" t="n">
        <f aca="false">+D170*$D$181</f>
        <v>0</v>
      </c>
      <c r="G170" s="50" t="n">
        <f aca="false">+IF(ISERR(+$E170/$E$179*G$154),0,+$E170/$E$179*G$154)</f>
        <v>0</v>
      </c>
      <c r="H170" s="50" t="n">
        <f aca="false">+IF(ISERR(+$E170/$E$179*H$154),0,+$E170/$E$179*H$154)</f>
        <v>0</v>
      </c>
      <c r="I170" s="50" t="n">
        <f aca="false">+IF(ISERR(+$E170/$E$179*I$154),0,+$E170/$E$179*I$154)</f>
        <v>0</v>
      </c>
      <c r="J170" s="50" t="n">
        <f aca="false">+IF(ISERR(+$E170/$E$179*J$154),0,+$E170/$E$179*J$154)</f>
        <v>0</v>
      </c>
      <c r="K170" s="50" t="n">
        <f aca="false">+IF(ISERR(+$E170/$E$179*K$154),0,+$E170/$E$179*K$154)</f>
        <v>0</v>
      </c>
      <c r="L170" s="50" t="n">
        <f aca="false">+IF(ISERR(+$E170/$E$179*L$154),0,+$E170/$E$179*L$154)</f>
        <v>0</v>
      </c>
      <c r="M170" s="14" t="n">
        <f aca="false">IF(ISERR(SUM(G170:L170)),0,SUM(G170:L170))</f>
        <v>0</v>
      </c>
    </row>
    <row collapsed="false" customFormat="false" customHeight="false" hidden="true" ht="14" outlineLevel="1" r="171">
      <c r="B171" s="10" t="n">
        <f aca="false">+'bid input'!B14</f>
        <v>1104133</v>
      </c>
      <c r="C171" s="18" t="str">
        <f aca="false">+IF('bid input'!R14=1,"Y","N")</f>
        <v>N</v>
      </c>
      <c r="D171" s="14" t="n">
        <f aca="false">+IF(C171="Y",+'bid input'!M14,0)</f>
        <v>0</v>
      </c>
      <c r="E171" s="18" t="n">
        <f aca="false">+D171*$D$181</f>
        <v>0</v>
      </c>
      <c r="G171" s="50" t="n">
        <f aca="false">+IF(ISERR(+$E171/$E$179*G$154),0,+$E171/$E$179*G$154)</f>
        <v>0</v>
      </c>
      <c r="H171" s="50" t="n">
        <f aca="false">+IF(ISERR(+$E171/$E$179*H$154),0,+$E171/$E$179*H$154)</f>
        <v>0</v>
      </c>
      <c r="I171" s="50" t="n">
        <f aca="false">+IF(ISERR(+$E171/$E$179*I$154),0,+$E171/$E$179*I$154)</f>
        <v>0</v>
      </c>
      <c r="J171" s="50" t="n">
        <f aca="false">+IF(ISERR(+$E171/$E$179*J$154),0,+$E171/$E$179*J$154)</f>
        <v>0</v>
      </c>
      <c r="K171" s="50" t="n">
        <f aca="false">+IF(ISERR(+$E171/$E$179*K$154),0,+$E171/$E$179*K$154)</f>
        <v>0</v>
      </c>
      <c r="L171" s="50" t="n">
        <f aca="false">+IF(ISERR(+$E171/$E$179*L$154),0,+$E171/$E$179*L$154)</f>
        <v>0</v>
      </c>
      <c r="M171" s="14" t="n">
        <f aca="false">IF(ISERR(SUM(G171:L171)),0,SUM(G171:L171))</f>
        <v>0</v>
      </c>
    </row>
    <row collapsed="false" customFormat="false" customHeight="false" hidden="true" ht="14" outlineLevel="1" r="172">
      <c r="B172" s="10" t="n">
        <f aca="false">+'bid input'!B15</f>
        <v>1104149</v>
      </c>
      <c r="C172" s="18" t="str">
        <f aca="false">+IF('bid input'!R15=1,"Y","N")</f>
        <v>N</v>
      </c>
      <c r="D172" s="14" t="n">
        <f aca="false">+IF(C172="Y",+'bid input'!M15,0)</f>
        <v>0</v>
      </c>
      <c r="E172" s="18" t="n">
        <f aca="false">+D172*$D$181</f>
        <v>0</v>
      </c>
      <c r="G172" s="50" t="n">
        <f aca="false">+IF(ISERR(+$E172/$E$179*G$154),0,+$E172/$E$179*G$154)</f>
        <v>0</v>
      </c>
      <c r="H172" s="50" t="n">
        <f aca="false">+IF(ISERR(+$E172/$E$179*H$154),0,+$E172/$E$179*H$154)</f>
        <v>0</v>
      </c>
      <c r="I172" s="50" t="n">
        <f aca="false">+IF(ISERR(+$E172/$E$179*I$154),0,+$E172/$E$179*I$154)</f>
        <v>0</v>
      </c>
      <c r="J172" s="50" t="n">
        <f aca="false">+IF(ISERR(+$E172/$E$179*J$154),0,+$E172/$E$179*J$154)</f>
        <v>0</v>
      </c>
      <c r="K172" s="50" t="n">
        <f aca="false">+IF(ISERR(+$E172/$E$179*K$154),0,+$E172/$E$179*K$154)</f>
        <v>0</v>
      </c>
      <c r="L172" s="50" t="n">
        <f aca="false">+IF(ISERR(+$E172/$E$179*L$154),0,+$E172/$E$179*L$154)</f>
        <v>0</v>
      </c>
      <c r="M172" s="14" t="n">
        <f aca="false">IF(ISERR(SUM(G172:L172)),0,SUM(G172:L172))</f>
        <v>0</v>
      </c>
    </row>
    <row collapsed="false" customFormat="false" customHeight="false" hidden="true" ht="14" outlineLevel="1" r="173">
      <c r="B173" s="10" t="n">
        <f aca="false">+'bid input'!B16</f>
        <v>1104151</v>
      </c>
      <c r="C173" s="18" t="str">
        <f aca="false">+IF('bid input'!R16=1,"Y","N")</f>
        <v>N</v>
      </c>
      <c r="D173" s="14" t="n">
        <f aca="false">+IF(C173="Y",+'bid input'!M16,0)</f>
        <v>0</v>
      </c>
      <c r="E173" s="18" t="n">
        <f aca="false">+D173*$D$181</f>
        <v>0</v>
      </c>
      <c r="G173" s="50" t="n">
        <f aca="false">+IF(ISERR(+$E173/$E$179*G$154),0,+$E173/$E$179*G$154)</f>
        <v>0</v>
      </c>
      <c r="H173" s="50" t="n">
        <f aca="false">+IF(ISERR(+$E173/$E$179*H$154),0,+$E173/$E$179*H$154)</f>
        <v>0</v>
      </c>
      <c r="I173" s="50" t="n">
        <f aca="false">+IF(ISERR(+$E173/$E$179*I$154),0,+$E173/$E$179*I$154)</f>
        <v>0</v>
      </c>
      <c r="J173" s="50" t="n">
        <f aca="false">+IF(ISERR(+$E173/$E$179*J$154),0,+$E173/$E$179*J$154)</f>
        <v>0</v>
      </c>
      <c r="K173" s="50" t="n">
        <f aca="false">+IF(ISERR(+$E173/$E$179*K$154),0,+$E173/$E$179*K$154)</f>
        <v>0</v>
      </c>
      <c r="L173" s="50" t="n">
        <f aca="false">+IF(ISERR(+$E173/$E$179*L$154),0,+$E173/$E$179*L$154)</f>
        <v>0</v>
      </c>
      <c r="M173" s="14" t="n">
        <f aca="false">IF(ISERR(SUM(G173:L173)),0,SUM(G173:L173))</f>
        <v>0</v>
      </c>
    </row>
    <row collapsed="false" customFormat="false" customHeight="false" hidden="true" ht="14" outlineLevel="1" r="174">
      <c r="B174" s="10" t="n">
        <f aca="false">+'bid input'!B17</f>
        <v>1104131</v>
      </c>
      <c r="C174" s="18" t="str">
        <f aca="false">+IF('bid input'!R17=1,"Y","N")</f>
        <v>N</v>
      </c>
      <c r="D174" s="14" t="n">
        <f aca="false">+IF(C174="Y",+'bid input'!M17,0)</f>
        <v>0</v>
      </c>
      <c r="E174" s="18" t="n">
        <f aca="false">+D174*$D$181</f>
        <v>0</v>
      </c>
      <c r="G174" s="50" t="n">
        <f aca="false">+IF(ISERR(+$E174/$E$179*G$154),0,+$E174/$E$179*G$154)</f>
        <v>0</v>
      </c>
      <c r="H174" s="50" t="n">
        <f aca="false">+IF(ISERR(+$E174/$E$179*H$154),0,+$E174/$E$179*H$154)</f>
        <v>0</v>
      </c>
      <c r="I174" s="50" t="n">
        <f aca="false">+IF(ISERR(+$E174/$E$179*I$154),0,+$E174/$E$179*I$154)</f>
        <v>0</v>
      </c>
      <c r="J174" s="50" t="n">
        <f aca="false">+IF(ISERR(+$E174/$E$179*J$154),0,+$E174/$E$179*J$154)</f>
        <v>0</v>
      </c>
      <c r="K174" s="50" t="n">
        <f aca="false">+IF(ISERR(+$E174/$E$179*K$154),0,+$E174/$E$179*K$154)</f>
        <v>0</v>
      </c>
      <c r="L174" s="50" t="n">
        <f aca="false">+IF(ISERR(+$E174/$E$179*L$154),0,+$E174/$E$179*L$154)</f>
        <v>0</v>
      </c>
      <c r="M174" s="14" t="n">
        <f aca="false">IF(ISERR(SUM(G174:L174)),0,SUM(G174:L174))</f>
        <v>0</v>
      </c>
    </row>
    <row collapsed="false" customFormat="false" customHeight="false" hidden="true" ht="14" outlineLevel="1" r="175">
      <c r="B175" s="10" t="n">
        <f aca="false">+'bid input'!B18</f>
        <v>1104155</v>
      </c>
      <c r="C175" s="18" t="str">
        <f aca="false">+IF('bid input'!R18=1,"Y","N")</f>
        <v>N</v>
      </c>
      <c r="D175" s="14" t="n">
        <f aca="false">+IF(C175="Y",+'bid input'!M18,0)</f>
        <v>0</v>
      </c>
      <c r="E175" s="18" t="n">
        <f aca="false">+D175*$D$181</f>
        <v>0</v>
      </c>
      <c r="G175" s="50" t="n">
        <f aca="false">+IF(ISERR(+$E175/$E$179*G$154),0,+$E175/$E$179*G$154)</f>
        <v>0</v>
      </c>
      <c r="H175" s="50" t="n">
        <f aca="false">+IF(ISERR(+$E175/$E$179*H$154),0,+$E175/$E$179*H$154)</f>
        <v>0</v>
      </c>
      <c r="I175" s="50" t="n">
        <f aca="false">+IF(ISERR(+$E175/$E$179*I$154),0,+$E175/$E$179*I$154)</f>
        <v>0</v>
      </c>
      <c r="J175" s="50" t="n">
        <f aca="false">+IF(ISERR(+$E175/$E$179*J$154),0,+$E175/$E$179*J$154)</f>
        <v>0</v>
      </c>
      <c r="K175" s="50" t="n">
        <f aca="false">+IF(ISERR(+$E175/$E$179*K$154),0,+$E175/$E$179*K$154)</f>
        <v>0</v>
      </c>
      <c r="L175" s="50" t="n">
        <f aca="false">+IF(ISERR(+$E175/$E$179*L$154),0,+$E175/$E$179*L$154)</f>
        <v>0</v>
      </c>
      <c r="M175" s="14" t="n">
        <f aca="false">IF(ISERR(SUM(G175:L175)),0,SUM(G175:L175))</f>
        <v>0</v>
      </c>
    </row>
    <row collapsed="false" customFormat="false" customHeight="false" hidden="true" ht="14" outlineLevel="1" r="176">
      <c r="B176" s="10" t="n">
        <f aca="false">+'bid input'!B19</f>
        <v>1104156</v>
      </c>
      <c r="C176" s="18" t="str">
        <f aca="false">+IF('bid input'!R19=1,"Y","N")</f>
        <v>N</v>
      </c>
      <c r="D176" s="14" t="n">
        <f aca="false">+IF(C176="Y",+'bid input'!M19,0)</f>
        <v>0</v>
      </c>
      <c r="E176" s="18" t="n">
        <f aca="false">+D176*$D$181</f>
        <v>0</v>
      </c>
      <c r="G176" s="50" t="n">
        <f aca="false">+IF(ISERR(+$E176/$E$179*G$154),0,+$E176/$E$179*G$154)</f>
        <v>0</v>
      </c>
      <c r="H176" s="50" t="n">
        <f aca="false">+IF(ISERR(+$E176/$E$179*H$154),0,+$E176/$E$179*H$154)</f>
        <v>0</v>
      </c>
      <c r="I176" s="50" t="n">
        <f aca="false">+IF(ISERR(+$E176/$E$179*I$154),0,+$E176/$E$179*I$154)</f>
        <v>0</v>
      </c>
      <c r="J176" s="50" t="n">
        <f aca="false">+IF(ISERR(+$E176/$E$179*J$154),0,+$E176/$E$179*J$154)</f>
        <v>0</v>
      </c>
      <c r="K176" s="50" t="n">
        <f aca="false">+IF(ISERR(+$E176/$E$179*K$154),0,+$E176/$E$179*K$154)</f>
        <v>0</v>
      </c>
      <c r="L176" s="50" t="n">
        <f aca="false">+IF(ISERR(+$E176/$E$179*L$154),0,+$E176/$E$179*L$154)</f>
        <v>0</v>
      </c>
      <c r="M176" s="14" t="n">
        <f aca="false">IF(ISERR(SUM(G176:L176)),0,SUM(G176:L176))</f>
        <v>0</v>
      </c>
    </row>
    <row collapsed="false" customFormat="false" customHeight="false" hidden="true" ht="14" outlineLevel="1" r="177">
      <c r="B177" s="10" t="n">
        <f aca="false">+'bid input'!B20</f>
        <v>1104157</v>
      </c>
      <c r="C177" s="18" t="str">
        <f aca="false">+IF('bid input'!R20=1,"Y","N")</f>
        <v>N</v>
      </c>
      <c r="D177" s="14" t="n">
        <f aca="false">+IF(C177="Y",+'bid input'!M20,0)</f>
        <v>0</v>
      </c>
      <c r="E177" s="18" t="n">
        <f aca="false">+D177*$D$181</f>
        <v>0</v>
      </c>
      <c r="G177" s="50" t="n">
        <f aca="false">+IF(ISERR(+$E177/$E$179*G$154),0,+$E177/$E$179*G$154)</f>
        <v>0</v>
      </c>
      <c r="H177" s="50" t="n">
        <f aca="false">+IF(ISERR(+$E177/$E$179*H$154),0,+$E177/$E$179*H$154)</f>
        <v>0</v>
      </c>
      <c r="I177" s="50" t="n">
        <f aca="false">+IF(ISERR(+$E177/$E$179*I$154),0,+$E177/$E$179*I$154)</f>
        <v>0</v>
      </c>
      <c r="J177" s="50" t="n">
        <f aca="false">+IF(ISERR(+$E177/$E$179*J$154),0,+$E177/$E$179*J$154)</f>
        <v>0</v>
      </c>
      <c r="K177" s="50" t="n">
        <f aca="false">+IF(ISERR(+$E177/$E$179*K$154),0,+$E177/$E$179*K$154)</f>
        <v>0</v>
      </c>
      <c r="L177" s="50" t="n">
        <f aca="false">+IF(ISERR(+$E177/$E$179*L$154),0,+$E177/$E$179*L$154)</f>
        <v>0</v>
      </c>
      <c r="M177" s="14" t="n">
        <f aca="false">IF(ISERR(SUM(G177:L177)),0,SUM(G177:L177))</f>
        <v>0</v>
      </c>
    </row>
    <row collapsed="false" customFormat="false" customHeight="false" hidden="true" ht="14" outlineLevel="1" r="178">
      <c r="B178" s="10" t="n">
        <f aca="false">+'bid input'!B21</f>
        <v>1104158</v>
      </c>
      <c r="C178" s="18" t="str">
        <f aca="false">+IF('bid input'!R21=1,"Y","N")</f>
        <v>N</v>
      </c>
      <c r="D178" s="14" t="n">
        <f aca="false">+IF(C178="Y",+'bid input'!M21,0)</f>
        <v>0</v>
      </c>
      <c r="E178" s="18" t="n">
        <f aca="false">+D178*$D$181</f>
        <v>0</v>
      </c>
      <c r="G178" s="50" t="n">
        <f aca="false">+IF(ISERR(+$E178/$E$179*G$154),0,+$E178/$E$179*G$154)</f>
        <v>0</v>
      </c>
      <c r="H178" s="50" t="n">
        <f aca="false">+IF(ISERR(+$E178/$E$179*H$154),0,+$E178/$E$179*H$154)</f>
        <v>0</v>
      </c>
      <c r="I178" s="50" t="n">
        <f aca="false">+IF(ISERR(+$E178/$E$179*I$154),0,+$E178/$E$179*I$154)</f>
        <v>0</v>
      </c>
      <c r="J178" s="50" t="n">
        <f aca="false">+IF(ISERR(+$E178/$E$179*J$154),0,+$E178/$E$179*J$154)</f>
        <v>0</v>
      </c>
      <c r="K178" s="50" t="n">
        <f aca="false">+IF(ISERR(+$E178/$E$179*K$154),0,+$E178/$E$179*K$154)</f>
        <v>0</v>
      </c>
      <c r="L178" s="50" t="n">
        <f aca="false">+IF(ISERR(+$E178/$E$179*L$154),0,+$E178/$E$179*L$154)</f>
        <v>0</v>
      </c>
      <c r="M178" s="14" t="n">
        <f aca="false">IF(ISERR(SUM(G178:L178)),0,SUM(G178:L178))</f>
        <v>0</v>
      </c>
    </row>
    <row collapsed="false" customFormat="false" customHeight="false" hidden="true" ht="14" outlineLevel="1" r="179">
      <c r="B179" s="0" t="s">
        <v>77</v>
      </c>
      <c r="C179" s="10" t="n">
        <f aca="false">+COUNTIF(C159:C178,"Y")</f>
        <v>0</v>
      </c>
      <c r="D179" s="14" t="n">
        <f aca="false">SUM(D159:D178)</f>
        <v>0</v>
      </c>
      <c r="E179" s="14" t="n">
        <f aca="false">SUM(E159:E178)</f>
        <v>0</v>
      </c>
      <c r="H179" s="14"/>
      <c r="I179" s="14"/>
      <c r="J179" s="14"/>
      <c r="K179" s="14"/>
      <c r="L179" s="14"/>
      <c r="M179" s="14"/>
    </row>
    <row collapsed="false" customFormat="false" customHeight="false" hidden="true" ht="14" outlineLevel="1" r="180">
      <c r="B180" s="0" t="s">
        <v>78</v>
      </c>
      <c r="D180" s="14" t="n">
        <f aca="false">+M154</f>
        <v>1011497.5</v>
      </c>
      <c r="E180" s="18"/>
    </row>
    <row collapsed="false" customFormat="false" customHeight="false" hidden="true" ht="14" outlineLevel="1" r="181">
      <c r="B181" s="0" t="s">
        <v>79</v>
      </c>
      <c r="D181" s="68" t="n">
        <f aca="false">+IF(ISERR(D180/D179),0,D180/D179)</f>
        <v>0</v>
      </c>
      <c r="E181" s="18"/>
    </row>
    <row collapsed="false" customFormat="false" customHeight="false" hidden="true" ht="14" outlineLevel="1" r="182">
      <c r="E182" s="18"/>
      <c r="H182" s="61"/>
      <c r="I182" s="61"/>
      <c r="J182" s="61"/>
      <c r="K182" s="61"/>
      <c r="L182" s="61"/>
      <c r="M182" s="61"/>
    </row>
    <row collapsed="false" customFormat="false" customHeight="false" hidden="false" ht="14" outlineLevel="0" r="183">
      <c r="D183" s="20" t="s">
        <v>72</v>
      </c>
      <c r="E183" s="21"/>
      <c r="F183" s="21"/>
      <c r="G183" s="22" t="n">
        <f aca="false">IF(ISERR(SUM(G159:G178)),0,SUM(G159:G178))</f>
        <v>0</v>
      </c>
      <c r="H183" s="22" t="n">
        <f aca="false">IF(ISERR(SUM(H159:H178)),0,SUM(H159:H178))</f>
        <v>0</v>
      </c>
      <c r="I183" s="22" t="n">
        <f aca="false">IF(ISERR(SUM(I159:I178)),0,SUM(I159:I178))</f>
        <v>0</v>
      </c>
      <c r="J183" s="22" t="n">
        <f aca="false">IF(ISERR(SUM(J159:J178)),0,SUM(J159:J178))</f>
        <v>0</v>
      </c>
      <c r="K183" s="22" t="n">
        <f aca="false">IF(ISERR(SUM(K159:K178)),0,SUM(K159:K178))</f>
        <v>0</v>
      </c>
      <c r="L183" s="22" t="n">
        <f aca="false">IF(ISERR(SUM(L159:L178)),0,SUM(L159:L178))</f>
        <v>0</v>
      </c>
      <c r="M183" s="23" t="n">
        <f aca="false">SUM(G183:L183)</f>
        <v>0</v>
      </c>
    </row>
    <row collapsed="false" customFormat="false" customHeight="false" hidden="false" ht="14" outlineLevel="0" r="184">
      <c r="D184" s="24" t="s">
        <v>39</v>
      </c>
      <c r="E184" s="25"/>
      <c r="F184" s="25"/>
      <c r="G184" s="67" t="inlineStr">
        <f aca="false">+IF(ISERROR(G67),G146,MAX(G67,G146))</f>
        <is>
          <t/>
        </is>
      </c>
      <c r="H184" s="67" t="inlineStr">
        <f aca="false">+IF(ISERROR(H67),H146,MAX(H67,H146))</f>
        <is>
          <t/>
        </is>
      </c>
      <c r="I184" s="67" t="inlineStr">
        <f aca="false">+IF(ISERROR(I67),I146,MAX(I67,I146))</f>
        <is>
          <t/>
        </is>
      </c>
      <c r="J184" s="67" t="inlineStr">
        <f aca="false">+IF(ISERROR(J67),J146,MAX(J67,J146))</f>
        <is>
          <t/>
        </is>
      </c>
      <c r="K184" s="67" t="inlineStr">
        <f aca="false">+IF(ISERROR(K67),K146,MAX(K67,K146))</f>
        <is>
          <t/>
        </is>
      </c>
      <c r="L184" s="67" t="inlineStr">
        <f aca="false">+IF(ISERROR(L67),L146,MAX(L67,L146))</f>
        <is>
          <t/>
        </is>
      </c>
      <c r="M184" s="27" t="inlineStr">
        <f aca="false">+IF(ISERROR(M67),M146,MAX(M67,M146))</f>
        <is>
          <t/>
        </is>
      </c>
    </row>
    <row collapsed="false" customFormat="false" customHeight="false" hidden="false" ht="14" outlineLevel="0" r="185">
      <c r="E185" s="18"/>
    </row>
    <row collapsed="false" customFormat="false" customHeight="false" hidden="false" ht="14" outlineLevel="0" r="186">
      <c r="D186" s="33" t="s">
        <v>47</v>
      </c>
      <c r="E186" s="34"/>
      <c r="F186" s="34"/>
      <c r="G186" s="35" t="n">
        <f aca="false">+G151+G183</f>
        <v>318725</v>
      </c>
      <c r="H186" s="35" t="n">
        <f aca="false">+H151+H183</f>
        <v>375685</v>
      </c>
      <c r="I186" s="35" t="n">
        <f aca="false">+I151+I183</f>
        <v>479875</v>
      </c>
      <c r="J186" s="35" t="n">
        <f aca="false">+J151+J183</f>
        <v>262700</v>
      </c>
      <c r="K186" s="35" t="n">
        <f aca="false">+K151+K183</f>
        <v>154627.5</v>
      </c>
      <c r="L186" s="35" t="n">
        <f aca="false">+L151+L183</f>
        <v>97000</v>
      </c>
      <c r="M186" s="36" t="n">
        <f aca="false">+M151+M183</f>
        <v>1688612.5</v>
      </c>
    </row>
    <row collapsed="false" customFormat="false" customHeight="false" hidden="false" ht="14" outlineLevel="0" r="187">
      <c r="D187" s="41" t="s">
        <v>39</v>
      </c>
      <c r="E187" s="42"/>
      <c r="F187" s="42"/>
      <c r="G187" s="43" t="n">
        <f aca="false">+IF(G186=0,0,IF(ISERR(G152),G184,((G183*G184)+(G151*G152))/G186))</f>
        <v>0.024625</v>
      </c>
      <c r="H187" s="43" t="n">
        <f aca="false">+IF(H186=0,0,IF(ISERR(H152),H184,((H183*H184)+(H151*H152))/H186))</f>
        <v>0.02375</v>
      </c>
      <c r="I187" s="43" t="n">
        <f aca="false">+IF(I186=0,0,IF(ISERR(I152),I184,((I183*I184)+(I151*I152))/I186))</f>
        <v>0.0275</v>
      </c>
      <c r="J187" s="43" t="n">
        <f aca="false">+IF(J186=0,0,IF(ISERR(J152),J184,((J183*J184)+(J151*J152))/J186))</f>
        <v>0.02875</v>
      </c>
      <c r="K187" s="43" t="n">
        <f aca="false">+IF(K186=0,0,IF(ISERR(K152),K184,((K183*K184)+(K151*K152))/K186))</f>
        <v>0.02875</v>
      </c>
      <c r="L187" s="43" t="n">
        <f aca="false">+IF(L186=0,0,IF(ISERR(L152),L184,((L183*L184)+(L151*L152))/L186))</f>
        <v>0.02875</v>
      </c>
      <c r="M187" s="44" t="n">
        <f aca="false">+SUMPRODUCT(G187:L187*G186:L186)/M186</f>
        <v>0.02650377158762</v>
      </c>
    </row>
    <row collapsed="false" customFormat="false" customHeight="false" hidden="false" ht="14" outlineLevel="0" r="188">
      <c r="E188" s="18"/>
    </row>
    <row collapsed="false" customFormat="false" customHeight="false" hidden="false" ht="14" outlineLevel="0" r="189">
      <c r="D189" s="0" t="s">
        <v>40</v>
      </c>
      <c r="G189" s="14" t="n">
        <f aca="false">+G4-G186</f>
        <v>0</v>
      </c>
      <c r="H189" s="14" t="n">
        <f aca="false">+H4-H186</f>
        <v>0</v>
      </c>
      <c r="I189" s="14" t="n">
        <f aca="false">+I4-I186</f>
        <v>0</v>
      </c>
      <c r="J189" s="14" t="n">
        <f aca="false">+J4-J186</f>
        <v>262700</v>
      </c>
      <c r="K189" s="14" t="n">
        <f aca="false">+K4-K186</f>
        <v>360797.5</v>
      </c>
      <c r="L189" s="14" t="n">
        <f aca="false">+L4-L186</f>
        <v>388000</v>
      </c>
      <c r="M189" s="14" t="n">
        <f aca="false">+M4-M186</f>
        <v>1011497.5</v>
      </c>
    </row>
    <row collapsed="false" customFormat="false" customHeight="false" hidden="false" ht="14" outlineLevel="0" r="190">
      <c r="D190" s="0" t="s">
        <v>41</v>
      </c>
      <c r="G190" s="28" t="str">
        <f aca="false">+IF(G189=0,"NA",IF(G189&lt;0,"OVER","UNDER"))</f>
        <v>NA</v>
      </c>
      <c r="H190" s="28" t="str">
        <f aca="false">+IF(H189=0,"NA",IF(H189&lt;0,"OVER","UNDER"))</f>
        <v>NA</v>
      </c>
      <c r="I190" s="28" t="str">
        <f aca="false">+IF(I189=0,"NA",IF(I189&lt;0,"OVER","UNDER"))</f>
        <v>NA</v>
      </c>
      <c r="J190" s="28" t="str">
        <f aca="false">+IF(J189=0,"NA",IF(J189&lt;0,"OVER","UNDER"))</f>
        <v>UNDER</v>
      </c>
      <c r="K190" s="28" t="str">
        <f aca="false">+IF(K189=0,"NA",IF(K189&lt;0,"OVER","UNDER"))</f>
        <v>UNDER</v>
      </c>
      <c r="L190" s="28" t="str">
        <f aca="false">+IF(L189=0,"NA",IF(L189&lt;0,"OVER","UNDER"))</f>
        <v>UNDER</v>
      </c>
      <c r="M190" s="28" t="str">
        <f aca="false">+IF(M189=0,"NA",IF(M189&lt;0,"OVER","UNDER"))</f>
        <v>UNDER</v>
      </c>
    </row>
    <row collapsed="false" customFormat="false" customHeight="false" hidden="false" ht="14" outlineLevel="0" r="191">
      <c r="E191" s="18"/>
    </row>
    <row collapsed="false" customFormat="false" customHeight="false" hidden="false" ht="14" outlineLevel="0" r="192">
      <c r="A192" s="0" t="s">
        <v>80</v>
      </c>
      <c r="E192" s="18"/>
    </row>
    <row collapsed="false" customFormat="false" customHeight="false" hidden="false" ht="14" outlineLevel="1" r="193">
      <c r="E193" s="18"/>
    </row>
    <row collapsed="false" customFormat="false" customHeight="false" hidden="false" ht="14" outlineLevel="1" r="194">
      <c r="B194" s="15" t="s">
        <v>34</v>
      </c>
      <c r="C194" s="15" t="s">
        <v>37</v>
      </c>
      <c r="D194" s="15" t="s">
        <v>81</v>
      </c>
      <c r="E194" s="18"/>
    </row>
    <row collapsed="false" customFormat="false" customHeight="false" hidden="false" ht="14" outlineLevel="1" r="195">
      <c r="B195" s="10" t="n">
        <f aca="false">+'bid input'!B2</f>
        <v>1104134</v>
      </c>
      <c r="C195" s="61" t="n">
        <f aca="false">+IF(D195&gt;0,IF(M8&gt;0,F8,0)+IF(M37&gt;0,SUMPRODUCT(G$36:L$36,G37:L37)/M37,0)+E119+IF(M159&gt;0,M$184,0),0)</f>
        <v>0.025</v>
      </c>
      <c r="D195" s="14" t="n">
        <f aca="false">+M195</f>
        <v>31872.5</v>
      </c>
      <c r="E195" s="18"/>
      <c r="G195" s="14" t="n">
        <f aca="false">+IF(G$190="NA",+G159+G119+G37+G8,0)</f>
        <v>31872.5</v>
      </c>
      <c r="H195" s="14" t="n">
        <f aca="false">+IF(H$190="NA",+H159+H119+H37+H8,0)</f>
        <v>0</v>
      </c>
      <c r="I195" s="14" t="n">
        <f aca="false">+IF(I$190="NA",+I159+I119+I37+I8,0)</f>
        <v>0</v>
      </c>
      <c r="J195" s="14" t="n">
        <f aca="false">+IF(J$190="NA",+J159+J119+J37+J8,0)</f>
        <v>0</v>
      </c>
      <c r="K195" s="14" t="n">
        <f aca="false">+IF(K$190="NA",+K159+K119+K37+K8,0)</f>
        <v>0</v>
      </c>
      <c r="L195" s="14" t="n">
        <f aca="false">+IF(L$190="NA",+L159+L119+L37+L8,0)</f>
        <v>0</v>
      </c>
      <c r="M195" s="14" t="n">
        <f aca="false">SUM(G195:L195)</f>
        <v>31872.5</v>
      </c>
    </row>
    <row collapsed="false" customFormat="false" customHeight="false" hidden="false" ht="14" outlineLevel="1" r="196">
      <c r="B196" s="10" t="n">
        <f aca="false">+'bid input'!B3</f>
        <v>1104143</v>
      </c>
      <c r="C196" s="61" t="n">
        <f aca="false">+IF(D196&gt;0,IF(M9&gt;0,F9,0)+IF(M38&gt;0,SUMPRODUCT(G$36:L$36,G38:L38)/M38,0)+E120+IF(M160&gt;0,M$184,0),0)</f>
        <v>0.025</v>
      </c>
      <c r="D196" s="14" t="n">
        <f aca="false">+M196</f>
        <v>37568.5</v>
      </c>
      <c r="E196" s="18"/>
      <c r="G196" s="14" t="n">
        <f aca="false">+IF(G$190="NA",+G160+G120+G38+G9,0)</f>
        <v>0</v>
      </c>
      <c r="H196" s="14" t="n">
        <f aca="false">+IF(H$190="NA",+H160+H120+H38+H9,0)</f>
        <v>37568.5</v>
      </c>
      <c r="I196" s="14" t="n">
        <f aca="false">+IF(I$190="NA",+I160+I120+I38+I9,0)</f>
        <v>0</v>
      </c>
      <c r="J196" s="14" t="n">
        <f aca="false">+IF(J$190="NA",+J160+J120+J38+J9,0)</f>
        <v>0</v>
      </c>
      <c r="K196" s="14" t="n">
        <f aca="false">+IF(K$190="NA",+K160+K120+K38+K9,0)</f>
        <v>0</v>
      </c>
      <c r="L196" s="14" t="n">
        <f aca="false">+IF(L$190="NA",+L160+L120+L38+L9,0)</f>
        <v>0</v>
      </c>
      <c r="M196" s="14" t="n">
        <f aca="false">SUM(G196:L196)</f>
        <v>37568.5</v>
      </c>
    </row>
    <row collapsed="false" customFormat="false" customHeight="false" hidden="false" ht="14" outlineLevel="1" r="197">
      <c r="B197" s="10" t="n">
        <f aca="false">+'bid input'!B4</f>
        <v>1104154</v>
      </c>
      <c r="C197" s="61" t="n">
        <f aca="false">+IF(D197&gt;0,IF(M10&gt;0,F10,0)+IF(M39&gt;0,SUMPRODUCT(G$36:L$36,G39:L39)/M39,0)+E121+IF(M161&gt;0,M$184,0),0)</f>
        <v>0.02</v>
      </c>
      <c r="D197" s="14" t="n">
        <f aca="false">+M197</f>
        <v>37568.5</v>
      </c>
      <c r="E197" s="18"/>
      <c r="G197" s="14" t="n">
        <f aca="false">+IF(G$190="NA",+G161+G121+G39+G10,0)</f>
        <v>0</v>
      </c>
      <c r="H197" s="14" t="n">
        <f aca="false">+IF(H$190="NA",+H161+H121+H39+H10,0)</f>
        <v>37568.5</v>
      </c>
      <c r="I197" s="14" t="n">
        <f aca="false">+IF(I$190="NA",+I161+I121+I39+I10,0)</f>
        <v>0</v>
      </c>
      <c r="J197" s="14" t="n">
        <f aca="false">+IF(J$190="NA",+J161+J121+J39+J10,0)</f>
        <v>0</v>
      </c>
      <c r="K197" s="14" t="n">
        <f aca="false">+IF(K$190="NA",+K161+K121+K39+K10,0)</f>
        <v>0</v>
      </c>
      <c r="L197" s="14" t="n">
        <f aca="false">+IF(L$190="NA",+L161+L121+L39+L10,0)</f>
        <v>0</v>
      </c>
      <c r="M197" s="14" t="n">
        <f aca="false">SUM(G197:L197)</f>
        <v>37568.5</v>
      </c>
    </row>
    <row collapsed="false" customFormat="false" customHeight="false" hidden="false" ht="14" outlineLevel="1" r="198">
      <c r="B198" s="10" t="n">
        <f aca="false">+'bid input'!B5</f>
        <v>1104152</v>
      </c>
      <c r="C198" s="61" t="n">
        <f aca="false">+IF(D198&gt;0,IF(M11&gt;0,F11,0)+IF(M40&gt;0,SUMPRODUCT(G$36:L$36,G40:L40)/M40,0)+E122+IF(M162&gt;0,M$184,0),0)</f>
        <v>0.025</v>
      </c>
      <c r="D198" s="14" t="n">
        <f aca="false">+M198</f>
        <v>138882</v>
      </c>
      <c r="E198" s="18"/>
      <c r="G198" s="14" t="n">
        <f aca="false">+IF(G$190="NA",+G162+G122+G40+G11,0)</f>
        <v>63745</v>
      </c>
      <c r="H198" s="14" t="n">
        <f aca="false">+IF(H$190="NA",+H162+H122+H40+H11,0)</f>
        <v>75137</v>
      </c>
      <c r="I198" s="14" t="n">
        <f aca="false">+IF(I$190="NA",+I162+I122+I40+I11,0)</f>
        <v>0</v>
      </c>
      <c r="J198" s="14" t="n">
        <f aca="false">+IF(J$190="NA",+J162+J122+J40+J11,0)</f>
        <v>0</v>
      </c>
      <c r="K198" s="14" t="n">
        <f aca="false">+IF(K$190="NA",+K162+K122+K40+K11,0)</f>
        <v>0</v>
      </c>
      <c r="L198" s="14" t="n">
        <f aca="false">+IF(L$190="NA",+L162+L122+L40+L11,0)</f>
        <v>0</v>
      </c>
      <c r="M198" s="14" t="n">
        <f aca="false">SUM(G198:L198)</f>
        <v>138882</v>
      </c>
    </row>
    <row collapsed="false" customFormat="false" customHeight="false" hidden="false" ht="14" outlineLevel="1" r="199">
      <c r="B199" s="10" t="n">
        <f aca="false">+'bid input'!B6</f>
        <v>1104136</v>
      </c>
      <c r="C199" s="61" t="n">
        <f aca="false">+IF(D199&gt;0,IF(M12&gt;0,F12,0)+IF(M41&gt;0,SUMPRODUCT(G$36:L$36,G41:L41)/M41,0)+E123+IF(M163&gt;0,M$184,0),0)</f>
        <v>0</v>
      </c>
      <c r="D199" s="14" t="n">
        <f aca="false">+M199</f>
        <v>0</v>
      </c>
      <c r="E199" s="18"/>
      <c r="G199" s="14" t="n">
        <f aca="false">+IF(G$190="NA",+G163+G123+G41+G12,0)</f>
        <v>0</v>
      </c>
      <c r="H199" s="14" t="n">
        <f aca="false">+IF(H$190="NA",+H163+H123+H41+H12,0)</f>
        <v>0</v>
      </c>
      <c r="I199" s="14" t="n">
        <f aca="false">+IF(I$190="NA",+I163+I123+I41+I12,0)</f>
        <v>0</v>
      </c>
      <c r="J199" s="14" t="n">
        <f aca="false">+IF(J$190="NA",+J163+J123+J41+J12,0)</f>
        <v>0</v>
      </c>
      <c r="K199" s="14" t="n">
        <f aca="false">+IF(K$190="NA",+K163+K123+K41+K12,0)</f>
        <v>0</v>
      </c>
      <c r="L199" s="14" t="n">
        <f aca="false">+IF(L$190="NA",+L163+L123+L41+L12,0)</f>
        <v>0</v>
      </c>
      <c r="M199" s="14" t="n">
        <f aca="false">SUM(G199:L199)</f>
        <v>0</v>
      </c>
    </row>
    <row collapsed="false" customFormat="false" customHeight="false" hidden="false" ht="14" outlineLevel="1" r="200">
      <c r="B200" s="10" t="n">
        <f aca="false">+'bid input'!B7</f>
        <v>1104138</v>
      </c>
      <c r="C200" s="61" t="n">
        <f aca="false">+IF(D200&gt;0,IF(M13&gt;0,F13,0)+IF(M42&gt;0,SUMPRODUCT(G$36:L$36,G42:L42)/M42,0)+E124+IF(M164&gt;0,M$184,0),0)</f>
        <v>0.025</v>
      </c>
      <c r="D200" s="14" t="n">
        <f aca="false">+M200</f>
        <v>112705.5</v>
      </c>
      <c r="E200" s="18"/>
      <c r="G200" s="14" t="n">
        <f aca="false">+IF(G$190="NA",+G164+G124+G42+G13,0)</f>
        <v>0</v>
      </c>
      <c r="H200" s="14" t="n">
        <f aca="false">+IF(H$190="NA",+H164+H124+H42+H13,0)</f>
        <v>112705.5</v>
      </c>
      <c r="I200" s="14" t="n">
        <f aca="false">+IF(I$190="NA",+I164+I124+I42+I13,0)</f>
        <v>0</v>
      </c>
      <c r="J200" s="14" t="n">
        <f aca="false">+IF(J$190="NA",+J164+J124+J42+J13,0)</f>
        <v>0</v>
      </c>
      <c r="K200" s="14" t="n">
        <f aca="false">+IF(K$190="NA",+K164+K124+K42+K13,0)</f>
        <v>0</v>
      </c>
      <c r="L200" s="14" t="n">
        <f aca="false">+IF(L$190="NA",+L164+L124+L42+L13,0)</f>
        <v>0</v>
      </c>
      <c r="M200" s="14" t="n">
        <f aca="false">SUM(G200:L200)</f>
        <v>112705.5</v>
      </c>
    </row>
    <row collapsed="false" customFormat="false" customHeight="false" hidden="false" ht="14" outlineLevel="1" r="201">
      <c r="B201" s="10" t="n">
        <f aca="false">+'bid input'!B8</f>
        <v>1104139</v>
      </c>
      <c r="C201" s="61" t="n">
        <f aca="false">+IF(D201&gt;0,IF(M14&gt;0,F14,0)+IF(M43&gt;0,SUMPRODUCT(G$36:L$36,G43:L43)/M43,0)+E125+IF(M165&gt;0,M$184,0),0)</f>
        <v>0.0225</v>
      </c>
      <c r="D201" s="14" t="n">
        <f aca="false">+M201</f>
        <v>31872.5</v>
      </c>
      <c r="E201" s="18"/>
      <c r="G201" s="14" t="n">
        <f aca="false">+IF(G$190="NA",+G165+G125+G43+G14,0)</f>
        <v>31872.5</v>
      </c>
      <c r="H201" s="14" t="n">
        <f aca="false">+IF(H$190="NA",+H165+H125+H43+H14,0)</f>
        <v>0</v>
      </c>
      <c r="I201" s="14" t="n">
        <f aca="false">+IF(I$190="NA",+I165+I125+I43+I14,0)</f>
        <v>0</v>
      </c>
      <c r="J201" s="14" t="n">
        <f aca="false">+IF(J$190="NA",+J165+J125+J43+J14,0)</f>
        <v>0</v>
      </c>
      <c r="K201" s="14" t="n">
        <f aca="false">+IF(K$190="NA",+K165+K125+K43+K14,0)</f>
        <v>0</v>
      </c>
      <c r="L201" s="14" t="n">
        <f aca="false">+IF(L$190="NA",+L165+L125+L43+L14,0)</f>
        <v>0</v>
      </c>
      <c r="M201" s="14" t="n">
        <f aca="false">SUM(G201:L201)</f>
        <v>31872.5</v>
      </c>
    </row>
    <row collapsed="false" customFormat="false" customHeight="false" hidden="false" ht="14" outlineLevel="1" r="202">
      <c r="B202" s="10" t="n">
        <f aca="false">+'bid input'!B9</f>
        <v>1104140</v>
      </c>
      <c r="C202" s="61" t="n">
        <f aca="false">+IF(D202&gt;0,IF(M15&gt;0,F15,0)+IF(M44&gt;0,SUMPRODUCT(G$36:L$36,G44:L44)/M44,0)+E126+IF(M166&gt;0,M$184,0),0)</f>
        <v>0.02875</v>
      </c>
      <c r="D202" s="14" t="n">
        <f aca="false">+M202</f>
        <v>95975</v>
      </c>
      <c r="E202" s="18"/>
      <c r="G202" s="14" t="n">
        <f aca="false">+IF(G$190="NA",+G166+G126+G44+G15,0)</f>
        <v>0</v>
      </c>
      <c r="H202" s="14" t="n">
        <f aca="false">+IF(H$190="NA",+H166+H126+H44+H15,0)</f>
        <v>0</v>
      </c>
      <c r="I202" s="14" t="n">
        <f aca="false">+IF(I$190="NA",+I166+I126+I44+I15,0)</f>
        <v>95975</v>
      </c>
      <c r="J202" s="14" t="n">
        <f aca="false">+IF(J$190="NA",+J166+J126+J44+J15,0)</f>
        <v>0</v>
      </c>
      <c r="K202" s="14" t="n">
        <f aca="false">+IF(K$190="NA",+K166+K126+K44+K15,0)</f>
        <v>0</v>
      </c>
      <c r="L202" s="14" t="n">
        <f aca="false">+IF(L$190="NA",+L166+L126+L44+L15,0)</f>
        <v>0</v>
      </c>
      <c r="M202" s="14" t="n">
        <f aca="false">SUM(G202:L202)</f>
        <v>95975</v>
      </c>
    </row>
    <row collapsed="false" customFormat="false" customHeight="false" hidden="false" ht="14" outlineLevel="1" r="203">
      <c r="B203" s="10" t="n">
        <f aca="false">+'bid input'!B10</f>
        <v>1104141</v>
      </c>
      <c r="C203" s="61" t="n">
        <f aca="false">+IF(D203&gt;0,IF(M16&gt;0,F16,0)+IF(M45&gt;0,SUMPRODUCT(G$36:L$36,G45:L45)/M45,0)+E127+IF(M167&gt;0,M$184,0),0)</f>
        <v>0.025</v>
      </c>
      <c r="D203" s="14" t="n">
        <f aca="false">+M203</f>
        <v>133186</v>
      </c>
      <c r="G203" s="14" t="n">
        <f aca="false">+IF(G$190="NA",+G167+G127+G45+G16,0)</f>
        <v>95617.5</v>
      </c>
      <c r="H203" s="14" t="n">
        <f aca="false">+IF(H$190="NA",+H167+H127+H45+H16,0)</f>
        <v>37568.5</v>
      </c>
      <c r="I203" s="14" t="n">
        <f aca="false">+IF(I$190="NA",+I167+I127+I45+I16,0)</f>
        <v>0</v>
      </c>
      <c r="J203" s="14" t="n">
        <f aca="false">+IF(J$190="NA",+J167+J127+J45+J16,0)</f>
        <v>0</v>
      </c>
      <c r="K203" s="14" t="n">
        <f aca="false">+IF(K$190="NA",+K167+K127+K45+K16,0)</f>
        <v>0</v>
      </c>
      <c r="L203" s="14" t="n">
        <f aca="false">+IF(L$190="NA",+L167+L127+L45+L16,0)</f>
        <v>0</v>
      </c>
      <c r="M203" s="14" t="n">
        <f aca="false">SUM(G203:L203)</f>
        <v>133186</v>
      </c>
    </row>
    <row collapsed="false" customFormat="false" customHeight="false" hidden="false" ht="14" outlineLevel="1" r="204">
      <c r="B204" s="10" t="n">
        <f aca="false">+'bid input'!B11</f>
        <v>1104159</v>
      </c>
      <c r="C204" s="61" t="n">
        <f aca="false">+IF(D204&gt;0,IF(M17&gt;0,F17,0)+IF(M46&gt;0,SUMPRODUCT(G$36:L$36,G46:L46)/M46,0)+E128+IF(M168&gt;0,M$184,0),0)</f>
        <v>0</v>
      </c>
      <c r="D204" s="14" t="n">
        <f aca="false">+M204</f>
        <v>0</v>
      </c>
      <c r="G204" s="14" t="n">
        <f aca="false">+IF(G$190="NA",+G168+G128+G46+G17,0)</f>
        <v>0</v>
      </c>
      <c r="H204" s="14" t="n">
        <f aca="false">+IF(H$190="NA",+H168+H128+H46+H17,0)</f>
        <v>0</v>
      </c>
      <c r="I204" s="14" t="n">
        <f aca="false">+IF(I$190="NA",+I168+I128+I46+I17,0)</f>
        <v>0</v>
      </c>
      <c r="J204" s="14" t="n">
        <f aca="false">+IF(J$190="NA",+J168+J128+J46+J17,0)</f>
        <v>0</v>
      </c>
      <c r="K204" s="14" t="n">
        <f aca="false">+IF(K$190="NA",+K168+K128+K46+K17,0)</f>
        <v>0</v>
      </c>
      <c r="L204" s="14" t="n">
        <f aca="false">+IF(L$190="NA",+L168+L128+L46+L17,0)</f>
        <v>0</v>
      </c>
      <c r="M204" s="14" t="n">
        <f aca="false">SUM(G204:L204)</f>
        <v>0</v>
      </c>
    </row>
    <row collapsed="false" customFormat="false" customHeight="false" hidden="false" ht="14" outlineLevel="1" r="205">
      <c r="B205" s="10" t="n">
        <f aca="false">+'bid input'!B12</f>
        <v>1104161</v>
      </c>
      <c r="C205" s="61" t="n">
        <f aca="false">+IF(D205&gt;0,IF(M18&gt;0,F18,0)+IF(M47&gt;0,SUMPRODUCT(G$36:L$36,G47:L47)/M47,0)+E129+IF(M169&gt;0,M$184,0),0)</f>
        <v>0.025</v>
      </c>
      <c r="D205" s="14" t="n">
        <f aca="false">+M205</f>
        <v>47987.5</v>
      </c>
      <c r="G205" s="14" t="n">
        <f aca="false">+IF(G$190="NA",+G169+G129+G47+G18,0)</f>
        <v>0</v>
      </c>
      <c r="H205" s="14" t="n">
        <f aca="false">+IF(H$190="NA",+H169+H129+H47+H18,0)</f>
        <v>0</v>
      </c>
      <c r="I205" s="14" t="n">
        <f aca="false">+IF(I$190="NA",+I169+I129+I47+I18,0)</f>
        <v>47987.5</v>
      </c>
      <c r="J205" s="14" t="n">
        <f aca="false">+IF(J$190="NA",+J169+J129+J47+J18,0)</f>
        <v>0</v>
      </c>
      <c r="K205" s="14" t="n">
        <f aca="false">+IF(K$190="NA",+K169+K129+K47+K18,0)</f>
        <v>0</v>
      </c>
      <c r="L205" s="14" t="n">
        <f aca="false">+IF(L$190="NA",+L169+L129+L47+L18,0)</f>
        <v>0</v>
      </c>
      <c r="M205" s="14" t="n">
        <f aca="false">SUM(G205:L205)</f>
        <v>47987.5</v>
      </c>
    </row>
    <row collapsed="false" customFormat="false" customHeight="false" hidden="false" ht="14" outlineLevel="1" r="206">
      <c r="B206" s="10" t="n">
        <f aca="false">+'bid input'!B13</f>
        <v>1104145</v>
      </c>
      <c r="C206" s="61" t="n">
        <f aca="false">+IF(D206&gt;0,IF(M19&gt;0,F19,0)+IF(M48&gt;0,SUMPRODUCT(G$36:L$36,G48:L48)/M48,0)+E130+IF(M170&gt;0,M$184,0),0)</f>
        <v>0.02375</v>
      </c>
      <c r="D206" s="14" t="n">
        <f aca="false">+M206</f>
        <v>31872.5</v>
      </c>
      <c r="G206" s="14" t="n">
        <f aca="false">+IF(G$190="NA",+G170+G130+G48+G19,0)</f>
        <v>31872.5</v>
      </c>
      <c r="H206" s="14" t="n">
        <f aca="false">+IF(H$190="NA",+H170+H130+H48+H19,0)</f>
        <v>0</v>
      </c>
      <c r="I206" s="14" t="n">
        <f aca="false">+IF(I$190="NA",+I170+I130+I48+I19,0)</f>
        <v>0</v>
      </c>
      <c r="J206" s="14" t="n">
        <f aca="false">+IF(J$190="NA",+J170+J130+J48+J19,0)</f>
        <v>0</v>
      </c>
      <c r="K206" s="14" t="n">
        <f aca="false">+IF(K$190="NA",+K170+K130+K48+K19,0)</f>
        <v>0</v>
      </c>
      <c r="L206" s="14" t="n">
        <f aca="false">+IF(L$190="NA",+L170+L130+L48+L19,0)</f>
        <v>0</v>
      </c>
      <c r="M206" s="14" t="n">
        <f aca="false">SUM(G206:L206)</f>
        <v>31872.5</v>
      </c>
    </row>
    <row collapsed="false" customFormat="false" customHeight="false" hidden="false" ht="14" outlineLevel="1" r="207">
      <c r="B207" s="10" t="n">
        <f aca="false">+'bid input'!B14</f>
        <v>1104133</v>
      </c>
      <c r="C207" s="61" t="n">
        <f aca="false">+IF(D207&gt;0,IF(M20&gt;0,F20,0)+IF(M49&gt;0,SUMPRODUCT(G$36:L$36,G49:L49)/M49,0)+E131+IF(M171&gt;0,M$184,0),0)</f>
        <v>0.02875</v>
      </c>
      <c r="D207" s="14" t="n">
        <f aca="false">+M207</f>
        <v>143962.5</v>
      </c>
      <c r="G207" s="14" t="n">
        <f aca="false">+IF(G$190="NA",+G171+G131+G49+G20,0)</f>
        <v>0</v>
      </c>
      <c r="H207" s="14" t="n">
        <f aca="false">+IF(H$190="NA",+H171+H131+H49+H20,0)</f>
        <v>0</v>
      </c>
      <c r="I207" s="14" t="n">
        <f aca="false">+IF(I$190="NA",+I171+I131+I49+I20,0)</f>
        <v>143962.5</v>
      </c>
      <c r="J207" s="14" t="n">
        <f aca="false">+IF(J$190="NA",+J171+J131+J49+J20,0)</f>
        <v>0</v>
      </c>
      <c r="K207" s="14" t="n">
        <f aca="false">+IF(K$190="NA",+K171+K131+K49+K20,0)</f>
        <v>0</v>
      </c>
      <c r="L207" s="14" t="n">
        <f aca="false">+IF(L$190="NA",+L171+L131+L49+L20,0)</f>
        <v>0</v>
      </c>
      <c r="M207" s="14" t="n">
        <f aca="false">SUM(G207:L207)</f>
        <v>143962.5</v>
      </c>
    </row>
    <row collapsed="false" customFormat="false" customHeight="false" hidden="false" ht="14" outlineLevel="1" r="208">
      <c r="B208" s="10" t="n">
        <f aca="false">+'bid input'!B15</f>
        <v>1104149</v>
      </c>
      <c r="C208" s="61" t="n">
        <f aca="false">+IF(D208&gt;0,IF(M21&gt;0,F21,0)+IF(M50&gt;0,SUMPRODUCT(G$36:L$36,G50:L50)/M50,0)+E132+IF(M172&gt;0,M$184,0),0)</f>
        <v>0.02875</v>
      </c>
      <c r="D208" s="14" t="n">
        <f aca="false">+M208</f>
        <v>95975</v>
      </c>
      <c r="G208" s="14" t="n">
        <f aca="false">+IF(G$190="NA",+G172+G132+G50+G21,0)</f>
        <v>0</v>
      </c>
      <c r="H208" s="14" t="n">
        <f aca="false">+IF(H$190="NA",+H172+H132+H50+H21,0)</f>
        <v>0</v>
      </c>
      <c r="I208" s="14" t="n">
        <f aca="false">+IF(I$190="NA",+I172+I132+I50+I21,0)</f>
        <v>95975</v>
      </c>
      <c r="J208" s="14" t="n">
        <f aca="false">+IF(J$190="NA",+J172+J132+J50+J21,0)</f>
        <v>0</v>
      </c>
      <c r="K208" s="14" t="n">
        <f aca="false">+IF(K$190="NA",+K172+K132+K50+K21,0)</f>
        <v>0</v>
      </c>
      <c r="L208" s="14" t="n">
        <f aca="false">+IF(L$190="NA",+L172+L132+L50+L21,0)</f>
        <v>0</v>
      </c>
      <c r="M208" s="14" t="n">
        <f aca="false">SUM(G208:L208)</f>
        <v>95975</v>
      </c>
    </row>
    <row collapsed="false" customFormat="false" customHeight="false" hidden="false" ht="14" outlineLevel="1" r="209">
      <c r="B209" s="10" t="n">
        <f aca="false">+'bid input'!B16</f>
        <v>1104151</v>
      </c>
      <c r="C209" s="61" t="n">
        <f aca="false">+IF(D209&gt;0,IF(M22&gt;0,F22,0)+IF(M51&gt;0,SUMPRODUCT(G$36:L$36,G51:L51)/M51,0)+E133+IF(M173&gt;0,M$184,0),0)</f>
        <v>0.02125</v>
      </c>
      <c r="D209" s="14" t="n">
        <f aca="false">+M209</f>
        <v>37568.5</v>
      </c>
      <c r="G209" s="14" t="n">
        <f aca="false">+IF(G$190="NA",+G173+G133+G51+G22,0)</f>
        <v>0</v>
      </c>
      <c r="H209" s="14" t="n">
        <f aca="false">+IF(H$190="NA",+H173+H133+H51+H22,0)</f>
        <v>37568.5</v>
      </c>
      <c r="I209" s="14" t="n">
        <f aca="false">+IF(I$190="NA",+I173+I133+I51+I22,0)</f>
        <v>0</v>
      </c>
      <c r="J209" s="14" t="n">
        <f aca="false">+IF(J$190="NA",+J173+J133+J51+J22,0)</f>
        <v>0</v>
      </c>
      <c r="K209" s="14" t="n">
        <f aca="false">+IF(K$190="NA",+K173+K133+K51+K22,0)</f>
        <v>0</v>
      </c>
      <c r="L209" s="14" t="n">
        <f aca="false">+IF(L$190="NA",+L173+L133+L51+L22,0)</f>
        <v>0</v>
      </c>
      <c r="M209" s="14" t="n">
        <f aca="false">SUM(G209:L209)</f>
        <v>37568.5</v>
      </c>
    </row>
    <row collapsed="false" customFormat="false" customHeight="false" hidden="false" ht="14" outlineLevel="1" r="210">
      <c r="B210" s="10" t="n">
        <f aca="false">+'bid input'!B17</f>
        <v>1104131</v>
      </c>
      <c r="C210" s="61" t="n">
        <f aca="false">+IF(D210&gt;0,IF(M23&gt;0,F23,0)+IF(M52&gt;0,SUMPRODUCT(G$36:L$36,G52:L52)/M52,0)+E134+IF(M174&gt;0,M$184,0),0)</f>
        <v>0.025</v>
      </c>
      <c r="D210" s="14" t="n">
        <f aca="false">+M210</f>
        <v>63745</v>
      </c>
      <c r="G210" s="14" t="n">
        <f aca="false">+IF(G$190="NA",+G174+G134+G52+G23,0)</f>
        <v>63745</v>
      </c>
      <c r="H210" s="14" t="n">
        <f aca="false">+IF(H$190="NA",+H174+H134+H52+H23,0)</f>
        <v>0</v>
      </c>
      <c r="I210" s="14" t="n">
        <f aca="false">+IF(I$190="NA",+I174+I134+I52+I23,0)</f>
        <v>0</v>
      </c>
      <c r="J210" s="14" t="n">
        <f aca="false">+IF(J$190="NA",+J174+J134+J52+J23,0)</f>
        <v>0</v>
      </c>
      <c r="K210" s="14" t="n">
        <f aca="false">+IF(K$190="NA",+K174+K134+K52+K23,0)</f>
        <v>0</v>
      </c>
      <c r="L210" s="14" t="n">
        <f aca="false">+IF(L$190="NA",+L174+L134+L52+L23,0)</f>
        <v>0</v>
      </c>
      <c r="M210" s="14" t="n">
        <f aca="false">SUM(G210:L210)</f>
        <v>63745</v>
      </c>
    </row>
    <row collapsed="false" customFormat="false" customHeight="false" hidden="false" ht="14" outlineLevel="1" r="211">
      <c r="B211" s="10" t="n">
        <f aca="false">+'bid input'!B18</f>
        <v>1104155</v>
      </c>
      <c r="C211" s="61" t="n">
        <f aca="false">+IF(D211&gt;0,IF(M24&gt;0,F24,0)+IF(M53&gt;0,SUMPRODUCT(G$36:L$36,G53:L53)/M53,0)+E135+IF(M175&gt;0,M$184,0),0)</f>
        <v>0</v>
      </c>
      <c r="D211" s="14" t="n">
        <f aca="false">+M211</f>
        <v>0</v>
      </c>
      <c r="G211" s="14" t="n">
        <f aca="false">+IF(G$190="NA",+G175+G135+G53+G24,0)</f>
        <v>0</v>
      </c>
      <c r="H211" s="14" t="n">
        <f aca="false">+IF(H$190="NA",+H175+H135+H53+H24,0)</f>
        <v>0</v>
      </c>
      <c r="I211" s="14" t="n">
        <f aca="false">+IF(I$190="NA",+I175+I135+I53+I24,0)</f>
        <v>0</v>
      </c>
      <c r="J211" s="14" t="n">
        <f aca="false">+IF(J$190="NA",+J175+J135+J53+J24,0)</f>
        <v>0</v>
      </c>
      <c r="K211" s="14" t="n">
        <f aca="false">+IF(K$190="NA",+K175+K135+K53+K24,0)</f>
        <v>0</v>
      </c>
      <c r="L211" s="14" t="n">
        <f aca="false">+IF(L$190="NA",+L175+L135+L53+L24,0)</f>
        <v>0</v>
      </c>
      <c r="M211" s="14" t="n">
        <f aca="false">SUM(G211:L211)</f>
        <v>0</v>
      </c>
    </row>
    <row collapsed="false" customFormat="false" customHeight="false" hidden="false" ht="14" outlineLevel="1" r="212">
      <c r="B212" s="10" t="n">
        <f aca="false">+'bid input'!B19</f>
        <v>1104156</v>
      </c>
      <c r="C212" s="61" t="n">
        <f aca="false">+IF(D212&gt;0,IF(M25&gt;0,F25,0)+IF(M54&gt;0,SUMPRODUCT(G$36:L$36,G54:L54)/M54,0)+E136+IF(M176&gt;0,M$184,0),0)</f>
        <v>0.02875</v>
      </c>
      <c r="D212" s="14" t="n">
        <f aca="false">+M212</f>
        <v>47987.5</v>
      </c>
      <c r="G212" s="14" t="n">
        <f aca="false">+IF(G$190="NA",+G176+G136+G54+G25,0)</f>
        <v>0</v>
      </c>
      <c r="H212" s="14" t="n">
        <f aca="false">+IF(H$190="NA",+H176+H136+H54+H25,0)</f>
        <v>0</v>
      </c>
      <c r="I212" s="14" t="n">
        <f aca="false">+IF(I$190="NA",+I176+I136+I54+I25,0)</f>
        <v>47987.5</v>
      </c>
      <c r="J212" s="14" t="n">
        <f aca="false">+IF(J$190="NA",+J176+J136+J54+J25,0)</f>
        <v>0</v>
      </c>
      <c r="K212" s="14" t="n">
        <f aca="false">+IF(K$190="NA",+K176+K136+K54+K25,0)</f>
        <v>0</v>
      </c>
      <c r="L212" s="14" t="n">
        <f aca="false">+IF(L$190="NA",+L176+L136+L54+L25,0)</f>
        <v>0</v>
      </c>
      <c r="M212" s="14" t="n">
        <f aca="false">SUM(G212:L212)</f>
        <v>47987.5</v>
      </c>
    </row>
    <row collapsed="false" customFormat="false" customHeight="false" hidden="false" ht="14" outlineLevel="1" r="213">
      <c r="B213" s="10" t="n">
        <f aca="false">+'bid input'!B20</f>
        <v>1104157</v>
      </c>
      <c r="C213" s="61" t="n">
        <f aca="false">+IF(D213&gt;0,IF(M26&gt;0,F26,0)+IF(M55&gt;0,SUMPRODUCT(G$36:L$36,G55:L55)/M55,0)+E137+IF(M177&gt;0,M$184,0),0)</f>
        <v>0.02</v>
      </c>
      <c r="D213" s="14" t="n">
        <f aca="false">+M213</f>
        <v>47987.5</v>
      </c>
      <c r="G213" s="14" t="n">
        <f aca="false">+IF(G$190="NA",+G177+G137+G55+G26,0)</f>
        <v>0</v>
      </c>
      <c r="H213" s="14" t="n">
        <f aca="false">+IF(H$190="NA",+H177+H137+H55+H26,0)</f>
        <v>0</v>
      </c>
      <c r="I213" s="14" t="n">
        <f aca="false">+IF(I$190="NA",+I177+I137+I55+I26,0)</f>
        <v>47987.5</v>
      </c>
      <c r="J213" s="14" t="n">
        <f aca="false">+IF(J$190="NA",+J177+J137+J55+J26,0)</f>
        <v>0</v>
      </c>
      <c r="K213" s="14" t="n">
        <f aca="false">+IF(K$190="NA",+K177+K137+K55+K26,0)</f>
        <v>0</v>
      </c>
      <c r="L213" s="14" t="n">
        <f aca="false">+IF(L$190="NA",+L177+L137+L55+L26,0)</f>
        <v>0</v>
      </c>
      <c r="M213" s="14" t="n">
        <f aca="false">SUM(G213:L213)</f>
        <v>47987.5</v>
      </c>
    </row>
    <row collapsed="false" customFormat="false" customHeight="false" hidden="false" ht="14" outlineLevel="1" r="214">
      <c r="B214" s="10" t="n">
        <f aca="false">+'bid input'!B21</f>
        <v>1104158</v>
      </c>
      <c r="C214" s="61" t="n">
        <f aca="false">+IF(D214&gt;0,IF(M27&gt;0,F27,0)+IF(M56&gt;0,SUMPRODUCT(G$36:L$36,G56:L56)/M56,0)+E138+IF(M178&gt;0,M$184,0),0)</f>
        <v>0.02125</v>
      </c>
      <c r="D214" s="14" t="n">
        <f aca="false">+M214</f>
        <v>37568.5</v>
      </c>
      <c r="G214" s="14" t="n">
        <f aca="false">+IF(G$190="NA",+G178+G138+G56+G27,0)</f>
        <v>0</v>
      </c>
      <c r="H214" s="14" t="n">
        <f aca="false">+IF(H$190="NA",+H178+H138+H56+H27,0)</f>
        <v>37568.5</v>
      </c>
      <c r="I214" s="14" t="n">
        <f aca="false">+IF(I$190="NA",+I178+I138+I56+I27,0)</f>
        <v>0</v>
      </c>
      <c r="J214" s="14" t="n">
        <f aca="false">+IF(J$190="NA",+J178+J138+J56+J27,0)</f>
        <v>0</v>
      </c>
      <c r="K214" s="14" t="n">
        <f aca="false">+IF(K$190="NA",+K178+K138+K56+K27,0)</f>
        <v>0</v>
      </c>
      <c r="L214" s="14" t="n">
        <f aca="false">+IF(L$190="NA",+L178+L138+L56+L27,0)</f>
        <v>0</v>
      </c>
      <c r="M214" s="14" t="n">
        <f aca="false">SUM(G214:L214)</f>
        <v>37568.5</v>
      </c>
    </row>
    <row collapsed="false" customFormat="false" customHeight="false" hidden="false" ht="14.9" outlineLevel="0" r="215">
      <c r="B215" s="2" t="s">
        <v>82</v>
      </c>
      <c r="C215" s="61" t="n">
        <f aca="false">+SUMPRODUCT(C195:C214,M195:M214)/M215</f>
        <v>0.025519941389867</v>
      </c>
      <c r="D215" s="14" t="n">
        <f aca="false">SUM(D195:D214)</f>
        <v>1174285</v>
      </c>
      <c r="G215" s="14" t="n">
        <f aca="false">SUM(G195:G214)</f>
        <v>318725</v>
      </c>
      <c r="H215" s="14" t="n">
        <f aca="false">SUM(H195:H214)</f>
        <v>375685</v>
      </c>
      <c r="I215" s="14" t="n">
        <f aca="false">SUM(I195:I214)</f>
        <v>479875</v>
      </c>
      <c r="J215" s="14" t="n">
        <f aca="false">SUM(J195:J214)</f>
        <v>0</v>
      </c>
      <c r="K215" s="14" t="n">
        <f aca="false">SUM(K195:K214)</f>
        <v>0</v>
      </c>
      <c r="L215" s="14" t="n">
        <f aca="false">SUM(L195:L214)</f>
        <v>0</v>
      </c>
      <c r="M215" s="14" t="n">
        <f aca="false">SUM(G215:L215)</f>
        <v>1174285</v>
      </c>
    </row>
    <row collapsed="false" customFormat="false" customHeight="false" hidden="false" ht="14" outlineLevel="0" r="216">
      <c r="C216" s="61"/>
    </row>
    <row collapsed="false" customFormat="false" customHeight="false" hidden="false" ht="14" outlineLevel="0" r="217">
      <c r="B217" s="0" t="s">
        <v>83</v>
      </c>
      <c r="C217" s="19" t="n">
        <v>0.01</v>
      </c>
    </row>
    <row collapsed="false" customFormat="false" customHeight="false" hidden="false" ht="14" outlineLevel="0" r="219">
      <c r="B219" s="0" t="s">
        <v>84</v>
      </c>
      <c r="C219" s="19" t="inlineStr">
        <f aca="false">+C217+C215</f>
        <is>
          <t/>
        </is>
      </c>
      <c r="G219" s="61" t="inlineStr">
        <f aca="false">+IF(G190="NA",G187+$C$217,0)</f>
        <is>
          <t/>
        </is>
      </c>
      <c r="H219" s="61" t="inlineStr">
        <f aca="false">+IF(H190="NA",H187+$C$217,0)</f>
        <is>
          <t/>
        </is>
      </c>
      <c r="I219" s="61" t="inlineStr">
        <f aca="false">+IF(I190="NA",I187+$C$217,0)</f>
        <is>
          <t/>
        </is>
      </c>
      <c r="J219" s="61" t="n">
        <f aca="false">+IF(J190="NA",J187+$C$217,0)</f>
        <v>0</v>
      </c>
      <c r="K219" s="61" t="n">
        <f aca="false">+IF(K190="NA",K187+$C$217,0)</f>
        <v>0</v>
      </c>
      <c r="L219" s="61" t="n">
        <f aca="false">+IF(L190="NA",L187+$C$217,0)</f>
        <v>0</v>
      </c>
      <c r="M219" s="61" t="n">
        <f aca="false">+SUMPRODUCT(G215:L215,G219:L219)/M215</f>
        <v>0.035519941389867</v>
      </c>
    </row>
    <row collapsed="false" customFormat="false" customHeight="false" hidden="false" ht="14" outlineLevel="0" r="220">
      <c r="G220" s="69" t="str">
        <f aca="false">+IF(G219=0, "NOT FUNDED","")</f>
        <v/>
      </c>
      <c r="H220" s="69" t="str">
        <f aca="false">+IF(H219=0, "NOT FUNDED","")</f>
        <v/>
      </c>
      <c r="I220" s="69" t="str">
        <f aca="false">+IF(I219=0, "NOT FUNDED","")</f>
        <v/>
      </c>
      <c r="J220" s="69" t="str">
        <f aca="false">+IF(J219=0, "NOT FUNDED","")</f>
        <v>NOT FUNDED</v>
      </c>
      <c r="K220" s="69" t="str">
        <f aca="false">+IF(K219=0, "NOT FUNDED","")</f>
        <v>NOT FUNDED</v>
      </c>
      <c r="L220" s="69" t="str">
        <f aca="false">+IF(L219=0, "NOT FUNDED","")</f>
        <v>NOT FUNDED</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Application>LibreOffice/3.4$Linux LibreOffice_project/340m1$Build-502</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