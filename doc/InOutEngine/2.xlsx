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 function="false" hidden="false" name="_xlnm._FilterDatabase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G51">
      <text>
        <r>
          <rPr>
            <rFont val="Tahoma"/>
            <charset val="1"/>
            <family val="2"/>
            <b val="true"/>
            <color rgb="00000000"/>
            <sz val="8"/>
          </rPr>
          <t xml:space="preserve">duHadway:
</t>
        </r>
        <r>
          <rPr>
            <rFont val="Tahoma"/>
            <charset val="1"/>
            <family val="2"/>
            <color rgb="00000000"/>
            <sz val="8"/>
          </rPr>
          <t xml:space="preserve">partial kill LIFO method due to over subscribed</t>
        </r>
      </text>
    </comment>
    <comment authorId="0" ref="K55">
      <text>
        <r>
          <rPr>
            <rFont val="Tahoma"/>
            <charset val="1"/>
            <family val="2"/>
            <b val="true"/>
            <color rgb="00000000"/>
            <sz val="8"/>
          </rPr>
          <t xml:space="preserve">duHadway:
</t>
        </r>
        <r>
          <rPr>
            <rFont val="Tahoma"/>
            <charset val="1"/>
            <family val="2"/>
            <color rgb="00000000"/>
            <sz val="8"/>
          </rPr>
          <t xml:space="preserve">killed due to over subscribed - lifo method</t>
        </r>
      </text>
    </comment>
    <comment authorId="0" ref="G56">
      <text>
        <r>
          <rPr>
            <rFont val="Tahoma"/>
            <charset val="1"/>
            <family val="2"/>
            <b val="true"/>
            <color rgb="00000000"/>
            <sz val="8"/>
          </rPr>
          <t xml:space="preserve">duHadway:
</t>
        </r>
        <r>
          <rPr>
            <rFont val="Tahoma"/>
            <charset val="1"/>
            <family val="2"/>
            <color rgb="00000000"/>
            <sz val="8"/>
          </rPr>
          <t xml:space="preserve">killed due to oversubscribed…lifo method</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<sst xmlns="http://schemas.openxmlformats.org/spreadsheetml/2006/main" count="198" uniqueCount="84">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</sst>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_(* #,##0.00_);_(* \(#,##0.00\);_(* \-??_);_(@_)" numFmtId="171"/>
    <numFmt formatCode="_(* #,##0_);_(* \(#,##0\);_(* \-??_);_(@_)" numFmtId="172"/>
    <numFmt formatCode="_(* #,##0.0_);_(* \(#,##0.0\);_(* \-??_);_(@_)" numFmtId="173"/>
    <numFmt formatCode="0.00%"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4">
    <fill>
      <patternFill patternType="none"/>
    </fill>
    <fill>
      <patternFill patternType="gray125"/>
    </fill>
    <fill>
      <patternFill patternType="solid">
        <fgColor rgb="00FFFF00"/>
        <bgColor rgb="00FFFF00"/>
      </patternFill>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1">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64"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false" applyProtection="false" borderId="0" fillId="2" fontId="0" numFmtId="166" xfId="0"/>
    <xf applyAlignment="false" applyBorder="true" applyFont="false" applyProtection="false" borderId="0" fillId="0" fontId="0" numFmtId="164" xfId="0"/>
    <xf applyAlignment="false" applyBorder="true" applyFont="true" applyProtection="false" borderId="1" fillId="3" fontId="0" numFmtId="164" xfId="0"/>
    <xf applyAlignment="false" applyBorder="true" applyFont="false" applyProtection="false" borderId="2" fillId="3" fontId="0" numFmtId="164" xfId="0"/>
    <xf applyAlignment="false" applyBorder="true" applyFont="false" applyProtection="false" borderId="2" fillId="3" fontId="0" numFmtId="166" xfId="0"/>
    <xf applyAlignment="false" applyBorder="true" applyFont="false" applyProtection="false" borderId="3" fillId="3" fontId="0" numFmtId="166" xfId="0"/>
    <xf applyAlignment="false" applyBorder="true" applyFont="true" applyProtection="false" borderId="7" fillId="3" fontId="0" numFmtId="164" xfId="0"/>
    <xf applyAlignment="false" applyBorder="true" applyFont="false" applyProtection="false" borderId="0" fillId="3" fontId="0" numFmtId="164" xfId="0"/>
    <xf applyAlignment="true" applyBorder="true" applyFont="true" applyProtection="true" borderId="0" fillId="3" fontId="0" numFmtId="167" xfId="19">
      <alignment horizontal="general" indent="0" shrinkToFit="false" textRotation="0" vertical="bottom" wrapText="false"/>
      <protection hidden="false" locked="true"/>
    </xf>
    <xf applyAlignment="false" applyBorder="true" applyFont="false" applyProtection="false" borderId="8" fillId="3" fontId="0" numFmtId="166" xfId="0"/>
    <xf applyAlignment="false" applyBorder="true" applyFont="true" applyProtection="false" borderId="4" fillId="3" fontId="0" numFmtId="164" xfId="0"/>
    <xf applyAlignment="false" applyBorder="true" applyFont="false" applyProtection="false" borderId="5" fillId="3" fontId="0" numFmtId="164" xfId="0"/>
    <xf applyAlignment="true" applyBorder="true" applyFont="true" applyProtection="true" borderId="5" fillId="3" fontId="0" numFmtId="168" xfId="19">
      <alignment horizontal="general" indent="0" shrinkToFit="false" textRotation="0" vertical="bottom" wrapText="false"/>
      <protection hidden="false" locked="true"/>
    </xf>
    <xf applyAlignment="true" applyBorder="true" applyFont="true" applyProtection="true" borderId="6" fillId="3" fontId="0" numFmtId="168" xfId="19">
      <alignment horizontal="general" indent="0" shrinkToFit="false" textRotation="0" vertical="bottom" wrapText="false"/>
      <protection hidden="false" locked="tru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2" xfId="15">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1"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2" xfId="0"/>
    <xf applyAlignment="false" applyBorder="false" applyFont="true" applyProtection="false" borderId="0" fillId="0" fontId="5" numFmtId="174"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4"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C2" activeCellId="0" pane="topLeft" sqref="C2"/>
    </sheetView>
  </sheetViews>
  <cols>
    <col collapsed="false" hidden="false" max="1" min="1" style="0" width="11.5254901960784"/>
    <col collapsed="false" hidden="false" max="3" min="2" style="0" width="8.92941176470588"/>
    <col collapsed="false" hidden="false" max="4" min="4" style="0" width="15.4117647058824"/>
    <col collapsed="false" hidden="false" max="8" min="5" style="0" width="8.92941176470588"/>
    <col collapsed="false" hidden="false" max="9" min="9" style="0" width="15.5529411764706"/>
    <col collapsed="false" hidden="false" max="10" min="10" style="0" width="15.9843137254902"/>
    <col collapsed="false" hidden="false" max="11" min="11" style="0" width="13.3882352941176"/>
    <col collapsed="false" hidden="false" max="12" min="12" style="0" width="9.79607843137255"/>
    <col collapsed="false" hidden="false" max="13" min="13" style="0" width="16.9960784313726"/>
    <col collapsed="false" hidden="false" max="14" min="14" style="0" width="17.1450980392157"/>
    <col collapsed="false" hidden="false" max="16" min="15" style="0" width="9.50196078431373"/>
    <col collapsed="false" hidden="false" max="18" min="17" style="0" width="8.92941176470588"/>
    <col collapsed="false" hidden="false" max="19" min="19" style="1" width="10.9411764705882"/>
    <col collapsed="false" hidden="false" max="20" min="20" style="0" width="12.0980392156863"/>
    <col collapsed="false" hidden="false" max="1025" min="21" style="0" width="8.92941176470588"/>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c r="L2" s="5" t="s">
        <v>21</v>
      </c>
      <c r="M2" s="6" t="n">
        <v>187500</v>
      </c>
      <c r="N2" s="9" t="n">
        <v>40892.5370949074</v>
      </c>
      <c r="O2" s="10" t="n">
        <f aca="false">+IF(AND(C2="Specified",J2="Competitive"),1,0)</f>
        <v>0</v>
      </c>
      <c r="P2" s="10" t="n">
        <f aca="false">+IF(AND(C2="Specified",J2="Noncompetitive"),1,0)</f>
        <v>1</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0.2</v>
      </c>
      <c r="G3" s="5" t="s">
        <v>22</v>
      </c>
      <c r="H3" s="5"/>
      <c r="I3" s="5" t="s">
        <v>23</v>
      </c>
      <c r="J3" s="5" t="s">
        <v>20</v>
      </c>
      <c r="K3" s="8"/>
      <c r="L3" s="5" t="s">
        <v>21</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0.2</v>
      </c>
      <c r="G4" s="5" t="s">
        <v>19</v>
      </c>
      <c r="H4" s="5" t="n">
        <v>2</v>
      </c>
      <c r="I4" s="5"/>
      <c r="J4" s="5" t="s">
        <v>20</v>
      </c>
      <c r="K4" s="8"/>
      <c r="L4" s="5" t="s">
        <v>21</v>
      </c>
      <c r="M4" s="6" t="n">
        <v>185000</v>
      </c>
      <c r="N4" s="9" t="n">
        <v>40913.3866666667</v>
      </c>
      <c r="O4" s="10" t="n">
        <f aca="false">+IF(AND(C4="Specified",J4="Competitive"),1,0)</f>
        <v>0</v>
      </c>
      <c r="P4" s="10" t="n">
        <f aca="false">+IF(AND(C4="Specified",J4="Noncompetitive"),1,0)</f>
        <v>1</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22</v>
      </c>
      <c r="H5" s="5"/>
      <c r="I5" s="5" t="s">
        <v>24</v>
      </c>
      <c r="J5" s="5" t="s">
        <v>20</v>
      </c>
      <c r="K5" s="8"/>
      <c r="L5" s="5" t="s">
        <v>21</v>
      </c>
      <c r="M5" s="6" t="n">
        <v>1500000</v>
      </c>
      <c r="N5" s="9" t="n">
        <v>40913.3856712963</v>
      </c>
      <c r="O5" s="10" t="n">
        <f aca="false">+IF(AND(C5="Specified",J5="Competitive"),1,0)</f>
        <v>0</v>
      </c>
      <c r="P5" s="10" t="n">
        <f aca="false">+IF(AND(C5="Specified",J5="Noncompetitive"),1,0)</f>
        <v>1</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c r="L6" s="5" t="s">
        <v>25</v>
      </c>
      <c r="M6" s="6" t="n">
        <v>860000</v>
      </c>
      <c r="N6" s="9"/>
      <c r="O6" s="10" t="n">
        <f aca="false">+IF(AND(C6="Specified",J6="Competitive"),1,0)</f>
        <v>0</v>
      </c>
      <c r="P6" s="10" t="n">
        <f aca="false">+IF(AND(C6="Specified",J6="Noncompetitive"),1,0)</f>
        <v>1</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c r="L7" s="5" t="s">
        <v>25</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c r="L8" s="5" t="s">
        <v>25</v>
      </c>
      <c r="M8" s="6" t="n">
        <v>250000</v>
      </c>
      <c r="N8" s="9"/>
      <c r="O8" s="10" t="n">
        <f aca="false">+IF(AND(C8="Specified",J8="Competitive"),1,0)</f>
        <v>0</v>
      </c>
      <c r="P8" s="10" t="n">
        <f aca="false">+IF(AND(C8="Specified",J8="Noncompetitive"),1,0)</f>
        <v>1</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c r="L9" s="5" t="s">
        <v>25</v>
      </c>
      <c r="M9" s="6" t="n">
        <v>74000</v>
      </c>
      <c r="N9" s="9"/>
      <c r="O9" s="10" t="n">
        <f aca="false">+IF(AND(C9="Specified",J9="Competitive"),1,0)</f>
        <v>0</v>
      </c>
      <c r="P9" s="10" t="n">
        <f aca="false">+IF(AND(C9="Specified",J9="Noncompetitive"),1,0)</f>
        <v>1</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c r="L10" s="5" t="s">
        <v>25</v>
      </c>
      <c r="M10" s="6" t="n">
        <v>285000</v>
      </c>
      <c r="N10" s="9"/>
      <c r="O10" s="10" t="n">
        <f aca="false">+IF(AND(C10="Specified",J10="Competitive"),1,0)</f>
        <v>0</v>
      </c>
      <c r="P10" s="10" t="n">
        <f aca="false">+IF(AND(C10="Specified",J10="Noncompetitive"),1,0)</f>
        <v>1</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c r="L11" s="5" t="s">
        <v>25</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c r="L12" s="5" t="s">
        <v>25</v>
      </c>
      <c r="M12" s="6" t="n">
        <v>292000</v>
      </c>
      <c r="N12" s="9"/>
      <c r="O12" s="10" t="n">
        <f aca="false">+IF(AND(C12="Specified",J12="Competitive"),1,0)</f>
        <v>0</v>
      </c>
      <c r="P12" s="10" t="n">
        <f aca="false">+IF(AND(C12="Specified",J12="Noncompetitive"),1,0)</f>
        <v>1</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c r="L13" s="5" t="s">
        <v>25</v>
      </c>
      <c r="M13" s="6" t="n">
        <v>752000</v>
      </c>
      <c r="N13" s="9"/>
      <c r="O13" s="10" t="n">
        <f aca="false">+IF(AND(C13="Specified",J13="Competitive"),1,0)</f>
        <v>0</v>
      </c>
      <c r="P13" s="10" t="n">
        <f aca="false">+IF(AND(C13="Specified",J13="Noncompetitive"),1,0)</f>
        <v>1</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c r="L14" s="5" t="s">
        <v>25</v>
      </c>
      <c r="M14" s="6" t="n">
        <v>418000</v>
      </c>
      <c r="N14" s="9"/>
      <c r="O14" s="10" t="n">
        <f aca="false">+IF(AND(C14="Specified",J14="Competitive"),1,0)</f>
        <v>0</v>
      </c>
      <c r="P14" s="10" t="n">
        <f aca="false">+IF(AND(C14="Specified",J14="Noncompetitive"),1,0)</f>
        <v>1</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c r="L15" s="5" t="s">
        <v>25</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c r="L16" s="5" t="s">
        <v>25</v>
      </c>
      <c r="M16" s="6" t="n">
        <v>283000</v>
      </c>
      <c r="N16" s="9"/>
      <c r="O16" s="10" t="n">
        <f aca="false">+IF(AND(C16="Specified",J16="Competitive"),1,0)</f>
        <v>0</v>
      </c>
      <c r="P16" s="10" t="n">
        <f aca="false">+IF(AND(C16="Specified",J16="Noncompetitive"),1,0)</f>
        <v>1</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c r="L17" s="5" t="s">
        <v>25</v>
      </c>
      <c r="M17" s="6" t="n">
        <v>598000</v>
      </c>
      <c r="N17" s="9"/>
      <c r="O17" s="10" t="n">
        <f aca="false">+IF(AND(C17="Specified",J17="Competitive"),1,0)</f>
        <v>0</v>
      </c>
      <c r="P17" s="10" t="n">
        <f aca="false">+IF(AND(C17="Specified",J17="Noncompetitive"),1,0)</f>
        <v>1</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c r="L18" s="5" t="s">
        <v>25</v>
      </c>
      <c r="M18" s="6" t="n">
        <v>639000</v>
      </c>
      <c r="N18" s="9"/>
      <c r="O18" s="10" t="n">
        <f aca="false">+IF(AND(C18="Specified",J18="Competitive"),1,0)</f>
        <v>0</v>
      </c>
      <c r="P18" s="10" t="n">
        <f aca="false">+IF(AND(C18="Specified",J18="Noncompetitive"),1,0)</f>
        <v>1</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c r="L19" s="5" t="s">
        <v>25</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c r="L20" s="5" t="s">
        <v>25</v>
      </c>
      <c r="M20" s="6" t="n">
        <v>629000</v>
      </c>
      <c r="N20" s="9"/>
      <c r="O20" s="10" t="n">
        <f aca="false">+IF(AND(C20="Specified",J20="Competitive"),1,0)</f>
        <v>0</v>
      </c>
      <c r="P20" s="10" t="n">
        <f aca="false">+IF(AND(C20="Specified",J20="Noncompetitive"),1,0)</f>
        <v>1</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c r="L21" s="5" t="s">
        <v>25</v>
      </c>
      <c r="M21" s="6" t="n">
        <v>562000</v>
      </c>
      <c r="N21" s="9"/>
      <c r="O21" s="10" t="n">
        <f aca="false">+IF(AND(C21="Specified",J21="Competitive"),1,0)</f>
        <v>0</v>
      </c>
      <c r="P21" s="10" t="n">
        <f aca="false">+IF(AND(C21="Specified",J21="Noncompetitive"),1,0)</f>
        <v>1</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3" activeCellId="0" pane="topLeft" sqref="A3"/>
    </sheetView>
  </sheetViews>
  <cols>
    <col collapsed="false" hidden="false" max="1" min="1" style="0" width="8.92941176470588"/>
    <col collapsed="false" hidden="false" max="2" min="2" style="0" width="12.956862745098"/>
    <col collapsed="false" hidden="false" max="3" min="3" style="0" width="14.9803921568627"/>
    <col collapsed="false" hidden="false" max="4" min="4" style="0" width="16.1333333333333"/>
    <col collapsed="false" hidden="false" max="5" min="5" style="0" width="17.1450980392157"/>
    <col collapsed="false" hidden="false" max="6" min="6" style="0" width="18.1490196078431"/>
    <col collapsed="false" hidden="false" max="7" min="7" style="0" width="13.5372549019608"/>
    <col collapsed="false" hidden="false" max="9" min="8" style="0" width="15.121568627451"/>
    <col collapsed="false" hidden="false" max="10" min="10" style="0" width="19.2980392156863"/>
    <col collapsed="false" hidden="false" max="11" min="11" style="0" width="14.9803921568627"/>
    <col collapsed="false" hidden="false" max="12" min="12" style="0" width="13.9686274509804"/>
    <col collapsed="false" hidden="false" max="13" min="13" style="0" width="14.4"/>
    <col collapsed="false" hidden="false" max="14" min="14" style="0" width="8.92941176470588"/>
    <col collapsed="false" hidden="false" max="15" min="15" style="0" width="8.21176470588235"/>
    <col collapsed="false" hidden="false" max="16" min="16" style="0" width="17.5686274509804"/>
    <col collapsed="false" hidden="false" max="17" min="17" style="0" width="15.9843137254902"/>
    <col collapsed="false" hidden="false" max="18" min="18" style="0" width="12.2392156862745"/>
    <col collapsed="false" hidden="false" max="1025" min="19" style="0" width="8.92941176470588"/>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true" ht="28.35" outlineLevel="1" r="7">
      <c r="B7" s="15" t="s">
        <v>33</v>
      </c>
      <c r="C7" s="15" t="s">
        <v>34</v>
      </c>
      <c r="D7" s="15" t="s">
        <v>22</v>
      </c>
      <c r="E7" s="16" t="s">
        <v>35</v>
      </c>
      <c r="F7" s="15" t="s">
        <v>36</v>
      </c>
      <c r="K7" s="14"/>
    </row>
    <row collapsed="false" customFormat="false" customHeight="false" hidden="true" ht="14" outlineLevel="1" r="8">
      <c r="B8" s="10" t="n">
        <f aca="false">+'bid input'!B2</f>
        <v>1104134</v>
      </c>
      <c r="C8" s="17" t="n">
        <f aca="false">+'bid input'!H2</f>
        <v>1</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0</v>
      </c>
      <c r="D9" s="0" t="str">
        <f aca="false">+'bid input'!I3</f>
        <v>ABC Mortgage</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2</v>
      </c>
      <c r="D10" s="10" t="n">
        <f aca="false">+'bid input'!I4</f>
        <v>0</v>
      </c>
      <c r="E10" s="18" t="str">
        <f aca="false">+IF('bid input'!O4=1,"Y","N")</f>
        <v>N</v>
      </c>
      <c r="F10" s="19" t="inlineStr">
        <f aca="false">+'bid input'!K4</f>
        <is>
          <t/>
        </is>
      </c>
      <c r="G10" s="14" t="n">
        <f aca="false">+IF(AND($E10="Y",$C10=G$2,$C10&gt;0),'bid input'!$F4,IF(AND($E10="Y",$D10=G$3,$C10=0),'bid input'!$F4,0))*G$4</f>
        <v>0</v>
      </c>
      <c r="H10" s="14" t="n">
        <f aca="false">+IF(AND($E10="Y",$C10=H$2,$C10&gt;0),'bid input'!$F4,IF(AND($E10="Y",$D10=H$3,$C10=0),'bid input'!$F4,0))*H$4</f>
        <v>0</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0</v>
      </c>
    </row>
    <row collapsed="false" customFormat="false" customHeight="false" hidden="true" ht="14" outlineLevel="1" r="11">
      <c r="B11" s="10" t="n">
        <f aca="false">+'bid input'!B5</f>
        <v>1104152</v>
      </c>
      <c r="C11" s="17" t="n">
        <f aca="false">+'bid input'!H5</f>
        <v>0</v>
      </c>
      <c r="D11" s="0" t="str">
        <f aca="false">+'bid input'!I5</f>
        <v>Prime Lending</v>
      </c>
      <c r="E11" s="18" t="str">
        <f aca="false">+IF('bid input'!O5=1,"Y","N")</f>
        <v>N</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0</v>
      </c>
    </row>
    <row collapsed="false" customFormat="false" customHeight="false" hidden="true" ht="14" outlineLevel="1" r="12">
      <c r="B12" s="10" t="n">
        <f aca="false">+'bid input'!B6</f>
        <v>1104136</v>
      </c>
      <c r="C12" s="17" t="n">
        <f aca="false">+'bid input'!H6</f>
        <v>4</v>
      </c>
      <c r="D12" s="10" t="n">
        <f aca="false">+'bid input'!I6</f>
        <v>0</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0</v>
      </c>
      <c r="D13" s="0" t="str">
        <f aca="false">+'bid input'!I7</f>
        <v>Best Loans Inc</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1</v>
      </c>
      <c r="D14" s="10" t="n">
        <f aca="false">+'bid input'!I8</f>
        <v>0</v>
      </c>
      <c r="E14" s="18" t="str">
        <f aca="false">+IF('bid input'!O8=1,"Y","N")</f>
        <v>N</v>
      </c>
      <c r="F14" s="19" t="inlineStr">
        <f aca="false">+'bid input'!K8</f>
        <is>
          <t/>
        </is>
      </c>
      <c r="G14" s="14" t="n">
        <f aca="false">+IF(AND($E14="Y",$C14=G$2,$C14&gt;0),'bid input'!$F8,IF(AND($E14="Y",$D14=G$3,$C14=0),'bid input'!$F8,0))*G$4</f>
        <v>0</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0</v>
      </c>
    </row>
    <row collapsed="false" customFormat="false" customHeight="false" hidden="true" ht="14" outlineLevel="1" r="15">
      <c r="B15" s="10" t="n">
        <f aca="false">+'bid input'!B9</f>
        <v>1104140</v>
      </c>
      <c r="C15" s="17" t="n">
        <f aca="false">+'bid input'!H9</f>
        <v>5</v>
      </c>
      <c r="D15" s="10" t="n">
        <f aca="false">+'bid input'!I9</f>
        <v>0</v>
      </c>
      <c r="E15" s="18" t="str">
        <f aca="false">+IF('bid input'!O9=1,"Y","N")</f>
        <v>N</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0</v>
      </c>
    </row>
    <row collapsed="false" customFormat="false" customHeight="false" hidden="true" ht="14" outlineLevel="1" r="16">
      <c r="B16" s="10" t="n">
        <f aca="false">+'bid input'!B10</f>
        <v>1104141</v>
      </c>
      <c r="C16" s="17" t="n">
        <f aca="false">+'bid input'!H10</f>
        <v>5</v>
      </c>
      <c r="D16" s="10" t="n">
        <f aca="false">+'bid input'!I10</f>
        <v>0</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1</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4</v>
      </c>
      <c r="D18" s="10" t="n">
        <f aca="false">+'bid input'!I12</f>
        <v>0</v>
      </c>
      <c r="E18" s="18" t="str">
        <f aca="false">+IF('bid input'!O12=1,"Y","N")</f>
        <v>N</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0</v>
      </c>
    </row>
    <row collapsed="false" customFormat="false" customHeight="false" hidden="true" ht="14" outlineLevel="1" r="19">
      <c r="B19" s="10" t="n">
        <f aca="false">+'bid input'!B13</f>
        <v>1104145</v>
      </c>
      <c r="C19" s="17" t="n">
        <f aca="false">+'bid input'!H13</f>
        <v>1</v>
      </c>
      <c r="D19" s="10" t="n">
        <f aca="false">+'bid input'!I13</f>
        <v>0</v>
      </c>
      <c r="E19" s="18" t="str">
        <f aca="false">+IF('bid input'!O13=1,"Y","N")</f>
        <v>N</v>
      </c>
      <c r="F19" s="19" t="inlineStr">
        <f aca="false">+'bid input'!K13</f>
        <is>
          <t/>
        </is>
      </c>
      <c r="G19" s="14" t="n">
        <f aca="false">+IF(AND($E19="Y",$C19=G$2,$C19&gt;0),'bid input'!$F13,IF(AND($E19="Y",$D19=G$3,$C19=0),'bid input'!$F13,0))*G$4</f>
        <v>0</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0</v>
      </c>
    </row>
    <row collapsed="false" customFormat="false" customHeight="false" hidden="true" ht="14" outlineLevel="1" r="20">
      <c r="B20" s="10" t="n">
        <f aca="false">+'bid input'!B14</f>
        <v>1104133</v>
      </c>
      <c r="C20" s="17" t="n">
        <f aca="false">+'bid input'!H14</f>
        <v>4</v>
      </c>
      <c r="D20" s="10" t="n">
        <f aca="false">+'bid input'!I14</f>
        <v>0</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5</v>
      </c>
      <c r="D21" s="10" t="n">
        <f aca="false">+'bid input'!I15</f>
        <v>0</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1</v>
      </c>
      <c r="D22" s="10" t="n">
        <f aca="false">+'bid input'!I16</f>
        <v>0</v>
      </c>
      <c r="E22" s="18" t="str">
        <f aca="false">+IF('bid input'!O16=1,"Y","N")</f>
        <v>N</v>
      </c>
      <c r="F22" s="19" t="inlineStr">
        <f aca="false">+'bid input'!K16</f>
        <is>
          <t/>
        </is>
      </c>
      <c r="G22" s="14" t="n">
        <f aca="false">+IF(AND($E22="Y",$C22=G$2,$C22&gt;0),'bid input'!$F16,IF(AND($E22="Y",$D22=G$3,$C22=0),'bid input'!$F16,0))*G$4</f>
        <v>0</v>
      </c>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true" ht="14" outlineLevel="1" r="23">
      <c r="B23" s="10" t="n">
        <f aca="false">+'bid input'!B17</f>
        <v>1104131</v>
      </c>
      <c r="C23" s="17" t="n">
        <f aca="false">+'bid input'!H17</f>
        <v>4</v>
      </c>
      <c r="D23" s="10" t="n">
        <f aca="false">+'bid input'!I17</f>
        <v>0</v>
      </c>
      <c r="E23" s="18" t="str">
        <f aca="false">+IF('bid input'!O17=1,"Y","N")</f>
        <v>N</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0</v>
      </c>
    </row>
    <row collapsed="false" customFormat="false" customHeight="false" hidden="true" ht="14" outlineLevel="1" r="24">
      <c r="B24" s="10" t="n">
        <f aca="false">+'bid input'!B18</f>
        <v>1104155</v>
      </c>
      <c r="C24" s="17" t="n">
        <f aca="false">+'bid input'!H18</f>
        <v>0</v>
      </c>
      <c r="D24" s="0" t="str">
        <f aca="false">+'bid input'!I18</f>
        <v>Best Loans Inc</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2</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0</v>
      </c>
      <c r="D26" s="0" t="str">
        <f aca="false">+'bid input'!I20</f>
        <v>Best Loans Inc</v>
      </c>
      <c r="E26" s="18" t="str">
        <f aca="false">+IF('bid input'!O20=1,"Y","N")</f>
        <v>N</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0</v>
      </c>
    </row>
    <row collapsed="false" customFormat="false" customHeight="false" hidden="true" ht="14" outlineLevel="1" r="27">
      <c r="B27" s="10" t="n">
        <f aca="false">+'bid input'!B21</f>
        <v>1104158</v>
      </c>
      <c r="C27" s="17" t="n">
        <f aca="false">+'bid input'!H21</f>
        <v>1</v>
      </c>
      <c r="D27" s="10" t="n">
        <f aca="false">+'bid input'!I21</f>
        <v>0</v>
      </c>
      <c r="E27" s="18" t="str">
        <f aca="false">+IF('bid input'!O21=1,"Y","N")</f>
        <v>N</v>
      </c>
      <c r="F27" s="19" t="inlineStr">
        <f aca="false">+'bid input'!K21</f>
        <is>
          <t/>
        </is>
      </c>
      <c r="G27" s="14" t="n">
        <f aca="false">+IF(AND($E27="Y",$C27=G$2,$C27&gt;0),'bid input'!$F21,IF(AND($E27="Y",$D27=G$3,$C27=0),'bid input'!$F21,0))*G$4</f>
        <v>0</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0</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37</v>
      </c>
      <c r="E29" s="21"/>
      <c r="F29" s="21"/>
      <c r="G29" s="22" t="n">
        <f aca="false">SUM(G8:G28)</f>
        <v>0</v>
      </c>
      <c r="H29" s="22" t="n">
        <f aca="false">SUM(H8:H28)</f>
        <v>0</v>
      </c>
      <c r="I29" s="22" t="n">
        <f aca="false">SUM(I8:I28)</f>
        <v>0</v>
      </c>
      <c r="J29" s="22" t="n">
        <f aca="false">SUM(J8:J28)</f>
        <v>0</v>
      </c>
      <c r="K29" s="22" t="n">
        <f aca="false">SUM(K8:K28)</f>
        <v>0</v>
      </c>
      <c r="L29" s="22" t="n">
        <f aca="false">SUM(L8:L28)</f>
        <v>0</v>
      </c>
      <c r="M29" s="23" t="n">
        <f aca="false">SUM(G29:L29)</f>
        <v>0</v>
      </c>
    </row>
    <row collapsed="false" customFormat="false" customHeight="false" hidden="false" ht="14" outlineLevel="0" r="30">
      <c r="D30" s="24" t="s">
        <v>38</v>
      </c>
      <c r="E30" s="25"/>
      <c r="F30" s="25"/>
      <c r="G30" s="26" t="str">
        <f aca="false">+IF(G29&gt;0,SUMPRODUCT($F$8:$F$27,G$8:G$27)/G$29,"")</f>
        <v/>
      </c>
      <c r="H30" s="26" t="str">
        <f aca="false">+IF(H29&gt;0,SUMPRODUCT($F$8:$F$27,H$8:H$27)/H$29,"")</f>
        <v/>
      </c>
      <c r="I30" s="26" t="str">
        <f aca="false">+IF(I29&gt;0,SUMPRODUCT($F$8:$F$27,I$8:I$27)/I$29,"")</f>
        <v/>
      </c>
      <c r="J30" s="26" t="str">
        <f aca="false">+IF(J29&gt;0,SUMPRODUCT($F$8:$F$27,J$8:J$27)/J$29,"")</f>
        <v/>
      </c>
      <c r="K30" s="26" t="str">
        <f aca="false">+IF(K29&gt;0,SUMPRODUCT($F$8:$F$27,K$8:K$27)/K$29,"")</f>
        <v/>
      </c>
      <c r="L30" s="26" t="str">
        <f aca="false">+IF(L29&gt;0,SUMPRODUCT($F$8:$F$27,L$8:L$27)/L$29,"")</f>
        <v/>
      </c>
      <c r="M30" s="27" t="e">
        <f aca="false">+SUMPRODUCT(G29:L29,G30:L30)/M29</f>
        <v>#DIV/0!</v>
      </c>
    </row>
    <row collapsed="false" customFormat="false" customHeight="false" hidden="false" ht="14" outlineLevel="0" r="32">
      <c r="D32" s="0" t="s">
        <v>39</v>
      </c>
      <c r="G32" s="14" t="n">
        <f aca="false">+G4-G29</f>
        <v>318725</v>
      </c>
      <c r="H32" s="14" t="n">
        <f aca="false">+H4-H29</f>
        <v>375685</v>
      </c>
      <c r="I32" s="14" t="n">
        <f aca="false">+I4-I29</f>
        <v>479875</v>
      </c>
      <c r="J32" s="14" t="n">
        <f aca="false">+J4-J29</f>
        <v>525400</v>
      </c>
      <c r="K32" s="14" t="n">
        <f aca="false">+K4-K29</f>
        <v>515425</v>
      </c>
      <c r="L32" s="14" t="n">
        <f aca="false">+L4-L29</f>
        <v>485000</v>
      </c>
      <c r="M32" s="14" t="n">
        <f aca="false">SUM(G32:L32)</f>
        <v>2700110</v>
      </c>
    </row>
    <row collapsed="false" customFormat="false" customHeight="false" hidden="false" ht="14" outlineLevel="0" r="33">
      <c r="D33" s="0" t="s">
        <v>40</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41</v>
      </c>
    </row>
    <row collapsed="false" customFormat="false" customHeight="true" hidden="true" ht="27.95" outlineLevel="1" r="36">
      <c r="B36" s="15" t="s">
        <v>33</v>
      </c>
      <c r="C36" s="15" t="s">
        <v>34</v>
      </c>
      <c r="D36" s="15" t="s">
        <v>22</v>
      </c>
      <c r="E36" s="16" t="s">
        <v>42</v>
      </c>
      <c r="F36" s="15" t="s">
        <v>43</v>
      </c>
      <c r="G36" s="29" t="n">
        <v>0.035</v>
      </c>
      <c r="H36" s="29" t="inlineStr">
        <f aca="false">+G36</f>
        <is>
          <t/>
        </is>
      </c>
      <c r="I36" s="29" t="inlineStr">
        <f aca="false">+H36</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1</v>
      </c>
      <c r="D37" s="10" t="n">
        <f aca="false">+D8</f>
        <v>0</v>
      </c>
      <c r="E37" s="18" t="str">
        <f aca="false">+IF('bid input'!P2=1,"Y","N")</f>
        <v>Y</v>
      </c>
      <c r="F37" s="19"/>
      <c r="G37" s="14" t="n">
        <f aca="false">+IF(AND($E37="Y",$C37=G$2,$C37&gt;0),'bid input'!$F2,IF(AND($E37="Y",$D37=G$3,$C37=0),'bid input'!$F2,0))*G$4</f>
        <v>63745</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63745</v>
      </c>
    </row>
    <row collapsed="false" customFormat="false" customHeight="true" hidden="true" ht="14.1" outlineLevel="1" r="38">
      <c r="B38" s="10" t="n">
        <f aca="false">+B9</f>
        <v>1104143</v>
      </c>
      <c r="C38" s="10" t="n">
        <f aca="false">+C9</f>
        <v>0</v>
      </c>
      <c r="D38" s="0" t="str">
        <f aca="false">+D9</f>
        <v>ABC Mortgage</v>
      </c>
      <c r="E38" s="18" t="str">
        <f aca="false">+IF('bid input'!P3=1,"Y","N")</f>
        <v>Y</v>
      </c>
      <c r="F38" s="19"/>
      <c r="G38" s="14" t="n">
        <f aca="false">+IF(AND($E38="Y",$C38=G$2,$C38&gt;0),'bid input'!$F3,IF(AND($E38="Y",$D38=G$3,$C38=0),'bid input'!$F3,0))*G$4</f>
        <v>63745</v>
      </c>
      <c r="H38" s="14" t="n">
        <f aca="false">+IF(AND($E38="Y",$C38=H$2,$C38&gt;0),'bid input'!$F3,IF(AND($E38="Y",$D38=H$3,$C38=0),'bid input'!$F3,0))*H$4</f>
        <v>75137</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138882</v>
      </c>
    </row>
    <row collapsed="false" customFormat="false" customHeight="true" hidden="true" ht="14.1" outlineLevel="1" r="39">
      <c r="B39" s="10" t="n">
        <f aca="false">+B10</f>
        <v>1104154</v>
      </c>
      <c r="C39" s="10" t="n">
        <f aca="false">+C10</f>
        <v>2</v>
      </c>
      <c r="D39" s="10" t="n">
        <f aca="false">+D10</f>
        <v>0</v>
      </c>
      <c r="E39" s="18" t="str">
        <f aca="false">+IF('bid input'!P4=1,"Y","N")</f>
        <v>Y</v>
      </c>
      <c r="F39" s="19"/>
      <c r="G39" s="14" t="n">
        <f aca="false">+IF(AND($E39="Y",$C39=G$2,$C39&gt;0),'bid input'!$F4,IF(AND($E39="Y",$D39=G$3,$C39=0),'bid input'!$F4,0))*G$4</f>
        <v>0</v>
      </c>
      <c r="H39" s="14" t="n">
        <f aca="false">+IF(AND($E39="Y",$C39=H$2,$C39&gt;0),'bid input'!$F4,IF(AND($E39="Y",$D39=H$3,$C39=0),'bid input'!$F4,0))*H$4</f>
        <v>75137</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75137</v>
      </c>
    </row>
    <row collapsed="false" customFormat="false" customHeight="true" hidden="true" ht="14.1" outlineLevel="1" r="40">
      <c r="B40" s="10" t="n">
        <f aca="false">+B11</f>
        <v>1104152</v>
      </c>
      <c r="C40" s="10" t="n">
        <f aca="false">+C11</f>
        <v>0</v>
      </c>
      <c r="D40" s="0" t="str">
        <f aca="false">+D11</f>
        <v>Prime Lending</v>
      </c>
      <c r="E40" s="18" t="str">
        <f aca="false">+IF('bid input'!P5=1,"Y","N")</f>
        <v>Y</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95975</v>
      </c>
      <c r="J40" s="14" t="n">
        <f aca="false">+IF(AND($E40="Y",$C40=J$2,$C40&gt;0),'bid input'!$F5,IF(AND($E40="Y",$D40=J$3,$C40=0),'bid input'!$F5,0))*J$4</f>
        <v>105080</v>
      </c>
      <c r="K40" s="14" t="n">
        <f aca="false">+IF(AND($E40="Y",$C40=K$2,$C40&gt;0),'bid input'!$F5,IF(AND($E40="Y",$D40=K$3,$C40=0),'bid input'!$F5,0))*K$4</f>
        <v>0</v>
      </c>
      <c r="L40" s="14" t="n">
        <f aca="false">+IF(AND($E40="Y",$C40=L$2,$C40&gt;0),'bid input'!$F5,IF(AND($E40="Y",$D40=L$3,$C40=0),'bid input'!$F5,0))*L$4</f>
        <v>0</v>
      </c>
      <c r="M40" s="14" t="n">
        <f aca="false">SUM(G40:L40)</f>
        <v>201055</v>
      </c>
    </row>
    <row collapsed="false" customFormat="false" customHeight="true" hidden="true" ht="14.1" outlineLevel="1" r="41">
      <c r="B41" s="10" t="n">
        <f aca="false">+B12</f>
        <v>1104136</v>
      </c>
      <c r="C41" s="10" t="n">
        <f aca="false">+C12</f>
        <v>4</v>
      </c>
      <c r="D41" s="10" t="n">
        <f aca="false">+D12</f>
        <v>0</v>
      </c>
      <c r="E41" s="18" t="str">
        <f aca="false">+IF('bid input'!P6=1,"Y","N")</f>
        <v>Y</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105080</v>
      </c>
      <c r="K41" s="14" t="n">
        <f aca="false">+IF(AND($E41="Y",$C41=K$2,$C41&gt;0),'bid input'!$F6,IF(AND($E41="Y",$D41=K$3,$C41=0),'bid input'!$F6,0))*K$4</f>
        <v>0</v>
      </c>
      <c r="L41" s="14" t="n">
        <f aca="false">+IF(AND($E41="Y",$C41=L$2,$C41&gt;0),'bid input'!$F6,IF(AND($E41="Y",$D41=L$3,$C41=0),'bid input'!$F6,0))*L$4</f>
        <v>0</v>
      </c>
      <c r="M41" s="14" t="n">
        <f aca="false">SUM(G41:L41)</f>
        <v>105080</v>
      </c>
    </row>
    <row collapsed="false" customFormat="false" customHeight="true" hidden="true" ht="14.1" outlineLevel="1" r="42">
      <c r="B42" s="10" t="n">
        <f aca="false">+B13</f>
        <v>1104138</v>
      </c>
      <c r="C42" s="10" t="n">
        <f aca="false">+C13</f>
        <v>0</v>
      </c>
      <c r="D42" s="0" t="str">
        <f aca="false">+D13</f>
        <v>Best Loans Inc</v>
      </c>
      <c r="E42" s="18" t="str">
        <f aca="false">+IF('bid input'!P7=1,"Y","N")</f>
        <v>Y</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103085</v>
      </c>
      <c r="L42" s="14" t="n">
        <f aca="false">+IF(AND($E42="Y",$C42=L$2,$C42&gt;0),'bid input'!$F7,IF(AND($E42="Y",$D42=L$3,$C42=0),'bid input'!$F7,0))*L$4</f>
        <v>0</v>
      </c>
      <c r="M42" s="14" t="n">
        <f aca="false">SUM(G42:L42)</f>
        <v>103085</v>
      </c>
    </row>
    <row collapsed="false" customFormat="false" customHeight="true" hidden="true" ht="14.1" outlineLevel="1" r="43">
      <c r="B43" s="10" t="n">
        <f aca="false">+B14</f>
        <v>1104139</v>
      </c>
      <c r="C43" s="10" t="n">
        <f aca="false">+C14</f>
        <v>1</v>
      </c>
      <c r="D43" s="10" t="n">
        <f aca="false">+D14</f>
        <v>0</v>
      </c>
      <c r="E43" s="18" t="str">
        <f aca="false">+IF('bid input'!P8=1,"Y","N")</f>
        <v>Y</v>
      </c>
      <c r="F43" s="19"/>
      <c r="G43" s="14" t="n">
        <f aca="false">+IF(AND($E43="Y",$C43=G$2,$C43&gt;0),'bid input'!$F8,IF(AND($E43="Y",$D43=G$3,$C43=0),'bid input'!$F8,0))*G$4</f>
        <v>63745</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63745</v>
      </c>
    </row>
    <row collapsed="false" customFormat="false" customHeight="true" hidden="true" ht="14.1" outlineLevel="1" r="44">
      <c r="B44" s="10" t="n">
        <f aca="false">+B15</f>
        <v>1104140</v>
      </c>
      <c r="C44" s="10" t="n">
        <f aca="false">+C15</f>
        <v>5</v>
      </c>
      <c r="D44" s="10" t="n">
        <f aca="false">+D15</f>
        <v>0</v>
      </c>
      <c r="E44" s="18" t="str">
        <f aca="false">+IF('bid input'!P9=1,"Y","N")</f>
        <v>Y</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103085</v>
      </c>
      <c r="L44" s="14" t="n">
        <f aca="false">+IF(AND($E44="Y",$C44=L$2,$C44&gt;0),'bid input'!$F9,IF(AND($E44="Y",$D44=L$3,$C44=0),'bid input'!$F9,0))*L$4</f>
        <v>0</v>
      </c>
      <c r="M44" s="14" t="n">
        <f aca="false">SUM(G44:L44)</f>
        <v>103085</v>
      </c>
    </row>
    <row collapsed="false" customFormat="false" customHeight="true" hidden="true" ht="14.1" outlineLevel="1" r="45">
      <c r="B45" s="10" t="n">
        <f aca="false">+B16</f>
        <v>1104141</v>
      </c>
      <c r="C45" s="10" t="n">
        <f aca="false">+C16</f>
        <v>5</v>
      </c>
      <c r="D45" s="10" t="n">
        <f aca="false">+D16</f>
        <v>0</v>
      </c>
      <c r="E45" s="18" t="str">
        <f aca="false">+IF('bid input'!P10=1,"Y","N")</f>
        <v>Y</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103085</v>
      </c>
      <c r="L45" s="14" t="n">
        <f aca="false">+IF(AND($E45="Y",$C45=L$2,$C45&gt;0),'bid input'!$F10,IF(AND($E45="Y",$D45=L$3,$C45=0),'bid input'!$F10,0))*L$4</f>
        <v>0</v>
      </c>
      <c r="M45" s="14" t="n">
        <f aca="false">SUM(G45:L45)</f>
        <v>103085</v>
      </c>
    </row>
    <row collapsed="false" customFormat="false" customHeight="true" hidden="true" ht="14.1" outlineLevel="1" r="46">
      <c r="B46" s="10" t="n">
        <f aca="false">+B17</f>
        <v>1104159</v>
      </c>
      <c r="C46" s="10" t="n">
        <f aca="false">+C17</f>
        <v>1</v>
      </c>
      <c r="D46" s="10" t="n">
        <f aca="false">+D17</f>
        <v>0</v>
      </c>
      <c r="E46" s="18" t="str">
        <f aca="false">+IF('bid input'!P11=1,"Y","N")</f>
        <v>Y</v>
      </c>
      <c r="F46" s="19"/>
      <c r="G46" s="14" t="n">
        <f aca="false">+IF(AND($E46="Y",$C46=G$2,$C46&gt;0),'bid input'!$F11,IF(AND($E46="Y",$D46=G$3,$C46=0),'bid input'!$F11,0))*G$4</f>
        <v>63745</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63745</v>
      </c>
    </row>
    <row collapsed="false" customFormat="false" customHeight="true" hidden="true" ht="14.1" outlineLevel="1" r="47">
      <c r="B47" s="10" t="n">
        <f aca="false">+B18</f>
        <v>1104161</v>
      </c>
      <c r="C47" s="10" t="n">
        <f aca="false">+C18</f>
        <v>4</v>
      </c>
      <c r="D47" s="10" t="n">
        <f aca="false">+D18</f>
        <v>0</v>
      </c>
      <c r="E47" s="18" t="str">
        <f aca="false">+IF('bid input'!P12=1,"Y","N")</f>
        <v>Y</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105080</v>
      </c>
      <c r="K47" s="14" t="n">
        <f aca="false">+IF(AND($E47="Y",$C47=K$2,$C47&gt;0),'bid input'!$F12,IF(AND($E47="Y",$D47=K$3,$C47=0),'bid input'!$F12,0))*K$4</f>
        <v>0</v>
      </c>
      <c r="L47" s="14" t="n">
        <f aca="false">+IF(AND($E47="Y",$C47=L$2,$C47&gt;0),'bid input'!$F12,IF(AND($E47="Y",$D47=L$3,$C47=0),'bid input'!$F12,0))*L$4</f>
        <v>0</v>
      </c>
      <c r="M47" s="14" t="n">
        <f aca="false">SUM(G47:L47)</f>
        <v>105080</v>
      </c>
    </row>
    <row collapsed="false" customFormat="false" customHeight="true" hidden="true" ht="14.1" outlineLevel="1" r="48">
      <c r="B48" s="10" t="n">
        <f aca="false">+B19</f>
        <v>1104145</v>
      </c>
      <c r="C48" s="10" t="n">
        <f aca="false">+C19</f>
        <v>1</v>
      </c>
      <c r="D48" s="10" t="n">
        <f aca="false">+D19</f>
        <v>0</v>
      </c>
      <c r="E48" s="18" t="str">
        <f aca="false">+IF('bid input'!P13=1,"Y","N")</f>
        <v>Y</v>
      </c>
      <c r="F48" s="19"/>
      <c r="G48" s="14" t="n">
        <f aca="false">+IF(AND($E48="Y",$C48=G$2,$C48&gt;0),'bid input'!$F13,IF(AND($E48="Y",$D48=G$3,$C48=0),'bid input'!$F13,0))*G$4</f>
        <v>31872.5</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31872.5</v>
      </c>
    </row>
    <row collapsed="false" customFormat="false" customHeight="true" hidden="true" ht="14.1" outlineLevel="1" r="49">
      <c r="B49" s="10" t="n">
        <f aca="false">+B20</f>
        <v>1104133</v>
      </c>
      <c r="C49" s="10" t="n">
        <f aca="false">+C20</f>
        <v>4</v>
      </c>
      <c r="D49" s="10" t="n">
        <f aca="false">+D20</f>
        <v>0</v>
      </c>
      <c r="E49" s="18" t="str">
        <f aca="false">+IF('bid input'!P14=1,"Y","N")</f>
        <v>Y</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105080</v>
      </c>
      <c r="K49" s="14" t="n">
        <f aca="false">+IF(AND($E49="Y",$C49=K$2,$C49&gt;0),'bid input'!$F14,IF(AND($E49="Y",$D49=K$3,$C49=0),'bid input'!$F14,0))*K$4</f>
        <v>0</v>
      </c>
      <c r="L49" s="14" t="n">
        <f aca="false">+IF(AND($E49="Y",$C49=L$2,$C49&gt;0),'bid input'!$F14,IF(AND($E49="Y",$D49=L$3,$C49=0),'bid input'!$F14,0))*L$4</f>
        <v>0</v>
      </c>
      <c r="M49" s="14" t="n">
        <f aca="false">SUM(G49:L49)</f>
        <v>105080</v>
      </c>
    </row>
    <row collapsed="false" customFormat="false" customHeight="true" hidden="true" ht="14.1" outlineLevel="1" r="50">
      <c r="B50" s="10" t="n">
        <f aca="false">+B21</f>
        <v>1104149</v>
      </c>
      <c r="C50" s="10" t="n">
        <f aca="false">+C21</f>
        <v>5</v>
      </c>
      <c r="D50" s="10" t="n">
        <f aca="false">+D21</f>
        <v>0</v>
      </c>
      <c r="E50" s="18" t="str">
        <f aca="false">+IF('bid input'!P15=1,"Y","N")</f>
        <v>Y</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103085</v>
      </c>
      <c r="L50" s="14" t="n">
        <f aca="false">+IF(AND($E50="Y",$C50=L$2,$C50&gt;0),'bid input'!$F15,IF(AND($E50="Y",$D50=L$3,$C50=0),'bid input'!$F15,0))*L$4</f>
        <v>0</v>
      </c>
      <c r="M50" s="14" t="n">
        <f aca="false">SUM(G50:L50)</f>
        <v>103085</v>
      </c>
    </row>
    <row collapsed="false" customFormat="false" customHeight="true" hidden="true" ht="14.1" outlineLevel="1" r="51">
      <c r="B51" s="10" t="n">
        <f aca="false">+B22</f>
        <v>1104151</v>
      </c>
      <c r="C51" s="10" t="n">
        <f aca="false">+C22</f>
        <v>1</v>
      </c>
      <c r="D51" s="10" t="n">
        <f aca="false">+D22</f>
        <v>0</v>
      </c>
      <c r="E51" s="18" t="str">
        <f aca="false">+IF('bid input'!P16=1,"Y","N")</f>
        <v>Y</v>
      </c>
      <c r="F51" s="19"/>
      <c r="G51" s="30" t="n">
        <v>31872.5</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31872.5</v>
      </c>
    </row>
    <row collapsed="false" customFormat="false" customHeight="true" hidden="true" ht="14.1" outlineLevel="1" r="52">
      <c r="B52" s="10" t="n">
        <f aca="false">+B23</f>
        <v>1104131</v>
      </c>
      <c r="C52" s="10" t="n">
        <f aca="false">+C23</f>
        <v>4</v>
      </c>
      <c r="D52" s="10" t="n">
        <f aca="false">+D23</f>
        <v>0</v>
      </c>
      <c r="E52" s="18" t="str">
        <f aca="false">+IF('bid input'!P17=1,"Y","N")</f>
        <v>Y</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105080</v>
      </c>
      <c r="K52" s="14" t="n">
        <f aca="false">+IF(AND($E52="Y",$C52=K$2,$C52&gt;0),'bid input'!$F17,IF(AND($E52="Y",$D52=K$3,$C52=0),'bid input'!$F17,0))*K$4</f>
        <v>0</v>
      </c>
      <c r="L52" s="14" t="n">
        <f aca="false">+IF(AND($E52="Y",$C52=L$2,$C52&gt;0),'bid input'!$F17,IF(AND($E52="Y",$D52=L$3,$C52=0),'bid input'!$F17,0))*L$4</f>
        <v>0</v>
      </c>
      <c r="M52" s="14" t="n">
        <f aca="false">SUM(G52:L52)</f>
        <v>105080</v>
      </c>
    </row>
    <row collapsed="false" customFormat="false" customHeight="true" hidden="true" ht="14.1" outlineLevel="1" r="53">
      <c r="B53" s="10" t="n">
        <f aca="false">+B24</f>
        <v>1104155</v>
      </c>
      <c r="C53" s="10" t="n">
        <f aca="false">+C24</f>
        <v>0</v>
      </c>
      <c r="D53" s="0" t="str">
        <f aca="false">+D24</f>
        <v>Best Loans Inc</v>
      </c>
      <c r="E53" s="18" t="str">
        <f aca="false">+IF('bid input'!P18=1,"Y","N")</f>
        <v>Y</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103085</v>
      </c>
      <c r="L53" s="14" t="n">
        <f aca="false">+IF(AND($E53="Y",$C53=L$2,$C53&gt;0),'bid input'!$F18,IF(AND($E53="Y",$D53=L$3,$C53=0),'bid input'!$F18,0))*L$4</f>
        <v>0</v>
      </c>
      <c r="M53" s="14" t="n">
        <f aca="false">SUM(G53:L53)</f>
        <v>103085</v>
      </c>
    </row>
    <row collapsed="false" customFormat="false" customHeight="true" hidden="true" ht="14.1" outlineLevel="1" r="54">
      <c r="B54" s="10" t="n">
        <f aca="false">+B25</f>
        <v>1104156</v>
      </c>
      <c r="C54" s="10" t="n">
        <f aca="false">+C25</f>
        <v>2</v>
      </c>
      <c r="D54" s="10" t="n">
        <f aca="false">+D25</f>
        <v>0</v>
      </c>
      <c r="E54" s="18" t="str">
        <f aca="false">+IF('bid input'!P19=1,"Y","N")</f>
        <v>Y</v>
      </c>
      <c r="F54" s="19"/>
      <c r="G54" s="14" t="n">
        <f aca="false">+IF(AND($E54="Y",$C54=G$2,$C54&gt;0),'bid input'!$F19,IF(AND($E54="Y",$D54=G$3,$C54=0),'bid input'!$F19,0))*G$4</f>
        <v>0</v>
      </c>
      <c r="H54" s="14" t="n">
        <f aca="false">+IF(AND($E54="Y",$C54=H$2,$C54&gt;0),'bid input'!$F19,IF(AND($E54="Y",$D54=H$3,$C54=0),'bid input'!$F19,0))*H$4</f>
        <v>75137</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75137</v>
      </c>
    </row>
    <row collapsed="false" customFormat="false" customHeight="true" hidden="true" ht="14.1" outlineLevel="1" r="55">
      <c r="B55" s="10" t="n">
        <f aca="false">+B26</f>
        <v>1104157</v>
      </c>
      <c r="C55" s="10" t="n">
        <f aca="false">+C26</f>
        <v>0</v>
      </c>
      <c r="D55" s="0" t="str">
        <f aca="false">+D26</f>
        <v>Best Loans Inc</v>
      </c>
      <c r="E55" s="18" t="str">
        <f aca="false">+IF('bid input'!P20=1,"Y","N")</f>
        <v>Y</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30"/>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1</v>
      </c>
      <c r="D56" s="10" t="n">
        <f aca="false">+D27</f>
        <v>0</v>
      </c>
      <c r="E56" s="18" t="str">
        <f aca="false">+IF('bid input'!P21=1,"Y","N")</f>
        <v>Y</v>
      </c>
      <c r="F56" s="19"/>
      <c r="G56" s="30"/>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44</v>
      </c>
      <c r="E58" s="21"/>
      <c r="F58" s="21"/>
      <c r="G58" s="22" t="n">
        <f aca="false">SUM(G37:G57)</f>
        <v>318725</v>
      </c>
      <c r="H58" s="22" t="n">
        <f aca="false">SUM(H37:H57)</f>
        <v>225411</v>
      </c>
      <c r="I58" s="22" t="n">
        <f aca="false">SUM(I37:I57)</f>
        <v>95975</v>
      </c>
      <c r="J58" s="22" t="n">
        <f aca="false">SUM(J37:J57)</f>
        <v>525400</v>
      </c>
      <c r="K58" s="22" t="n">
        <f aca="false">SUM(K37:K57)</f>
        <v>515425</v>
      </c>
      <c r="L58" s="22" t="n">
        <f aca="false">SUM(L37:L57)</f>
        <v>0</v>
      </c>
      <c r="M58" s="23" t="n">
        <f aca="false">SUM(G58:L58)</f>
        <v>1680936</v>
      </c>
    </row>
    <row collapsed="false" customFormat="false" customHeight="false" hidden="false" ht="14" outlineLevel="0" r="59">
      <c r="D59" s="24" t="s">
        <v>38</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0.035</v>
      </c>
    </row>
    <row collapsed="false" customFormat="false" customHeight="false" hidden="false" ht="14" outlineLevel="0" r="60">
      <c r="D60" s="31"/>
      <c r="E60" s="31"/>
      <c r="F60" s="31"/>
      <c r="G60" s="19"/>
      <c r="H60" s="19"/>
      <c r="I60" s="19"/>
      <c r="J60" s="19"/>
      <c r="K60" s="19"/>
      <c r="L60" s="19"/>
      <c r="M60" s="19"/>
    </row>
    <row collapsed="false" customFormat="false" customHeight="false" hidden="false" ht="14" outlineLevel="0" r="61">
      <c r="D61" s="0" t="s">
        <v>39</v>
      </c>
      <c r="G61" s="14" t="n">
        <f aca="false">+G32-G58</f>
        <v>0</v>
      </c>
      <c r="H61" s="14" t="n">
        <f aca="false">+H32-H58</f>
        <v>150274</v>
      </c>
      <c r="I61" s="14" t="n">
        <f aca="false">+I32-I58</f>
        <v>383900</v>
      </c>
      <c r="J61" s="14" t="n">
        <f aca="false">+J32-J58</f>
        <v>0</v>
      </c>
      <c r="K61" s="14" t="n">
        <f aca="false">+K32-K58</f>
        <v>0</v>
      </c>
      <c r="L61" s="14" t="n">
        <f aca="false">+L32-L58</f>
        <v>485000</v>
      </c>
      <c r="M61" s="14" t="n">
        <f aca="false">+M32-M58</f>
        <v>1019174</v>
      </c>
    </row>
    <row collapsed="false" customFormat="false" customHeight="false" hidden="false" ht="14" outlineLevel="0" r="62">
      <c r="D62" s="0" t="s">
        <v>40</v>
      </c>
      <c r="G62" s="28" t="str">
        <f aca="false">+IF(G61=0,"NA",IF(G61&lt;0,"OVER","UNDER"))</f>
        <v>NA</v>
      </c>
      <c r="H62" s="28" t="str">
        <f aca="false">+IF(H61=0,"NA",IF(H61&lt;0,"OVER","UNDER"))</f>
        <v>UNDER</v>
      </c>
      <c r="I62" s="28" t="str">
        <f aca="false">+IF(I61=0,"NA",IF(I61&lt;0,"OVER","UNDER"))</f>
        <v>UNDER</v>
      </c>
      <c r="J62" s="28" t="str">
        <f aca="false">+IF(J61=0,"NA",IF(J61&lt;0,"OVER","UNDER"))</f>
        <v>NA</v>
      </c>
      <c r="K62" s="28" t="str">
        <f aca="false">+IF(K61=0,"NA",IF(K61&lt;0,"OVER","UNDER"))</f>
        <v>NA</v>
      </c>
      <c r="L62" s="28" t="str">
        <f aca="false">+IF(L61=0,"NA",IF(L61&lt;0,"OVER","UNDER"))</f>
        <v>UNDER</v>
      </c>
      <c r="M62" s="28" t="str">
        <f aca="false">+IF(M61=0,"NA",IF(M61&lt;0,"OVER","UNDER"))</f>
        <v>UNDER</v>
      </c>
    </row>
    <row collapsed="false" customFormat="false" customHeight="false" hidden="false" ht="14" outlineLevel="0" r="63">
      <c r="D63" s="31"/>
      <c r="E63" s="31"/>
      <c r="F63" s="31"/>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2" t="s">
        <v>46</v>
      </c>
      <c r="E65" s="33"/>
      <c r="F65" s="33"/>
      <c r="G65" s="34" t="n">
        <f aca="false">+G29+G58</f>
        <v>318725</v>
      </c>
      <c r="H65" s="34" t="n">
        <f aca="false">+H29+H58</f>
        <v>225411</v>
      </c>
      <c r="I65" s="34" t="n">
        <f aca="false">+I29+I58</f>
        <v>95975</v>
      </c>
      <c r="J65" s="34" t="n">
        <f aca="false">+J29+J58</f>
        <v>525400</v>
      </c>
      <c r="K65" s="34" t="n">
        <f aca="false">+K29+K58</f>
        <v>515425</v>
      </c>
      <c r="L65" s="34" t="n">
        <f aca="false">+L29+L58</f>
        <v>0</v>
      </c>
      <c r="M65" s="35" t="n">
        <f aca="false">+M29+M58</f>
        <v>1680936</v>
      </c>
    </row>
    <row collapsed="false" customFormat="false" customHeight="false" hidden="false" ht="14" outlineLevel="0" r="66">
      <c r="D66" s="36" t="s">
        <v>47</v>
      </c>
      <c r="E66" s="37"/>
      <c r="F66" s="37"/>
      <c r="G66" s="38" t="n">
        <f aca="false">+G65/G4</f>
        <v>1</v>
      </c>
      <c r="H66" s="38" t="n">
        <f aca="false">+H65/H4</f>
        <v>0.6</v>
      </c>
      <c r="I66" s="38" t="n">
        <f aca="false">+I65/I4</f>
        <v>0.2</v>
      </c>
      <c r="J66" s="38" t="n">
        <f aca="false">+J65/J4</f>
        <v>1</v>
      </c>
      <c r="K66" s="38" t="n">
        <f aca="false">+K65/K4</f>
        <v>1</v>
      </c>
      <c r="L66" s="38" t="n">
        <f aca="false">+L65/L4</f>
        <v>0</v>
      </c>
      <c r="M66" s="39"/>
    </row>
    <row collapsed="false" customFormat="false" customHeight="false" hidden="false" ht="14" outlineLevel="0" r="67">
      <c r="D67" s="40" t="s">
        <v>38</v>
      </c>
      <c r="E67" s="41"/>
      <c r="F67" s="41"/>
      <c r="G67" s="42" t="inlineStr">
        <f aca="false">+IF(ISERR(IF(ISERR((G29*G30)+(G58*G59))/(G58+G29),G59,((G29*G30)+(G58*G59))/(G58+G29))),0,IF(ISERR((G29*G30)+(G58*G59))/(G58+G29),G59,((G29*G30)+(G58*G59))/(G58+G29)))</f>
        <is>
          <t/>
        </is>
      </c>
      <c r="H67" s="42" t="inlineStr">
        <f aca="false">+IF(ISERR(IF(ISERR((H29*H30)+(H58*H59))/(H58+H29),H59,((H29*H30)+(H58*H59))/(H58+H29))),0,IF(ISERR((H29*H30)+(H58*H59))/(H58+H29),H59,((H29*H30)+(H58*H59))/(H58+H29)))</f>
        <is>
          <t/>
        </is>
      </c>
      <c r="I67" s="42" t="inlineStr">
        <f aca="false">+IF(ISERR(IF(ISERR((I29*I30)+(I58*I59))/(I58+I29),I59,((I29*I30)+(I58*I59))/(I58+I29))),0,IF(ISERR((I29*I30)+(I58*I59))/(I58+I29),I59,((I29*I30)+(I58*I59))/(I58+I29)))</f>
        <is>
          <t/>
        </is>
      </c>
      <c r="J67" s="42" t="inlineStr">
        <f aca="false">+IF(ISERR(IF(ISERR((J29*J30)+(J58*J59))/(J58+J29),J59,((J29*J30)+(J58*J59))/(J58+J29))),0,IF(ISERR((J29*J30)+(J58*J59))/(J58+J29),J59,((J29*J30)+(J58*J59))/(J58+J29)))</f>
        <is>
          <t/>
        </is>
      </c>
      <c r="K67" s="42" t="inlineStr">
        <f aca="false">+IF(ISERR(IF(ISERR((K29*K30)+(K58*K59))/(K58+K29),K59,((K29*K30)+(K58*K59))/(K58+K29))),0,IF(ISERR((K29*K30)+(K58*K59))/(K58+K29),K59,((K29*K30)+(K58*K59))/(K58+K29)))</f>
        <is>
          <t/>
        </is>
      </c>
      <c r="L67" s="42" t="n">
        <f aca="false">+IF(ISERR(IF(ISERR((L29*L30)+(L58*L59))/(L58+L29),L59,((L29*L30)+(L58*L59))/(L58+L29))),0,IF(ISERR((L29*L30)+(L58*L59))/(L58+L29),L59,((L29*L30)+(L58*L59))/(L58+L29)))</f>
        <v>0</v>
      </c>
      <c r="M67" s="43" t="inlineStr">
        <f aca="false">+IF(ISERR(IF(ISERR((M29*M30)+(M58*M59))/(M58+M29),M59,((M29*M30)+(M58*M59))/(M58+M29))),0,IF(ISERR((M29*M30)+(M58*M59))/(M58+M29),M59,((M29*M30)+(M58*M59))/(M58+M29)))</f>
        <is>
          <t/>
        </is>
      </c>
    </row>
    <row collapsed="false" customFormat="false" customHeight="false" hidden="false" ht="14" outlineLevel="0" r="69">
      <c r="A69" s="0" t="s">
        <v>48</v>
      </c>
    </row>
    <row collapsed="false" customFormat="false" customHeight="false" hidden="true" ht="28.35" outlineLevel="1" r="70">
      <c r="B70" s="15" t="s">
        <v>33</v>
      </c>
      <c r="C70" s="16" t="s">
        <v>49</v>
      </c>
      <c r="D70" s="15" t="s">
        <v>36</v>
      </c>
      <c r="E70" s="15" t="s">
        <v>50</v>
      </c>
      <c r="F70" s="15"/>
      <c r="G70" s="44" t="s">
        <v>51</v>
      </c>
      <c r="I70" s="15" t="s">
        <v>52</v>
      </c>
      <c r="J70" s="44" t="s">
        <v>53</v>
      </c>
      <c r="K70" s="44" t="s">
        <v>54</v>
      </c>
      <c r="L70" s="44" t="s">
        <v>55</v>
      </c>
      <c r="M70" s="44" t="s">
        <v>56</v>
      </c>
      <c r="N70" s="44" t="s">
        <v>57</v>
      </c>
      <c r="O70" s="44" t="s">
        <v>36</v>
      </c>
      <c r="P70" s="44" t="s">
        <v>33</v>
      </c>
      <c r="Q70" s="45"/>
      <c r="R70" s="44" t="s">
        <v>58</v>
      </c>
      <c r="S70" s="44" t="s">
        <v>56</v>
      </c>
      <c r="T70" s="44" t="s">
        <v>36</v>
      </c>
      <c r="U70" s="44" t="s">
        <v>33</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true" ht="14" outlineLevel="1" r="91">
      <c r="B91" s="0" t="s">
        <v>59</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60</v>
      </c>
      <c r="E93" s="18" t="n">
        <f aca="false">IF(M62="UNDER",+M61,0)</f>
        <v>1019174</v>
      </c>
      <c r="Q93" s="54"/>
      <c r="R93" s="54"/>
    </row>
    <row collapsed="false" customFormat="false" customHeight="false" hidden="true" ht="14" outlineLevel="1" r="94">
      <c r="B94" s="0" t="s">
        <v>61</v>
      </c>
      <c r="H94" s="1" t="s">
        <v>62</v>
      </c>
      <c r="I94" s="1" t="s">
        <v>63</v>
      </c>
      <c r="J94" s="1" t="s">
        <v>64</v>
      </c>
      <c r="Q94" s="54"/>
      <c r="R94" s="54"/>
    </row>
    <row collapsed="false" customFormat="false" customHeight="false" hidden="true" ht="14" outlineLevel="1" r="95">
      <c r="E95" s="18"/>
      <c r="F95" s="14"/>
      <c r="H95" s="1"/>
      <c r="I95" s="57" t="n">
        <f aca="false">E93</f>
        <v>1019174</v>
      </c>
      <c r="J95" s="1"/>
      <c r="Q95" s="54"/>
      <c r="R95" s="54"/>
    </row>
    <row collapsed="false" customFormat="false" customHeight="false" hidden="true" ht="14" outlineLevel="1" r="96">
      <c r="E96" s="48"/>
      <c r="F96" s="18"/>
      <c r="G96" s="1" t="n">
        <v>1</v>
      </c>
      <c r="H96" s="58" t="n">
        <f aca="false">+IF(I95&gt;0,MIN(SUMIF($N$71:$N$90,G96,$E$71:$E$90),I95),0)</f>
        <v>0</v>
      </c>
      <c r="I96" s="57" t="n">
        <f aca="false">I95-H96</f>
        <v>1019174</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1019174</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1019174</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1019174</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1019174</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1019174</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1019174</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1019174</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1019174</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1019174</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1019174</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1019174</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1019174</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1019174</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1019174</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1019174</v>
      </c>
      <c r="J111" s="1" t="str">
        <f aca="false">IF(ISERROR(VLOOKUP(G111,R$71:U$90,4,0)),"",VLOOKUP(G111,R$71:U$90,4,0))</f>
        <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1019174</v>
      </c>
      <c r="J112" s="1" t="str">
        <f aca="false">IF(ISERROR(VLOOKUP(G112,R$71:U$90,4,0)),"",VLOOKUP(G112,R$71:U$90,4,0))</f>
        <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1019174</v>
      </c>
      <c r="J113" s="1" t="str">
        <f aca="false">IF(ISERROR(VLOOKUP(G113,R$71:U$90,4,0)),"",VLOOKUP(G113,R$71:U$90,4,0))</f>
        <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1019174</v>
      </c>
      <c r="J114" s="1" t="str">
        <f aca="false">IF(ISERROR(VLOOKUP(G114,R$71:U$90,4,0)),"",VLOOKUP(G114,R$71:U$90,4,0))</f>
        <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1019174</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0</v>
      </c>
      <c r="H117" s="14" t="n">
        <f aca="false">+H61</f>
        <v>150274</v>
      </c>
      <c r="I117" s="14" t="n">
        <f aca="false">+I61</f>
        <v>383900</v>
      </c>
      <c r="J117" s="14" t="n">
        <f aca="false">+J61</f>
        <v>0</v>
      </c>
      <c r="K117" s="14" t="n">
        <f aca="false">+K61</f>
        <v>0</v>
      </c>
      <c r="L117" s="14" t="n">
        <f aca="false">+L61</f>
        <v>485000</v>
      </c>
      <c r="M117" s="14" t="n">
        <f aca="false">+M61</f>
        <v>1019174</v>
      </c>
    </row>
    <row collapsed="false" customFormat="false" customHeight="false" hidden="true" ht="14" outlineLevel="1" r="118">
      <c r="B118" s="15" t="s">
        <v>33</v>
      </c>
      <c r="C118" s="15" t="s">
        <v>36</v>
      </c>
      <c r="D118" s="15" t="s">
        <v>65</v>
      </c>
      <c r="E118" s="15" t="s">
        <v>66</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67</v>
      </c>
      <c r="D142" s="59" t="inlineStr">
        <f aca="false">+MAX(F8:F27,G36:L36)</f>
        <is>
          <t/>
        </is>
      </c>
      <c r="E142" s="18"/>
      <c r="G142" s="19"/>
      <c r="H142" s="19"/>
      <c r="I142" s="19"/>
      <c r="J142" s="19"/>
      <c r="K142" s="19"/>
      <c r="L142" s="19"/>
      <c r="M142" s="19"/>
    </row>
    <row collapsed="false" customFormat="false" customHeight="false" hidden="true" ht="14" outlineLevel="1" r="143">
      <c r="B143" s="0" t="s">
        <v>68</v>
      </c>
      <c r="D143" s="62" t="inlineStr">
        <f aca="false">+M67</f>
        <is>
          <t/>
        </is>
      </c>
      <c r="E143" s="18"/>
      <c r="G143" s="19"/>
      <c r="H143" s="19"/>
      <c r="I143" s="19"/>
      <c r="J143" s="19"/>
      <c r="K143" s="19"/>
      <c r="L143" s="19"/>
      <c r="M143" s="19"/>
    </row>
    <row collapsed="false" customFormat="false" customHeight="false" hidden="true" ht="14" outlineLevel="1" r="144">
      <c r="B144" s="0" t="s">
        <v>69</v>
      </c>
      <c r="D144" s="63" t="inlineStr">
        <f aca="false">+D142-D143</f>
        <is>
          <t/>
        </is>
      </c>
      <c r="E144" s="18"/>
      <c r="G144" s="19"/>
      <c r="H144" s="19"/>
      <c r="I144" s="19"/>
      <c r="J144" s="19"/>
      <c r="K144" s="19"/>
      <c r="L144" s="19"/>
      <c r="M144" s="19"/>
    </row>
    <row collapsed="false" customFormat="false" customHeight="false" hidden="true" ht="14" outlineLevel="1" r="145">
      <c r="B145" s="0" t="s">
        <v>70</v>
      </c>
      <c r="E145" s="64"/>
      <c r="G145" s="19" t="n">
        <f aca="false">+(1-G66)*$D$144</f>
        <v>0</v>
      </c>
      <c r="H145" s="19" t="n">
        <f aca="false">+(1-H66)*$D$144</f>
        <v>0</v>
      </c>
      <c r="I145" s="19" t="n">
        <f aca="false">+(1-I66)*$D$144</f>
        <v>0</v>
      </c>
      <c r="J145" s="19" t="n">
        <f aca="false">+(1-J66)*$D$144</f>
        <v>0</v>
      </c>
      <c r="K145" s="19" t="n">
        <f aca="false">+(1-K66)*$D$144</f>
        <v>0</v>
      </c>
      <c r="L145" s="19" t="n">
        <f aca="false">+(1-L66)*$D$144</f>
        <v>0</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0" t="s">
        <v>71</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38</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2" t="s">
        <v>46</v>
      </c>
      <c r="E151" s="33"/>
      <c r="F151" s="33"/>
      <c r="G151" s="34" t="n">
        <f aca="false">+G65+G139</f>
        <v>318725</v>
      </c>
      <c r="H151" s="34" t="n">
        <f aca="false">+H65+H139</f>
        <v>225411</v>
      </c>
      <c r="I151" s="34" t="n">
        <f aca="false">+I65+I139</f>
        <v>95975</v>
      </c>
      <c r="J151" s="34" t="n">
        <f aca="false">+J65+J139</f>
        <v>525400</v>
      </c>
      <c r="K151" s="34" t="n">
        <f aca="false">+K65+K139</f>
        <v>515425</v>
      </c>
      <c r="L151" s="34" t="n">
        <f aca="false">+L65+L139</f>
        <v>0</v>
      </c>
      <c r="M151" s="35" t="n">
        <f aca="false">+M65+M139</f>
        <v>1680936</v>
      </c>
    </row>
    <row collapsed="false" customFormat="false" customHeight="false" hidden="false" ht="14" outlineLevel="0" r="152">
      <c r="D152" s="40" t="s">
        <v>38</v>
      </c>
      <c r="E152" s="41"/>
      <c r="F152" s="41"/>
      <c r="G152" s="42" t="n">
        <f aca="false">+IF(ISERR(+IF(ISERR(G67),G146,((G139*G146)+(G65*G67))/G151)),0,+IF(ISERR(G67),G146,((G139*G146)+(G65*G67))/G151))</f>
        <v>0.035</v>
      </c>
      <c r="H152" s="42" t="n">
        <f aca="false">+IF(ISERR(+IF(ISERR(H67),H146,((H139*H146)+(H65*H67))/H151)),0,+IF(ISERR(H67),H146,((H139*H146)+(H65*H67))/H151))</f>
        <v>0.035</v>
      </c>
      <c r="I152" s="42" t="n">
        <f aca="false">+IF(ISERR(+IF(ISERR(I67),I146,((I139*I146)+(I65*I67))/I151)),0,+IF(ISERR(I67),I146,((I139*I146)+(I65*I67))/I151))</f>
        <v>0.035</v>
      </c>
      <c r="J152" s="42" t="n">
        <f aca="false">+IF(ISERR(+IF(ISERR(J67),J146,((J139*J146)+(J65*J67))/J151)),0,+IF(ISERR(J67),J146,((J139*J146)+(J65*J67))/J151))</f>
        <v>0.035</v>
      </c>
      <c r="K152" s="42" t="n">
        <f aca="false">+IF(ISERR(+IF(ISERR(K67),K146,((K139*K146)+(K65*K67))/K151)),0,+IF(ISERR(K67),K146,((K139*K146)+(K65*K67))/K151))</f>
        <v>0.035</v>
      </c>
      <c r="L152" s="42" t="n">
        <f aca="false">+IF(ISERR(+IF(ISERR(L67),L146,((L139*L146)+(L65*L67))/L151)),0,+IF(ISERR(L67),L146,((L139*L146)+(L65*L67))/L151))</f>
        <v>0</v>
      </c>
      <c r="M152" s="43" t="n">
        <f aca="false">+SUMPRODUCT(G151:L151,G152:L152)/M151</f>
        <v>0.035</v>
      </c>
    </row>
    <row collapsed="false" customFormat="false" customHeight="false" hidden="false" ht="14" outlineLevel="0" r="153">
      <c r="E153" s="18"/>
    </row>
    <row collapsed="false" customFormat="false" customHeight="false" hidden="false" ht="14" outlineLevel="0" r="154">
      <c r="D154" s="0" t="s">
        <v>39</v>
      </c>
      <c r="G154" s="14" t="n">
        <f aca="false">+G4-G151</f>
        <v>0</v>
      </c>
      <c r="H154" s="14" t="n">
        <f aca="false">+H4-H151</f>
        <v>150274</v>
      </c>
      <c r="I154" s="14" t="n">
        <f aca="false">+I4-I151</f>
        <v>383900</v>
      </c>
      <c r="J154" s="14" t="n">
        <f aca="false">+J4-J151</f>
        <v>0</v>
      </c>
      <c r="K154" s="14" t="n">
        <f aca="false">+K4-K151</f>
        <v>0</v>
      </c>
      <c r="L154" s="14" t="n">
        <f aca="false">+L4-L151</f>
        <v>485000</v>
      </c>
      <c r="M154" s="14" t="n">
        <f aca="false">+M4-M151</f>
        <v>1019174</v>
      </c>
    </row>
    <row collapsed="false" customFormat="false" customHeight="false" hidden="false" ht="14" outlineLevel="0" r="155">
      <c r="D155" s="0" t="s">
        <v>40</v>
      </c>
      <c r="G155" s="28" t="str">
        <f aca="false">+IF(G154=0,"NA",IF(G154&lt;0,"OVER","UNDER"))</f>
        <v>NA</v>
      </c>
      <c r="H155" s="28" t="str">
        <f aca="false">+IF(H154=0,"NA",IF(H154&lt;0,"OVER","UNDER"))</f>
        <v>UNDER</v>
      </c>
      <c r="I155" s="28" t="str">
        <f aca="false">+IF(I154=0,"NA",IF(I154&lt;0,"OVER","UNDER"))</f>
        <v>UNDER</v>
      </c>
      <c r="J155" s="28" t="str">
        <f aca="false">+IF(J154=0,"NA",IF(J154&lt;0,"OVER","UNDER"))</f>
        <v>NA</v>
      </c>
      <c r="K155" s="28" t="str">
        <f aca="false">+IF(K154=0,"NA",IF(K154&lt;0,"OVER","UNDER"))</f>
        <v>NA</v>
      </c>
      <c r="L155" s="28" t="str">
        <f aca="false">+IF(L154=0,"NA",IF(L154&lt;0,"OVER","UNDER"))</f>
        <v>UNDER</v>
      </c>
      <c r="M155" s="28" t="str">
        <f aca="false">+IF(M154=0,"NA",IF(M154&lt;0,"OVER","UNDER"))</f>
        <v>UNDER</v>
      </c>
    </row>
    <row collapsed="false" customFormat="false" customHeight="false" hidden="false" ht="14" outlineLevel="0" r="156">
      <c r="D156" s="31"/>
      <c r="E156" s="31"/>
      <c r="F156" s="31"/>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true" ht="28.35" outlineLevel="1" r="158">
      <c r="B158" s="15" t="s">
        <v>33</v>
      </c>
      <c r="C158" s="16" t="s">
        <v>73</v>
      </c>
      <c r="D158" s="15" t="s">
        <v>74</v>
      </c>
      <c r="E158" s="15" t="s">
        <v>75</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76</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77</v>
      </c>
      <c r="D180" s="14" t="n">
        <f aca="false">+M154</f>
        <v>1019174</v>
      </c>
      <c r="E180" s="18"/>
    </row>
    <row collapsed="false" customFormat="false" customHeight="false" hidden="true" ht="14" outlineLevel="1" r="181">
      <c r="B181" s="0" t="s">
        <v>78</v>
      </c>
      <c r="D181" s="66" t="n">
        <f aca="false">+IF(ISERR(D180/D179),0,D180/D179)</f>
        <v>0</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71</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38</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2" t="s">
        <v>46</v>
      </c>
      <c r="E186" s="33"/>
      <c r="F186" s="33"/>
      <c r="G186" s="34" t="n">
        <f aca="false">+G151+G183</f>
        <v>318725</v>
      </c>
      <c r="H186" s="34" t="n">
        <f aca="false">+H151+H183</f>
        <v>225411</v>
      </c>
      <c r="I186" s="34" t="n">
        <f aca="false">+I151+I183</f>
        <v>95975</v>
      </c>
      <c r="J186" s="34" t="n">
        <f aca="false">+J151+J183</f>
        <v>525400</v>
      </c>
      <c r="K186" s="34" t="n">
        <f aca="false">+K151+K183</f>
        <v>515425</v>
      </c>
      <c r="L186" s="34" t="n">
        <f aca="false">+L151+L183</f>
        <v>0</v>
      </c>
      <c r="M186" s="35" t="n">
        <f aca="false">+M151+M183</f>
        <v>1680936</v>
      </c>
    </row>
    <row collapsed="false" customFormat="false" customHeight="false" hidden="false" ht="14" outlineLevel="0" r="187">
      <c r="D187" s="40" t="s">
        <v>38</v>
      </c>
      <c r="E187" s="41"/>
      <c r="F187" s="41"/>
      <c r="G187" s="42" t="n">
        <f aca="false">+IF(G186=0,0,IF(ISERR(G152),G184,((G183*G184)+(G151*G152))/G186))</f>
        <v>0.035</v>
      </c>
      <c r="H187" s="42" t="n">
        <f aca="false">+IF(H186=0,0,IF(ISERR(H152),H184,((H183*H184)+(H151*H152))/H186))</f>
        <v>0.035</v>
      </c>
      <c r="I187" s="42" t="n">
        <f aca="false">+IF(I186=0,0,IF(ISERR(I152),I184,((I183*I184)+(I151*I152))/I186))</f>
        <v>0.035</v>
      </c>
      <c r="J187" s="42" t="n">
        <f aca="false">+IF(J186=0,0,IF(ISERR(J152),J184,((J183*J184)+(J151*J152))/J186))</f>
        <v>0.035</v>
      </c>
      <c r="K187" s="42" t="n">
        <f aca="false">+IF(K186=0,0,IF(ISERR(K152),K184,((K183*K184)+(K151*K152))/K186))</f>
        <v>0.035</v>
      </c>
      <c r="L187" s="42" t="n">
        <f aca="false">+IF(L186=0,0,IF(ISERR(L152),L184,((L183*L184)+(L151*L152))/L186))</f>
        <v>0</v>
      </c>
      <c r="M187" s="43" t="n">
        <f aca="false">+SUMPRODUCT(G187:L187*G186:L186)/M186</f>
        <v>0.035</v>
      </c>
    </row>
    <row collapsed="false" customFormat="false" customHeight="false" hidden="false" ht="14" outlineLevel="0" r="188">
      <c r="E188" s="18"/>
    </row>
    <row collapsed="false" customFormat="false" customHeight="false" hidden="false" ht="14" outlineLevel="0" r="189">
      <c r="D189" s="0" t="s">
        <v>39</v>
      </c>
      <c r="G189" s="14" t="n">
        <f aca="false">+G4-G186</f>
        <v>0</v>
      </c>
      <c r="H189" s="14" t="n">
        <f aca="false">+H4-H186</f>
        <v>150274</v>
      </c>
      <c r="I189" s="14" t="n">
        <f aca="false">+I4-I186</f>
        <v>383900</v>
      </c>
      <c r="J189" s="14" t="n">
        <f aca="false">+J4-J186</f>
        <v>0</v>
      </c>
      <c r="K189" s="14" t="n">
        <f aca="false">+K4-K186</f>
        <v>0</v>
      </c>
      <c r="L189" s="14" t="n">
        <f aca="false">+L4-L186</f>
        <v>485000</v>
      </c>
      <c r="M189" s="14" t="n">
        <f aca="false">+M4-M186</f>
        <v>1019174</v>
      </c>
    </row>
    <row collapsed="false" customFormat="false" customHeight="false" hidden="false" ht="14" outlineLevel="0" r="190">
      <c r="D190" s="0" t="s">
        <v>40</v>
      </c>
      <c r="G190" s="28" t="str">
        <f aca="false">+IF(G189=0,"NA",IF(G189&lt;0,"OVER","UNDER"))</f>
        <v>NA</v>
      </c>
      <c r="H190" s="28" t="str">
        <f aca="false">+IF(H189=0,"NA",IF(H189&lt;0,"OVER","UNDER"))</f>
        <v>UNDER</v>
      </c>
      <c r="I190" s="28" t="str">
        <f aca="false">+IF(I189=0,"NA",IF(I189&lt;0,"OVER","UNDER"))</f>
        <v>UNDER</v>
      </c>
      <c r="J190" s="28" t="str">
        <f aca="false">+IF(J189=0,"NA",IF(J189&lt;0,"OVER","UNDER"))</f>
        <v>NA</v>
      </c>
      <c r="K190" s="28" t="str">
        <f aca="false">+IF(K189=0,"NA",IF(K189&lt;0,"OVER","UNDER"))</f>
        <v>NA</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true" ht="14" outlineLevel="1" r="193">
      <c r="E193" s="18"/>
    </row>
    <row collapsed="false" customFormat="false" customHeight="false" hidden="true" ht="14" outlineLevel="1" r="194">
      <c r="B194" s="15" t="s">
        <v>33</v>
      </c>
      <c r="C194" s="15" t="s">
        <v>36</v>
      </c>
      <c r="D194" s="15" t="s">
        <v>80</v>
      </c>
      <c r="E194" s="18"/>
    </row>
    <row collapsed="false" customFormat="false" customHeight="false" hidden="true" ht="14" outlineLevel="1" r="195">
      <c r="B195" s="10" t="n">
        <f aca="false">+'bid input'!B2</f>
        <v>1104134</v>
      </c>
      <c r="C195" s="59" t="n">
        <f aca="false">+IF(D195&gt;0,IF(M8&gt;0,F8,0)+IF(M37&gt;0,SUMPRODUCT(G$36:L$36,G37:L37)/M37,0)+E119+IF(M159&gt;0,M$184,0),0)</f>
        <v>0.035</v>
      </c>
      <c r="D195" s="14" t="n">
        <f aca="false">+M195</f>
        <v>63745</v>
      </c>
      <c r="E195" s="18"/>
      <c r="G195" s="14" t="n">
        <f aca="false">+IF(G$190="NA",+G159+G119+G37+G8,0)</f>
        <v>63745</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63745</v>
      </c>
    </row>
    <row collapsed="false" customFormat="false" customHeight="false" hidden="true" ht="14" outlineLevel="1" r="196">
      <c r="B196" s="10" t="n">
        <f aca="false">+'bid input'!B3</f>
        <v>1104143</v>
      </c>
      <c r="C196" s="59" t="n">
        <f aca="false">+IF(D196&gt;0,IF(M9&gt;0,F9,0)+IF(M38&gt;0,SUMPRODUCT(G$36:L$36,G38:L38)/M38,0)+E120+IF(M160&gt;0,M$184,0),0)</f>
        <v>0.035</v>
      </c>
      <c r="D196" s="14" t="n">
        <f aca="false">+M196</f>
        <v>63745</v>
      </c>
      <c r="E196" s="18"/>
      <c r="G196" s="14" t="n">
        <f aca="false">+IF(G$190="NA",+G160+G120+G38+G9,0)</f>
        <v>63745</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63745</v>
      </c>
    </row>
    <row collapsed="false" customFormat="false" customHeight="false" hidden="true" ht="14" outlineLevel="1" r="197">
      <c r="B197" s="10" t="n">
        <f aca="false">+'bid input'!B4</f>
        <v>1104154</v>
      </c>
      <c r="C197" s="59" t="n">
        <f aca="false">+IF(D197&gt;0,IF(M10&gt;0,F10,0)+IF(M39&gt;0,SUMPRODUCT(G$36:L$36,G39:L39)/M39,0)+E121+IF(M161&gt;0,M$184,0),0)</f>
        <v>0</v>
      </c>
      <c r="D197" s="14" t="n">
        <f aca="false">+M197</f>
        <v>0</v>
      </c>
      <c r="E197" s="18"/>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true" ht="14" outlineLevel="1" r="198">
      <c r="B198" s="10" t="n">
        <f aca="false">+'bid input'!B5</f>
        <v>1104152</v>
      </c>
      <c r="C198" s="59" t="n">
        <f aca="false">+IF(D198&gt;0,IF(M11&gt;0,F11,0)+IF(M40&gt;0,SUMPRODUCT(G$36:L$36,G40:L40)/M40,0)+E122+IF(M162&gt;0,M$184,0),0)</f>
        <v>0.035</v>
      </c>
      <c r="D198" s="14" t="n">
        <f aca="false">+M198</f>
        <v>105080</v>
      </c>
      <c r="E198" s="18"/>
      <c r="G198" s="14" t="n">
        <f aca="false">+IF(G$190="NA",+G162+G122+G40+G11,0)</f>
        <v>0</v>
      </c>
      <c r="H198" s="14" t="n">
        <f aca="false">+IF(H$190="NA",+H162+H122+H40+H11,0)</f>
        <v>0</v>
      </c>
      <c r="I198" s="14" t="n">
        <f aca="false">+IF(I$190="NA",+I162+I122+I40+I11,0)</f>
        <v>0</v>
      </c>
      <c r="J198" s="14" t="n">
        <f aca="false">+IF(J$190="NA",+J162+J122+J40+J11,0)</f>
        <v>105080</v>
      </c>
      <c r="K198" s="14" t="n">
        <f aca="false">+IF(K$190="NA",+K162+K122+K40+K11,0)</f>
        <v>0</v>
      </c>
      <c r="L198" s="14" t="n">
        <f aca="false">+IF(L$190="NA",+L162+L122+L40+L11,0)</f>
        <v>0</v>
      </c>
      <c r="M198" s="14" t="n">
        <f aca="false">SUM(G198:L198)</f>
        <v>105080</v>
      </c>
    </row>
    <row collapsed="false" customFormat="false" customHeight="false" hidden="true" ht="14" outlineLevel="1" r="199">
      <c r="B199" s="10" t="n">
        <f aca="false">+'bid input'!B6</f>
        <v>1104136</v>
      </c>
      <c r="C199" s="59" t="n">
        <f aca="false">+IF(D199&gt;0,IF(M12&gt;0,F12,0)+IF(M41&gt;0,SUMPRODUCT(G$36:L$36,G41:L41)/M41,0)+E123+IF(M163&gt;0,M$184,0),0)</f>
        <v>0.035</v>
      </c>
      <c r="D199" s="14" t="n">
        <f aca="false">+M199</f>
        <v>105080</v>
      </c>
      <c r="E199" s="18"/>
      <c r="G199" s="14" t="n">
        <f aca="false">+IF(G$190="NA",+G163+G123+G41+G12,0)</f>
        <v>0</v>
      </c>
      <c r="H199" s="14" t="n">
        <f aca="false">+IF(H$190="NA",+H163+H123+H41+H12,0)</f>
        <v>0</v>
      </c>
      <c r="I199" s="14" t="n">
        <f aca="false">+IF(I$190="NA",+I163+I123+I41+I12,0)</f>
        <v>0</v>
      </c>
      <c r="J199" s="14" t="n">
        <f aca="false">+IF(J$190="NA",+J163+J123+J41+J12,0)</f>
        <v>105080</v>
      </c>
      <c r="K199" s="14" t="n">
        <f aca="false">+IF(K$190="NA",+K163+K123+K41+K12,0)</f>
        <v>0</v>
      </c>
      <c r="L199" s="14" t="n">
        <f aca="false">+IF(L$190="NA",+L163+L123+L41+L12,0)</f>
        <v>0</v>
      </c>
      <c r="M199" s="14" t="n">
        <f aca="false">SUM(G199:L199)</f>
        <v>105080</v>
      </c>
    </row>
    <row collapsed="false" customFormat="false" customHeight="false" hidden="true" ht="14" outlineLevel="1" r="200">
      <c r="B200" s="10" t="n">
        <f aca="false">+'bid input'!B7</f>
        <v>1104138</v>
      </c>
      <c r="C200" s="59" t="n">
        <f aca="false">+IF(D200&gt;0,IF(M13&gt;0,F13,0)+IF(M42&gt;0,SUMPRODUCT(G$36:L$36,G42:L42)/M42,0)+E124+IF(M164&gt;0,M$184,0),0)</f>
        <v>0.035</v>
      </c>
      <c r="D200" s="14" t="n">
        <f aca="false">+M200</f>
        <v>103085</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103085</v>
      </c>
      <c r="L200" s="14" t="n">
        <f aca="false">+IF(L$190="NA",+L164+L124+L42+L13,0)</f>
        <v>0</v>
      </c>
      <c r="M200" s="14" t="n">
        <f aca="false">SUM(G200:L200)</f>
        <v>103085</v>
      </c>
    </row>
    <row collapsed="false" customFormat="false" customHeight="false" hidden="true" ht="14" outlineLevel="1" r="201">
      <c r="B201" s="10" t="n">
        <f aca="false">+'bid input'!B8</f>
        <v>1104139</v>
      </c>
      <c r="C201" s="59" t="n">
        <f aca="false">+IF(D201&gt;0,IF(M14&gt;0,F14,0)+IF(M43&gt;0,SUMPRODUCT(G$36:L$36,G43:L43)/M43,0)+E125+IF(M165&gt;0,M$184,0),0)</f>
        <v>0.035</v>
      </c>
      <c r="D201" s="14" t="n">
        <f aca="false">+M201</f>
        <v>63745</v>
      </c>
      <c r="E201" s="18"/>
      <c r="G201" s="14" t="n">
        <f aca="false">+IF(G$190="NA",+G165+G125+G43+G14,0)</f>
        <v>63745</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63745</v>
      </c>
    </row>
    <row collapsed="false" customFormat="false" customHeight="false" hidden="true" ht="14" outlineLevel="1" r="202">
      <c r="B202" s="10" t="n">
        <f aca="false">+'bid input'!B9</f>
        <v>1104140</v>
      </c>
      <c r="C202" s="59" t="n">
        <f aca="false">+IF(D202&gt;0,IF(M15&gt;0,F15,0)+IF(M44&gt;0,SUMPRODUCT(G$36:L$36,G44:L44)/M44,0)+E126+IF(M166&gt;0,M$184,0),0)</f>
        <v>0.035</v>
      </c>
      <c r="D202" s="14" t="n">
        <f aca="false">+M202</f>
        <v>103085</v>
      </c>
      <c r="E202" s="18"/>
      <c r="G202" s="14" t="n">
        <f aca="false">+IF(G$190="NA",+G166+G126+G44+G15,0)</f>
        <v>0</v>
      </c>
      <c r="H202" s="14" t="n">
        <f aca="false">+IF(H$190="NA",+H166+H126+H44+H15,0)</f>
        <v>0</v>
      </c>
      <c r="I202" s="14" t="n">
        <f aca="false">+IF(I$190="NA",+I166+I126+I44+I15,0)</f>
        <v>0</v>
      </c>
      <c r="J202" s="14" t="n">
        <f aca="false">+IF(J$190="NA",+J166+J126+J44+J15,0)</f>
        <v>0</v>
      </c>
      <c r="K202" s="14" t="n">
        <f aca="false">+IF(K$190="NA",+K166+K126+K44+K15,0)</f>
        <v>103085</v>
      </c>
      <c r="L202" s="14" t="n">
        <f aca="false">+IF(L$190="NA",+L166+L126+L44+L15,0)</f>
        <v>0</v>
      </c>
      <c r="M202" s="14" t="n">
        <f aca="false">SUM(G202:L202)</f>
        <v>103085</v>
      </c>
    </row>
    <row collapsed="false" customFormat="false" customHeight="false" hidden="true" ht="14" outlineLevel="1" r="203">
      <c r="B203" s="10" t="n">
        <f aca="false">+'bid input'!B10</f>
        <v>1104141</v>
      </c>
      <c r="C203" s="59" t="n">
        <f aca="false">+IF(D203&gt;0,IF(M16&gt;0,F16,0)+IF(M45&gt;0,SUMPRODUCT(G$36:L$36,G45:L45)/M45,0)+E127+IF(M167&gt;0,M$184,0),0)</f>
        <v>0.035</v>
      </c>
      <c r="D203" s="14" t="n">
        <f aca="false">+M203</f>
        <v>103085</v>
      </c>
      <c r="G203" s="14" t="n">
        <f aca="false">+IF(G$190="NA",+G167+G127+G45+G16,0)</f>
        <v>0</v>
      </c>
      <c r="H203" s="14" t="n">
        <f aca="false">+IF(H$190="NA",+H167+H127+H45+H16,0)</f>
        <v>0</v>
      </c>
      <c r="I203" s="14" t="n">
        <f aca="false">+IF(I$190="NA",+I167+I127+I45+I16,0)</f>
        <v>0</v>
      </c>
      <c r="J203" s="14" t="n">
        <f aca="false">+IF(J$190="NA",+J167+J127+J45+J16,0)</f>
        <v>0</v>
      </c>
      <c r="K203" s="14" t="n">
        <f aca="false">+IF(K$190="NA",+K167+K127+K45+K16,0)</f>
        <v>103085</v>
      </c>
      <c r="L203" s="14" t="n">
        <f aca="false">+IF(L$190="NA",+L167+L127+L45+L16,0)</f>
        <v>0</v>
      </c>
      <c r="M203" s="14" t="n">
        <f aca="false">SUM(G203:L203)</f>
        <v>103085</v>
      </c>
    </row>
    <row collapsed="false" customFormat="false" customHeight="false" hidden="true" ht="14" outlineLevel="1" r="204">
      <c r="B204" s="10" t="n">
        <f aca="false">+'bid input'!B11</f>
        <v>1104159</v>
      </c>
      <c r="C204" s="59" t="n">
        <f aca="false">+IF(D204&gt;0,IF(M17&gt;0,F17,0)+IF(M46&gt;0,SUMPRODUCT(G$36:L$36,G46:L46)/M46,0)+E128+IF(M168&gt;0,M$184,0),0)</f>
        <v>0.035</v>
      </c>
      <c r="D204" s="14" t="n">
        <f aca="false">+M204</f>
        <v>63745</v>
      </c>
      <c r="G204" s="14" t="n">
        <f aca="false">+IF(G$190="NA",+G168+G128+G46+G17,0)</f>
        <v>63745</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63745</v>
      </c>
    </row>
    <row collapsed="false" customFormat="false" customHeight="false" hidden="true" ht="14" outlineLevel="1" r="205">
      <c r="B205" s="10" t="n">
        <f aca="false">+'bid input'!B12</f>
        <v>1104161</v>
      </c>
      <c r="C205" s="59" t="n">
        <f aca="false">+IF(D205&gt;0,IF(M18&gt;0,F18,0)+IF(M47&gt;0,SUMPRODUCT(G$36:L$36,G47:L47)/M47,0)+E129+IF(M169&gt;0,M$184,0),0)</f>
        <v>0.035</v>
      </c>
      <c r="D205" s="14" t="n">
        <f aca="false">+M205</f>
        <v>105080</v>
      </c>
      <c r="G205" s="14" t="n">
        <f aca="false">+IF(G$190="NA",+G169+G129+G47+G18,0)</f>
        <v>0</v>
      </c>
      <c r="H205" s="14" t="n">
        <f aca="false">+IF(H$190="NA",+H169+H129+H47+H18,0)</f>
        <v>0</v>
      </c>
      <c r="I205" s="14" t="n">
        <f aca="false">+IF(I$190="NA",+I169+I129+I47+I18,0)</f>
        <v>0</v>
      </c>
      <c r="J205" s="14" t="n">
        <f aca="false">+IF(J$190="NA",+J169+J129+J47+J18,0)</f>
        <v>105080</v>
      </c>
      <c r="K205" s="14" t="n">
        <f aca="false">+IF(K$190="NA",+K169+K129+K47+K18,0)</f>
        <v>0</v>
      </c>
      <c r="L205" s="14" t="n">
        <f aca="false">+IF(L$190="NA",+L169+L129+L47+L18,0)</f>
        <v>0</v>
      </c>
      <c r="M205" s="14" t="n">
        <f aca="false">SUM(G205:L205)</f>
        <v>105080</v>
      </c>
    </row>
    <row collapsed="false" customFormat="false" customHeight="false" hidden="true" ht="14" outlineLevel="1" r="206">
      <c r="B206" s="10" t="n">
        <f aca="false">+'bid input'!B13</f>
        <v>1104145</v>
      </c>
      <c r="C206" s="59" t="n">
        <f aca="false">+IF(D206&gt;0,IF(M19&gt;0,F19,0)+IF(M48&gt;0,SUMPRODUCT(G$36:L$36,G48:L48)/M48,0)+E130+IF(M170&gt;0,M$184,0),0)</f>
        <v>0.035</v>
      </c>
      <c r="D206" s="14" t="n">
        <f aca="false">+M206</f>
        <v>31872.5</v>
      </c>
      <c r="G206" s="14" t="n">
        <f aca="false">+IF(G$190="NA",+G170+G130+G48+G19,0)</f>
        <v>31872.5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31872.5</v>
      </c>
    </row>
    <row collapsed="false" customFormat="false" customHeight="false" hidden="true" ht="14" outlineLevel="1" r="207">
      <c r="B207" s="10" t="n">
        <f aca="false">+'bid input'!B14</f>
        <v>1104133</v>
      </c>
      <c r="C207" s="59" t="n">
        <f aca="false">+IF(D207&gt;0,IF(M20&gt;0,F20,0)+IF(M49&gt;0,SUMPRODUCT(G$36:L$36,G49:L49)/M49,0)+E131+IF(M171&gt;0,M$184,0),0)</f>
        <v>0.035</v>
      </c>
      <c r="D207" s="14" t="n">
        <f aca="false">+M207</f>
        <v>105080</v>
      </c>
      <c r="G207" s="14" t="n">
        <f aca="false">+IF(G$190="NA",+G171+G131+G49+G20,0)</f>
        <v>0</v>
      </c>
      <c r="H207" s="14" t="n">
        <f aca="false">+IF(H$190="NA",+H171+H131+H49+H20,0)</f>
        <v>0</v>
      </c>
      <c r="I207" s="14" t="n">
        <f aca="false">+IF(I$190="NA",+I171+I131+I49+I20,0)</f>
        <v>0</v>
      </c>
      <c r="J207" s="14" t="n">
        <f aca="false">+IF(J$190="NA",+J171+J131+J49+J20,0)</f>
        <v>105080</v>
      </c>
      <c r="K207" s="14" t="n">
        <f aca="false">+IF(K$190="NA",+K171+K131+K49+K20,0)</f>
        <v>0</v>
      </c>
      <c r="L207" s="14" t="n">
        <f aca="false">+IF(L$190="NA",+L171+L131+L49+L20,0)</f>
        <v>0</v>
      </c>
      <c r="M207" s="14" t="n">
        <f aca="false">SUM(G207:L207)</f>
        <v>105080</v>
      </c>
    </row>
    <row collapsed="false" customFormat="false" customHeight="false" hidden="true" ht="14" outlineLevel="1" r="208">
      <c r="B208" s="10" t="n">
        <f aca="false">+'bid input'!B15</f>
        <v>1104149</v>
      </c>
      <c r="C208" s="59" t="n">
        <f aca="false">+IF(D208&gt;0,IF(M21&gt;0,F21,0)+IF(M50&gt;0,SUMPRODUCT(G$36:L$36,G50:L50)/M50,0)+E132+IF(M172&gt;0,M$184,0),0)</f>
        <v>0.035</v>
      </c>
      <c r="D208" s="14" t="n">
        <f aca="false">+M208</f>
        <v>103085</v>
      </c>
      <c r="G208" s="14" t="n">
        <f aca="false">+IF(G$190="NA",+G172+G132+G50+G21,0)</f>
        <v>0</v>
      </c>
      <c r="H208" s="14" t="n">
        <f aca="false">+IF(H$190="NA",+H172+H132+H50+H21,0)</f>
        <v>0</v>
      </c>
      <c r="I208" s="14" t="n">
        <f aca="false">+IF(I$190="NA",+I172+I132+I50+I21,0)</f>
        <v>0</v>
      </c>
      <c r="J208" s="14" t="n">
        <f aca="false">+IF(J$190="NA",+J172+J132+J50+J21,0)</f>
        <v>0</v>
      </c>
      <c r="K208" s="14" t="n">
        <f aca="false">+IF(K$190="NA",+K172+K132+K50+K21,0)</f>
        <v>103085</v>
      </c>
      <c r="L208" s="14" t="n">
        <f aca="false">+IF(L$190="NA",+L172+L132+L50+L21,0)</f>
        <v>0</v>
      </c>
      <c r="M208" s="14" t="n">
        <f aca="false">SUM(G208:L208)</f>
        <v>103085</v>
      </c>
    </row>
    <row collapsed="false" customFormat="false" customHeight="false" hidden="true" ht="14" outlineLevel="1" r="209">
      <c r="B209" s="10" t="n">
        <f aca="false">+'bid input'!B16</f>
        <v>1104151</v>
      </c>
      <c r="C209" s="59" t="n">
        <f aca="false">+IF(D209&gt;0,IF(M22&gt;0,F22,0)+IF(M51&gt;0,SUMPRODUCT(G$36:L$36,G51:L51)/M51,0)+E133+IF(M173&gt;0,M$184,0),0)</f>
        <v>0.035</v>
      </c>
      <c r="D209" s="14" t="n">
        <f aca="false">+M209</f>
        <v>31872.5</v>
      </c>
      <c r="G209" s="14" t="n">
        <f aca="false">+IF(G$190="NA",+G173+G133+G51+G22,0)</f>
        <v>31872.5</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31872.5</v>
      </c>
    </row>
    <row collapsed="false" customFormat="false" customHeight="false" hidden="true" ht="14" outlineLevel="1" r="210">
      <c r="B210" s="10" t="n">
        <f aca="false">+'bid input'!B17</f>
        <v>1104131</v>
      </c>
      <c r="C210" s="59" t="n">
        <f aca="false">+IF(D210&gt;0,IF(M23&gt;0,F23,0)+IF(M52&gt;0,SUMPRODUCT(G$36:L$36,G52:L52)/M52,0)+E134+IF(M174&gt;0,M$184,0),0)</f>
        <v>0.035</v>
      </c>
      <c r="D210" s="14" t="n">
        <f aca="false">+M210</f>
        <v>105080</v>
      </c>
      <c r="G210" s="14" t="n">
        <f aca="false">+IF(G$190="NA",+G174+G134+G52+G23,0)</f>
        <v>0</v>
      </c>
      <c r="H210" s="14" t="n">
        <f aca="false">+IF(H$190="NA",+H174+H134+H52+H23,0)</f>
        <v>0</v>
      </c>
      <c r="I210" s="14" t="n">
        <f aca="false">+IF(I$190="NA",+I174+I134+I52+I23,0)</f>
        <v>0</v>
      </c>
      <c r="J210" s="14" t="n">
        <f aca="false">+IF(J$190="NA",+J174+J134+J52+J23,0)</f>
        <v>105080</v>
      </c>
      <c r="K210" s="14" t="n">
        <f aca="false">+IF(K$190="NA",+K174+K134+K52+K23,0)</f>
        <v>0</v>
      </c>
      <c r="L210" s="14" t="n">
        <f aca="false">+IF(L$190="NA",+L174+L134+L52+L23,0)</f>
        <v>0</v>
      </c>
      <c r="M210" s="14" t="n">
        <f aca="false">SUM(G210:L210)</f>
        <v>105080</v>
      </c>
    </row>
    <row collapsed="false" customFormat="false" customHeight="false" hidden="true" ht="14" outlineLevel="1" r="211">
      <c r="B211" s="10" t="n">
        <f aca="false">+'bid input'!B18</f>
        <v>1104155</v>
      </c>
      <c r="C211" s="59" t="n">
        <f aca="false">+IF(D211&gt;0,IF(M24&gt;0,F24,0)+IF(M53&gt;0,SUMPRODUCT(G$36:L$36,G53:L53)/M53,0)+E135+IF(M175&gt;0,M$184,0),0)</f>
        <v>0.035</v>
      </c>
      <c r="D211" s="14" t="n">
        <f aca="false">+M211</f>
        <v>103085</v>
      </c>
      <c r="G211" s="14" t="n">
        <f aca="false">+IF(G$190="NA",+G175+G135+G53+G24,0)</f>
        <v>0</v>
      </c>
      <c r="H211" s="14" t="n">
        <f aca="false">+IF(H$190="NA",+H175+H135+H53+H24,0)</f>
        <v>0</v>
      </c>
      <c r="I211" s="14" t="n">
        <f aca="false">+IF(I$190="NA",+I175+I135+I53+I24,0)</f>
        <v>0</v>
      </c>
      <c r="J211" s="14" t="n">
        <f aca="false">+IF(J$190="NA",+J175+J135+J53+J24,0)</f>
        <v>0</v>
      </c>
      <c r="K211" s="14" t="n">
        <f aca="false">+IF(K$190="NA",+K175+K135+K53+K24,0)</f>
        <v>103085</v>
      </c>
      <c r="L211" s="14" t="n">
        <f aca="false">+IF(L$190="NA",+L175+L135+L53+L24,0)</f>
        <v>0</v>
      </c>
      <c r="M211" s="14" t="n">
        <f aca="false">SUM(G211:L211)</f>
        <v>103085</v>
      </c>
    </row>
    <row collapsed="false" customFormat="false" customHeight="false" hidden="true" ht="14" outlineLevel="1" r="212">
      <c r="B212" s="10" t="n">
        <f aca="false">+'bid input'!B19</f>
        <v>1104156</v>
      </c>
      <c r="C212" s="59" t="n">
        <f aca="false">+IF(D212&gt;0,IF(M25&gt;0,F25,0)+IF(M54&gt;0,SUMPRODUCT(G$36:L$36,G54:L54)/M54,0)+E136+IF(M176&gt;0,M$184,0),0)</f>
        <v>0</v>
      </c>
      <c r="D212" s="14" t="n">
        <f aca="false">+M212</f>
        <v>0</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true" ht="14" outlineLevel="1" r="213">
      <c r="B213" s="10" t="n">
        <f aca="false">+'bid input'!B20</f>
        <v>1104157</v>
      </c>
      <c r="C213" s="59" t="n">
        <f aca="false">+IF(D213&gt;0,IF(M26&gt;0,F26,0)+IF(M55&gt;0,SUMPRODUCT(G$36:L$36,G55:L55)/M55,0)+E137+IF(M177&gt;0,M$184,0),0)</f>
        <v>0</v>
      </c>
      <c r="D213" s="14" t="n">
        <f aca="false">+M213</f>
        <v>0</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true" ht="14" outlineLevel="1" r="214">
      <c r="B214" s="10" t="n">
        <f aca="false">+'bid input'!B21</f>
        <v>1104158</v>
      </c>
      <c r="C214" s="59" t="n">
        <f aca="false">+IF(D214&gt;0,IF(M27&gt;0,F27,0)+IF(M56&gt;0,SUMPRODUCT(G$36:L$36,G56:L56)/M56,0)+E138+IF(M178&gt;0,M$184,0),0)</f>
        <v>0</v>
      </c>
      <c r="D214" s="14" t="n">
        <f aca="false">+M214</f>
        <v>0</v>
      </c>
      <c r="G214" s="14" t="n">
        <f aca="false">+IF(G$190="NA",+G178+G138+G56+G27,0)</f>
        <v>0</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0</v>
      </c>
    </row>
    <row collapsed="false" customFormat="false" customHeight="false" hidden="false" ht="14.9" outlineLevel="0" r="215">
      <c r="B215" s="2" t="s">
        <v>81</v>
      </c>
      <c r="C215" s="59" t="n">
        <f aca="false">+SUMPRODUCT(C195:C214,M195:M214)/M215</f>
        <v>0.035</v>
      </c>
      <c r="D215" s="14" t="n">
        <f aca="false">SUM(D195:D214)</f>
        <v>1359550</v>
      </c>
      <c r="G215" s="14" t="n">
        <f aca="false">SUM(G195:G214)</f>
        <v>318725</v>
      </c>
      <c r="H215" s="14" t="n">
        <f aca="false">SUM(H195:H214)</f>
        <v>0</v>
      </c>
      <c r="I215" s="14" t="n">
        <f aca="false">SUM(I195:I214)</f>
        <v>0</v>
      </c>
      <c r="J215" s="14" t="n">
        <f aca="false">SUM(J195:J214)</f>
        <v>525400</v>
      </c>
      <c r="K215" s="14" t="n">
        <f aca="false">SUM(K195:K214)</f>
        <v>515425</v>
      </c>
      <c r="L215" s="14" t="n">
        <f aca="false">SUM(L195:L214)</f>
        <v>0</v>
      </c>
      <c r="M215" s="14" t="n">
        <f aca="false">SUM(G215:L215)</f>
        <v>1359550</v>
      </c>
    </row>
    <row collapsed="false" customFormat="false" customHeight="false" hidden="false" ht="14" outlineLevel="0" r="216">
      <c r="C216" s="59"/>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59" t="inlineStr">
        <f aca="false">+IF(G190="NA",G187+$C$217,0)</f>
        <is>
          <t/>
        </is>
      </c>
      <c r="H219" s="59" t="n">
        <f aca="false">+IF(H190="NA",H187+$C$217,0)</f>
        <v>0</v>
      </c>
      <c r="I219" s="59" t="n">
        <f aca="false">+IF(I190="NA",I187+$C$217,0)</f>
        <v>0</v>
      </c>
      <c r="J219" s="59" t="inlineStr">
        <f aca="false">+IF(J190="NA",J187+$C$217,0)</f>
        <is>
          <t/>
        </is>
      </c>
      <c r="K219" s="59" t="inlineStr">
        <f aca="false">+IF(K190="NA",K187+$C$217,0)</f>
        <is>
          <t/>
        </is>
      </c>
      <c r="L219" s="59" t="n">
        <f aca="false">+IF(L190="NA",L187+$C$217,0)</f>
        <v>0</v>
      </c>
      <c r="M219" s="59" t="n">
        <f aca="false">+SUMPRODUCT(G215:L215,G219:L219)/M215</f>
        <v>0.045</v>
      </c>
    </row>
    <row collapsed="false" customFormat="false" customHeight="false" hidden="false" ht="14" outlineLevel="0" r="220">
      <c r="G220" s="67" t="str">
        <f aca="false">+IF(G219=0, "NOT FUNDED","")</f>
        <v/>
      </c>
      <c r="H220" s="67" t="str">
        <f aca="false">+IF(H219=0, "NOT FUNDED","")</f>
        <v>NOT FUNDED</v>
      </c>
      <c r="I220" s="67" t="str">
        <f aca="false">+IF(I219=0, "NOT FUNDED","")</f>
        <v>NOT FUNDED</v>
      </c>
      <c r="J220" s="67" t="str">
        <f aca="false">+IF(J219=0, "NOT FUNDED","")</f>
        <v/>
      </c>
      <c r="K220" s="67" t="str">
        <f aca="false">+IF(K219=0, "NOT FUNDED","")</f>
        <v/>
      </c>
      <c r="L220" s="67"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