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autoCompressPictures="0" defaultThemeVersion="124226"/>
  <bookViews>
    <workbookView xWindow="0" yWindow="0" windowWidth="25515" windowHeight="15480" activeTab="1"/>
  </bookViews>
  <sheets>
    <sheet name="bid input" sheetId="6" r:id="rId1"/>
    <sheet name="assets available for bid" sheetId="7" r:id="rId2"/>
  </sheets>
  <definedNames>
    <definedName name="_xlnm._FilterDatabase" localSheetId="0" hidden="1">'bid input'!$A$1:$N$21</definedName>
  </definedNames>
  <calcPr calcId="125725"/>
  <extLst>
    <ext xmlns:mx="http://schemas.microsoft.com/office/mac/excel/2008/main" uri="{7523E5D3-25F3-A5E0-1632-64F254C22452}">
      <mx:ArchID Flags="2"/>
    </ext>
  </extLst>
</workbook>
</file>

<file path=xl/calcChain.xml><?xml version="1.0" encoding="utf-8"?>
<calcChain xmlns="http://schemas.openxmlformats.org/spreadsheetml/2006/main">
  <c r="Q5" i="6"/>
  <c r="C74" i="7" s="1"/>
  <c r="D74" s="1"/>
  <c r="Q6" i="6"/>
  <c r="C75" i="7" s="1"/>
  <c r="D75" s="1"/>
  <c r="Q7" i="6"/>
  <c r="C76" i="7"/>
  <c r="D76" s="1"/>
  <c r="Q8" i="6"/>
  <c r="C77" i="7" s="1"/>
  <c r="D77" s="1"/>
  <c r="Q9" i="6"/>
  <c r="C78" i="7"/>
  <c r="D78" s="1"/>
  <c r="Q10" i="6"/>
  <c r="C79" i="7" s="1"/>
  <c r="D79" s="1"/>
  <c r="Q11" i="6"/>
  <c r="C80" i="7"/>
  <c r="D80" s="1"/>
  <c r="Q12" i="6"/>
  <c r="C81" i="7" s="1"/>
  <c r="D81" s="1"/>
  <c r="Q13" i="6"/>
  <c r="C82" i="7"/>
  <c r="D82" s="1"/>
  <c r="Q14" i="6"/>
  <c r="C83" i="7" s="1"/>
  <c r="D83" s="1"/>
  <c r="Q15" i="6"/>
  <c r="C84" i="7"/>
  <c r="D84" s="1"/>
  <c r="Q16" i="6"/>
  <c r="C85" i="7" s="1"/>
  <c r="D85" s="1"/>
  <c r="Q17" i="6"/>
  <c r="C86" i="7"/>
  <c r="D86" s="1"/>
  <c r="Q18" i="6"/>
  <c r="C87" i="7" s="1"/>
  <c r="D87" s="1"/>
  <c r="Q19" i="6"/>
  <c r="C88" i="7"/>
  <c r="D88" s="1"/>
  <c r="Q20" i="6"/>
  <c r="C89" i="7" s="1"/>
  <c r="D89" s="1"/>
  <c r="Q21" i="6"/>
  <c r="C90" i="7"/>
  <c r="D90" s="1"/>
  <c r="J72"/>
  <c r="J76"/>
  <c r="J78"/>
  <c r="J86"/>
  <c r="J88"/>
  <c r="O5" i="6"/>
  <c r="E11" i="7" s="1"/>
  <c r="O6" i="6"/>
  <c r="E12" i="7"/>
  <c r="O7" i="6"/>
  <c r="E13" i="7" s="1"/>
  <c r="O8" i="6"/>
  <c r="E14" i="7"/>
  <c r="O9" i="6"/>
  <c r="E15" i="7" s="1"/>
  <c r="O10" i="6"/>
  <c r="E16" i="7"/>
  <c r="O11" i="6"/>
  <c r="E17" i="7" s="1"/>
  <c r="O12" i="6"/>
  <c r="E18" i="7"/>
  <c r="O13" i="6"/>
  <c r="E19" i="7" s="1"/>
  <c r="O14" i="6"/>
  <c r="E20" i="7"/>
  <c r="O15" i="6"/>
  <c r="E21" i="7" s="1"/>
  <c r="O16" i="6"/>
  <c r="E22" i="7"/>
  <c r="O17" i="6"/>
  <c r="E23" i="7" s="1"/>
  <c r="O18" i="6"/>
  <c r="E24" i="7"/>
  <c r="O19" i="6"/>
  <c r="E25" i="7" s="1"/>
  <c r="O20" i="6"/>
  <c r="E26" i="7"/>
  <c r="O21" i="6"/>
  <c r="E27" i="7" s="1"/>
  <c r="P5" i="6"/>
  <c r="E40" i="7"/>
  <c r="P6" i="6"/>
  <c r="E41" i="7" s="1"/>
  <c r="P7" i="6"/>
  <c r="E42" i="7"/>
  <c r="P8" i="6"/>
  <c r="E43" i="7" s="1"/>
  <c r="P9" i="6"/>
  <c r="E44" i="7"/>
  <c r="P10" i="6"/>
  <c r="E45" i="7" s="1"/>
  <c r="P11" i="6"/>
  <c r="E46" i="7"/>
  <c r="P12" i="6"/>
  <c r="E47" i="7" s="1"/>
  <c r="P13" i="6"/>
  <c r="E48" i="7"/>
  <c r="P14" i="6"/>
  <c r="E49" i="7" s="1"/>
  <c r="P15" i="6"/>
  <c r="E50" i="7"/>
  <c r="P16" i="6"/>
  <c r="E51" i="7" s="1"/>
  <c r="P17" i="6"/>
  <c r="E52" i="7"/>
  <c r="P18" i="6"/>
  <c r="E53" i="7" s="1"/>
  <c r="P19" i="6"/>
  <c r="E54" i="7"/>
  <c r="P20" i="6"/>
  <c r="E55" i="7" s="1"/>
  <c r="P21" i="6"/>
  <c r="E56" i="7"/>
  <c r="E74"/>
  <c r="E76"/>
  <c r="E80"/>
  <c r="E85"/>
  <c r="E89"/>
  <c r="G97"/>
  <c r="G98" s="1"/>
  <c r="G99" s="1"/>
  <c r="G100" s="1"/>
  <c r="G101" s="1"/>
  <c r="G102" s="1"/>
  <c r="G103" s="1"/>
  <c r="G104" s="1"/>
  <c r="G105" s="1"/>
  <c r="G106" s="1"/>
  <c r="G107" s="1"/>
  <c r="G108" s="1"/>
  <c r="G109" s="1"/>
  <c r="G110" s="1"/>
  <c r="G111" s="1"/>
  <c r="G112" s="1"/>
  <c r="G113" s="1"/>
  <c r="G114" s="1"/>
  <c r="G115" s="1"/>
  <c r="E71"/>
  <c r="B71"/>
  <c r="J71" s="1"/>
  <c r="E72"/>
  <c r="B72"/>
  <c r="E73"/>
  <c r="B73"/>
  <c r="J73" s="1"/>
  <c r="B74"/>
  <c r="P74" s="1"/>
  <c r="E75"/>
  <c r="B75"/>
  <c r="J75" s="1"/>
  <c r="B76"/>
  <c r="E77"/>
  <c r="B77"/>
  <c r="J77" s="1"/>
  <c r="E78"/>
  <c r="B78"/>
  <c r="E79"/>
  <c r="B79"/>
  <c r="J79" s="1"/>
  <c r="B80"/>
  <c r="P80" s="1"/>
  <c r="E81"/>
  <c r="B81"/>
  <c r="J81" s="1"/>
  <c r="E82"/>
  <c r="B82"/>
  <c r="J82" s="1"/>
  <c r="E83"/>
  <c r="B83"/>
  <c r="J83" s="1"/>
  <c r="E84"/>
  <c r="B84"/>
  <c r="J84" s="1"/>
  <c r="B85"/>
  <c r="J85" s="1"/>
  <c r="E86"/>
  <c r="B86"/>
  <c r="E87"/>
  <c r="B87"/>
  <c r="J87" s="1"/>
  <c r="E88"/>
  <c r="B88"/>
  <c r="B89"/>
  <c r="J89" s="1"/>
  <c r="E90"/>
  <c r="B90"/>
  <c r="J90" s="1"/>
  <c r="P85"/>
  <c r="P79"/>
  <c r="P87"/>
  <c r="P71"/>
  <c r="P82"/>
  <c r="P78"/>
  <c r="P84"/>
  <c r="P72"/>
  <c r="P76"/>
  <c r="P75"/>
  <c r="P77"/>
  <c r="P73"/>
  <c r="O2" i="6"/>
  <c r="E8" i="7" s="1"/>
  <c r="C8"/>
  <c r="D8"/>
  <c r="O3" i="6"/>
  <c r="E9" i="7" s="1"/>
  <c r="C9"/>
  <c r="C38" s="1"/>
  <c r="D9"/>
  <c r="O4" i="6"/>
  <c r="E10" i="7" s="1"/>
  <c r="C10"/>
  <c r="D10"/>
  <c r="C11"/>
  <c r="D11"/>
  <c r="C12"/>
  <c r="D12"/>
  <c r="C13"/>
  <c r="D13"/>
  <c r="C14"/>
  <c r="D14"/>
  <c r="C15"/>
  <c r="D15"/>
  <c r="C16"/>
  <c r="D16"/>
  <c r="C17"/>
  <c r="D17"/>
  <c r="C18"/>
  <c r="D18"/>
  <c r="C19"/>
  <c r="D19"/>
  <c r="C20"/>
  <c r="D20"/>
  <c r="C21"/>
  <c r="D21"/>
  <c r="C22"/>
  <c r="D22"/>
  <c r="C23"/>
  <c r="D23"/>
  <c r="C24"/>
  <c r="D24"/>
  <c r="C25"/>
  <c r="D25"/>
  <c r="C26"/>
  <c r="D26"/>
  <c r="C27"/>
  <c r="D27"/>
  <c r="P2" i="6"/>
  <c r="E37" i="7"/>
  <c r="C37"/>
  <c r="D37"/>
  <c r="P3" i="6"/>
  <c r="E38" i="7"/>
  <c r="G38" s="1"/>
  <c r="D38"/>
  <c r="P4" i="6"/>
  <c r="E39" i="7"/>
  <c r="C39"/>
  <c r="D39"/>
  <c r="C40"/>
  <c r="D40"/>
  <c r="C41"/>
  <c r="D41"/>
  <c r="C42"/>
  <c r="D42"/>
  <c r="C43"/>
  <c r="D43"/>
  <c r="C44"/>
  <c r="D44"/>
  <c r="C45"/>
  <c r="D45"/>
  <c r="C46"/>
  <c r="D46"/>
  <c r="C47"/>
  <c r="D47"/>
  <c r="C48"/>
  <c r="D48"/>
  <c r="C49"/>
  <c r="D49"/>
  <c r="C50"/>
  <c r="D50"/>
  <c r="C51"/>
  <c r="D51"/>
  <c r="C52"/>
  <c r="D52"/>
  <c r="C53"/>
  <c r="D53"/>
  <c r="C54"/>
  <c r="D54"/>
  <c r="C55"/>
  <c r="D55"/>
  <c r="C56"/>
  <c r="D56"/>
  <c r="Q2" i="6"/>
  <c r="C71" i="7" s="1"/>
  <c r="C91" s="1"/>
  <c r="Q3" i="6"/>
  <c r="C72" i="7" s="1"/>
  <c r="D72" s="1"/>
  <c r="Q4" i="6"/>
  <c r="C73" i="7" s="1"/>
  <c r="D73" s="1"/>
  <c r="R2" i="6"/>
  <c r="C159" i="7"/>
  <c r="D159" s="1"/>
  <c r="M4"/>
  <c r="R3" i="6"/>
  <c r="C160" i="7"/>
  <c r="D160" s="1"/>
  <c r="R4" i="6"/>
  <c r="C161" i="7" s="1"/>
  <c r="D161" s="1"/>
  <c r="R5" i="6"/>
  <c r="C162" i="7"/>
  <c r="D162" s="1"/>
  <c r="R6" i="6"/>
  <c r="C163" i="7" s="1"/>
  <c r="D163" s="1"/>
  <c r="R7" i="6"/>
  <c r="C164" i="7"/>
  <c r="D164" s="1"/>
  <c r="R8" i="6"/>
  <c r="C165" i="7" s="1"/>
  <c r="D165" s="1"/>
  <c r="R9" i="6"/>
  <c r="C166" i="7"/>
  <c r="D166" s="1"/>
  <c r="R10" i="6"/>
  <c r="C167" i="7" s="1"/>
  <c r="D167" s="1"/>
  <c r="R11" i="6"/>
  <c r="C168" i="7"/>
  <c r="D168" s="1"/>
  <c r="R12" i="6"/>
  <c r="C169" i="7" s="1"/>
  <c r="D169" s="1"/>
  <c r="R13" i="6"/>
  <c r="C170" i="7"/>
  <c r="D170" s="1"/>
  <c r="R14" i="6"/>
  <c r="C171" i="7" s="1"/>
  <c r="D171" s="1"/>
  <c r="R15" i="6"/>
  <c r="C172" i="7"/>
  <c r="D172" s="1"/>
  <c r="R16" i="6"/>
  <c r="C173" i="7" s="1"/>
  <c r="D173" s="1"/>
  <c r="R17" i="6"/>
  <c r="C174" i="7"/>
  <c r="D174" s="1"/>
  <c r="R18" i="6"/>
  <c r="C175" i="7" s="1"/>
  <c r="D175" s="1"/>
  <c r="R19" i="6"/>
  <c r="C176" i="7"/>
  <c r="D176" s="1"/>
  <c r="R20" i="6"/>
  <c r="C177" i="7" s="1"/>
  <c r="D177" s="1"/>
  <c r="R21" i="6"/>
  <c r="C178" i="7"/>
  <c r="D178" s="1"/>
  <c r="F8"/>
  <c r="F9"/>
  <c r="F10"/>
  <c r="F11"/>
  <c r="F12"/>
  <c r="F13"/>
  <c r="F14"/>
  <c r="F15"/>
  <c r="F16"/>
  <c r="F17"/>
  <c r="F18"/>
  <c r="F19"/>
  <c r="F20"/>
  <c r="F21"/>
  <c r="F22"/>
  <c r="F23"/>
  <c r="F24"/>
  <c r="F25"/>
  <c r="F26"/>
  <c r="F27"/>
  <c r="H36"/>
  <c r="I36" s="1"/>
  <c r="J36" s="1"/>
  <c r="H59"/>
  <c r="G59"/>
  <c r="B196"/>
  <c r="B197"/>
  <c r="B198"/>
  <c r="B199"/>
  <c r="B200"/>
  <c r="B201"/>
  <c r="B202"/>
  <c r="B203"/>
  <c r="B204"/>
  <c r="B205"/>
  <c r="B206"/>
  <c r="B207"/>
  <c r="B208"/>
  <c r="B209"/>
  <c r="B210"/>
  <c r="B211"/>
  <c r="B212"/>
  <c r="B213"/>
  <c r="B214"/>
  <c r="B195"/>
  <c r="B160"/>
  <c r="B161"/>
  <c r="B162"/>
  <c r="B163"/>
  <c r="B164"/>
  <c r="B165"/>
  <c r="B166"/>
  <c r="B167"/>
  <c r="B168"/>
  <c r="B169"/>
  <c r="B170"/>
  <c r="B171"/>
  <c r="B172"/>
  <c r="B173"/>
  <c r="B174"/>
  <c r="B175"/>
  <c r="B176"/>
  <c r="B177"/>
  <c r="B178"/>
  <c r="B159"/>
  <c r="B120"/>
  <c r="B121"/>
  <c r="B122"/>
  <c r="B124"/>
  <c r="B125"/>
  <c r="B126"/>
  <c r="B127"/>
  <c r="B128"/>
  <c r="B130"/>
  <c r="B132"/>
  <c r="B133"/>
  <c r="B134"/>
  <c r="B135"/>
  <c r="B136"/>
  <c r="B138"/>
  <c r="B119"/>
  <c r="B9"/>
  <c r="B38" s="1"/>
  <c r="B10"/>
  <c r="B39" s="1"/>
  <c r="B11"/>
  <c r="B40" s="1"/>
  <c r="B12"/>
  <c r="B41" s="1"/>
  <c r="B13"/>
  <c r="B42" s="1"/>
  <c r="B14"/>
  <c r="B43" s="1"/>
  <c r="B15"/>
  <c r="B44" s="1"/>
  <c r="B16"/>
  <c r="B45" s="1"/>
  <c r="B17"/>
  <c r="B46" s="1"/>
  <c r="B18"/>
  <c r="B47" s="1"/>
  <c r="B19"/>
  <c r="B48" s="1"/>
  <c r="B20"/>
  <c r="B49" s="1"/>
  <c r="B21"/>
  <c r="B50" s="1"/>
  <c r="B22"/>
  <c r="B51" s="1"/>
  <c r="B23"/>
  <c r="B52" s="1"/>
  <c r="B24"/>
  <c r="B53" s="1"/>
  <c r="B25"/>
  <c r="B54" s="1"/>
  <c r="B26"/>
  <c r="B55" s="1"/>
  <c r="B27"/>
  <c r="B56" s="1"/>
  <c r="B8"/>
  <c r="B37" s="1"/>
  <c r="P86"/>
  <c r="P88"/>
  <c r="P90"/>
  <c r="J39"/>
  <c r="G39"/>
  <c r="K39"/>
  <c r="O83"/>
  <c r="O79"/>
  <c r="O75"/>
  <c r="H37"/>
  <c r="L37"/>
  <c r="I37"/>
  <c r="G9"/>
  <c r="K9"/>
  <c r="K36" l="1"/>
  <c r="J59"/>
  <c r="J37"/>
  <c r="I59"/>
  <c r="H39"/>
  <c r="G46"/>
  <c r="H38"/>
  <c r="J38"/>
  <c r="G54"/>
  <c r="G50"/>
  <c r="G42"/>
  <c r="G26"/>
  <c r="G22"/>
  <c r="G18"/>
  <c r="G14"/>
  <c r="J80"/>
  <c r="J74"/>
  <c r="I9"/>
  <c r="K37"/>
  <c r="G37"/>
  <c r="C179"/>
  <c r="I39"/>
  <c r="L39"/>
  <c r="L38"/>
  <c r="B137"/>
  <c r="B131"/>
  <c r="B129"/>
  <c r="B123"/>
  <c r="K38"/>
  <c r="I38"/>
  <c r="I56"/>
  <c r="H54"/>
  <c r="H52"/>
  <c r="H50"/>
  <c r="H48"/>
  <c r="H46"/>
  <c r="H44"/>
  <c r="H42"/>
  <c r="H40"/>
  <c r="I26"/>
  <c r="I24"/>
  <c r="I22"/>
  <c r="I20"/>
  <c r="I18"/>
  <c r="I16"/>
  <c r="I14"/>
  <c r="I12"/>
  <c r="P81"/>
  <c r="P83"/>
  <c r="P89"/>
  <c r="G52"/>
  <c r="G48"/>
  <c r="G44"/>
  <c r="G40"/>
  <c r="G24"/>
  <c r="G20"/>
  <c r="G16"/>
  <c r="G12"/>
  <c r="F73"/>
  <c r="G73" s="1"/>
  <c r="K73" s="1"/>
  <c r="L73" s="1"/>
  <c r="N73" s="1"/>
  <c r="C121"/>
  <c r="O73"/>
  <c r="E91"/>
  <c r="D71"/>
  <c r="G10"/>
  <c r="H10"/>
  <c r="I10"/>
  <c r="J10"/>
  <c r="K10"/>
  <c r="L10"/>
  <c r="G8"/>
  <c r="H8"/>
  <c r="I8"/>
  <c r="J8"/>
  <c r="K8"/>
  <c r="L8"/>
  <c r="G53"/>
  <c r="H53"/>
  <c r="I53"/>
  <c r="J53"/>
  <c r="K53"/>
  <c r="L53"/>
  <c r="G49"/>
  <c r="H49"/>
  <c r="I49"/>
  <c r="J49"/>
  <c r="K49"/>
  <c r="L49"/>
  <c r="G45"/>
  <c r="H45"/>
  <c r="I45"/>
  <c r="J45"/>
  <c r="K45"/>
  <c r="L45"/>
  <c r="G41"/>
  <c r="H41"/>
  <c r="I41"/>
  <c r="J41"/>
  <c r="K41"/>
  <c r="L41"/>
  <c r="H25"/>
  <c r="J25"/>
  <c r="L25"/>
  <c r="G25"/>
  <c r="I25"/>
  <c r="K25"/>
  <c r="H21"/>
  <c r="J21"/>
  <c r="L21"/>
  <c r="G21"/>
  <c r="I21"/>
  <c r="K21"/>
  <c r="H17"/>
  <c r="J17"/>
  <c r="L17"/>
  <c r="G17"/>
  <c r="I17"/>
  <c r="K17"/>
  <c r="H13"/>
  <c r="J13"/>
  <c r="L13"/>
  <c r="G13"/>
  <c r="I13"/>
  <c r="K13"/>
  <c r="F90"/>
  <c r="G90" s="1"/>
  <c r="K90" s="1"/>
  <c r="L90" s="1"/>
  <c r="N90" s="1"/>
  <c r="C138"/>
  <c r="O90"/>
  <c r="F89"/>
  <c r="G89" s="1"/>
  <c r="K89" s="1"/>
  <c r="L89" s="1"/>
  <c r="M89" s="1"/>
  <c r="O89"/>
  <c r="C137"/>
  <c r="F86"/>
  <c r="G86" s="1"/>
  <c r="K86" s="1"/>
  <c r="L86" s="1"/>
  <c r="N86" s="1"/>
  <c r="C134"/>
  <c r="O86"/>
  <c r="O85"/>
  <c r="F85"/>
  <c r="G85" s="1"/>
  <c r="K85" s="1"/>
  <c r="L85" s="1"/>
  <c r="M85" s="1"/>
  <c r="C133"/>
  <c r="F82"/>
  <c r="G82" s="1"/>
  <c r="K82" s="1"/>
  <c r="L82" s="1"/>
  <c r="N82" s="1"/>
  <c r="C130"/>
  <c r="O82"/>
  <c r="C129"/>
  <c r="F81"/>
  <c r="G81" s="1"/>
  <c r="K81" s="1"/>
  <c r="L81" s="1"/>
  <c r="O81"/>
  <c r="F78"/>
  <c r="G78" s="1"/>
  <c r="K78" s="1"/>
  <c r="L78" s="1"/>
  <c r="N78" s="1"/>
  <c r="O78"/>
  <c r="C126"/>
  <c r="F77"/>
  <c r="G77" s="1"/>
  <c r="K77" s="1"/>
  <c r="L77" s="1"/>
  <c r="C125"/>
  <c r="O77"/>
  <c r="F74"/>
  <c r="G74" s="1"/>
  <c r="K74" s="1"/>
  <c r="L74" s="1"/>
  <c r="O74"/>
  <c r="C122"/>
  <c r="D179"/>
  <c r="F72"/>
  <c r="G72" s="1"/>
  <c r="K72" s="1"/>
  <c r="L72" s="1"/>
  <c r="N72" s="1"/>
  <c r="C120"/>
  <c r="O72"/>
  <c r="L9"/>
  <c r="H9"/>
  <c r="J9"/>
  <c r="G55"/>
  <c r="H55"/>
  <c r="I55"/>
  <c r="J55"/>
  <c r="L55"/>
  <c r="H51"/>
  <c r="I51"/>
  <c r="J51"/>
  <c r="K51"/>
  <c r="L51"/>
  <c r="G47"/>
  <c r="H47"/>
  <c r="I47"/>
  <c r="J47"/>
  <c r="K47"/>
  <c r="L47"/>
  <c r="G43"/>
  <c r="H43"/>
  <c r="I43"/>
  <c r="J43"/>
  <c r="K43"/>
  <c r="L43"/>
  <c r="H27"/>
  <c r="J27"/>
  <c r="L27"/>
  <c r="G27"/>
  <c r="I27"/>
  <c r="K27"/>
  <c r="H23"/>
  <c r="J23"/>
  <c r="L23"/>
  <c r="G23"/>
  <c r="I23"/>
  <c r="K23"/>
  <c r="H19"/>
  <c r="J19"/>
  <c r="L19"/>
  <c r="G19"/>
  <c r="I19"/>
  <c r="K19"/>
  <c r="H15"/>
  <c r="J15"/>
  <c r="L15"/>
  <c r="G15"/>
  <c r="I15"/>
  <c r="K15"/>
  <c r="H11"/>
  <c r="J11"/>
  <c r="L11"/>
  <c r="G11"/>
  <c r="I11"/>
  <c r="K11"/>
  <c r="F88"/>
  <c r="G88" s="1"/>
  <c r="K88" s="1"/>
  <c r="L88" s="1"/>
  <c r="N88" s="1"/>
  <c r="C136"/>
  <c r="O88"/>
  <c r="C135"/>
  <c r="F87"/>
  <c r="G87" s="1"/>
  <c r="K87" s="1"/>
  <c r="L87" s="1"/>
  <c r="O87"/>
  <c r="F84"/>
  <c r="G84" s="1"/>
  <c r="K84" s="1"/>
  <c r="L84" s="1"/>
  <c r="N84" s="1"/>
  <c r="C132"/>
  <c r="O84"/>
  <c r="F83"/>
  <c r="G83" s="1"/>
  <c r="K83" s="1"/>
  <c r="L83" s="1"/>
  <c r="C131"/>
  <c r="F80"/>
  <c r="G80" s="1"/>
  <c r="K80" s="1"/>
  <c r="L80" s="1"/>
  <c r="M80" s="1"/>
  <c r="O80"/>
  <c r="C128"/>
  <c r="C127"/>
  <c r="F79"/>
  <c r="G79" s="1"/>
  <c r="K79" s="1"/>
  <c r="L79" s="1"/>
  <c r="F76"/>
  <c r="G76" s="1"/>
  <c r="K76" s="1"/>
  <c r="L76" s="1"/>
  <c r="M76" s="1"/>
  <c r="O76"/>
  <c r="C124"/>
  <c r="F75"/>
  <c r="G75" s="1"/>
  <c r="K75" s="1"/>
  <c r="L75" s="1"/>
  <c r="C123"/>
  <c r="G58"/>
  <c r="L26"/>
  <c r="L24"/>
  <c r="L22"/>
  <c r="L20"/>
  <c r="L18"/>
  <c r="L16"/>
  <c r="L14"/>
  <c r="L12"/>
  <c r="J26"/>
  <c r="J24"/>
  <c r="J22"/>
  <c r="J20"/>
  <c r="J18"/>
  <c r="J16"/>
  <c r="J14"/>
  <c r="J12"/>
  <c r="H26"/>
  <c r="H24"/>
  <c r="H22"/>
  <c r="H20"/>
  <c r="H18"/>
  <c r="H16"/>
  <c r="H14"/>
  <c r="H12"/>
  <c r="M90"/>
  <c r="M86"/>
  <c r="M82"/>
  <c r="M78"/>
  <c r="M72"/>
  <c r="L56"/>
  <c r="L54"/>
  <c r="L52"/>
  <c r="L50"/>
  <c r="L48"/>
  <c r="L46"/>
  <c r="L44"/>
  <c r="L42"/>
  <c r="L40"/>
  <c r="K56"/>
  <c r="K54"/>
  <c r="K52"/>
  <c r="K50"/>
  <c r="K48"/>
  <c r="K46"/>
  <c r="K44"/>
  <c r="K42"/>
  <c r="K40"/>
  <c r="J56"/>
  <c r="J54"/>
  <c r="J52"/>
  <c r="J50"/>
  <c r="J48"/>
  <c r="J46"/>
  <c r="J44"/>
  <c r="J42"/>
  <c r="J40"/>
  <c r="I54"/>
  <c r="M54" s="1"/>
  <c r="I52"/>
  <c r="I50"/>
  <c r="M50" s="1"/>
  <c r="I48"/>
  <c r="I46"/>
  <c r="M46" s="1"/>
  <c r="I44"/>
  <c r="I42"/>
  <c r="M42" s="1"/>
  <c r="I40"/>
  <c r="H56"/>
  <c r="M56" s="1"/>
  <c r="K26"/>
  <c r="K24"/>
  <c r="M24" s="1"/>
  <c r="K22"/>
  <c r="K20"/>
  <c r="K18"/>
  <c r="K16"/>
  <c r="M16" s="1"/>
  <c r="K14"/>
  <c r="K12"/>
  <c r="M88"/>
  <c r="M84"/>
  <c r="N74"/>
  <c r="N80"/>
  <c r="N85"/>
  <c r="N89"/>
  <c r="N76" l="1"/>
  <c r="M74"/>
  <c r="L36"/>
  <c r="L59" s="1"/>
  <c r="K59"/>
  <c r="K58"/>
  <c r="M38"/>
  <c r="M39"/>
  <c r="M37"/>
  <c r="M12"/>
  <c r="M20"/>
  <c r="H58"/>
  <c r="M73"/>
  <c r="I58"/>
  <c r="M44"/>
  <c r="M48"/>
  <c r="M52"/>
  <c r="J58"/>
  <c r="L58"/>
  <c r="M14"/>
  <c r="M18"/>
  <c r="M22"/>
  <c r="M26"/>
  <c r="M9"/>
  <c r="D91"/>
  <c r="M75"/>
  <c r="N75"/>
  <c r="M79"/>
  <c r="N79"/>
  <c r="M83"/>
  <c r="N83"/>
  <c r="M77"/>
  <c r="N77"/>
  <c r="F71"/>
  <c r="G71" s="1"/>
  <c r="K71" s="1"/>
  <c r="L71" s="1"/>
  <c r="C119"/>
  <c r="O71"/>
  <c r="M40"/>
  <c r="M11"/>
  <c r="M15"/>
  <c r="M19"/>
  <c r="M23"/>
  <c r="M27"/>
  <c r="M13"/>
  <c r="M17"/>
  <c r="M21"/>
  <c r="M25"/>
  <c r="L29"/>
  <c r="J29"/>
  <c r="H29"/>
  <c r="M87"/>
  <c r="N87"/>
  <c r="N81"/>
  <c r="M81"/>
  <c r="G29"/>
  <c r="M8"/>
  <c r="M43"/>
  <c r="M47"/>
  <c r="M51"/>
  <c r="M55"/>
  <c r="M41"/>
  <c r="M45"/>
  <c r="M49"/>
  <c r="M53"/>
  <c r="K29"/>
  <c r="I29"/>
  <c r="M10"/>
  <c r="D142" l="1"/>
  <c r="M58"/>
  <c r="M59" s="1"/>
  <c r="I32"/>
  <c r="I30"/>
  <c r="I65"/>
  <c r="I66" s="1"/>
  <c r="I67"/>
  <c r="H32"/>
  <c r="H65"/>
  <c r="H66" s="1"/>
  <c r="H30"/>
  <c r="H67" s="1"/>
  <c r="L32"/>
  <c r="L65"/>
  <c r="L66" s="1"/>
  <c r="L30"/>
  <c r="L67" s="1"/>
  <c r="N71"/>
  <c r="M71"/>
  <c r="K32"/>
  <c r="K30"/>
  <c r="K67" s="1"/>
  <c r="K65"/>
  <c r="K66" s="1"/>
  <c r="G32"/>
  <c r="G30"/>
  <c r="G67" s="1"/>
  <c r="G65"/>
  <c r="G66" s="1"/>
  <c r="M29"/>
  <c r="J32"/>
  <c r="J30"/>
  <c r="J67" s="1"/>
  <c r="J65"/>
  <c r="J66" s="1"/>
  <c r="M30" l="1"/>
  <c r="J61"/>
  <c r="J33"/>
  <c r="M65"/>
  <c r="M67"/>
  <c r="M32"/>
  <c r="G61"/>
  <c r="G33"/>
  <c r="K33"/>
  <c r="K61"/>
  <c r="R74"/>
  <c r="S74"/>
  <c r="S76"/>
  <c r="S78"/>
  <c r="S80"/>
  <c r="S82"/>
  <c r="S84"/>
  <c r="S86"/>
  <c r="R88"/>
  <c r="S90"/>
  <c r="R71"/>
  <c r="S71"/>
  <c r="R75"/>
  <c r="R77"/>
  <c r="R79"/>
  <c r="R81"/>
  <c r="R83"/>
  <c r="R85"/>
  <c r="S87"/>
  <c r="R89"/>
  <c r="S89"/>
  <c r="S72"/>
  <c r="R78"/>
  <c r="R82"/>
  <c r="R86"/>
  <c r="R90"/>
  <c r="R72"/>
  <c r="S73"/>
  <c r="S75"/>
  <c r="S77"/>
  <c r="S79"/>
  <c r="S81"/>
  <c r="S83"/>
  <c r="S85"/>
  <c r="R87"/>
  <c r="R73"/>
  <c r="R76"/>
  <c r="R80"/>
  <c r="R84"/>
  <c r="S88"/>
  <c r="L33"/>
  <c r="L61"/>
  <c r="H33"/>
  <c r="H61"/>
  <c r="I61"/>
  <c r="I33"/>
  <c r="H117" l="1"/>
  <c r="H62"/>
  <c r="L62"/>
  <c r="L117"/>
  <c r="U88"/>
  <c r="T88"/>
  <c r="U85"/>
  <c r="T85"/>
  <c r="U81"/>
  <c r="T81"/>
  <c r="U77"/>
  <c r="T77"/>
  <c r="T73"/>
  <c r="U73"/>
  <c r="T72"/>
  <c r="U72"/>
  <c r="U71"/>
  <c r="T71"/>
  <c r="U90"/>
  <c r="J115" s="1"/>
  <c r="T90"/>
  <c r="T86"/>
  <c r="U86"/>
  <c r="J111" s="1"/>
  <c r="U82"/>
  <c r="T82"/>
  <c r="T78"/>
  <c r="U78"/>
  <c r="T74"/>
  <c r="U74"/>
  <c r="K62"/>
  <c r="K117"/>
  <c r="M61"/>
  <c r="M33"/>
  <c r="J62"/>
  <c r="J117"/>
  <c r="I62"/>
  <c r="I117"/>
  <c r="U83"/>
  <c r="T83"/>
  <c r="U79"/>
  <c r="T79"/>
  <c r="T75"/>
  <c r="U75"/>
  <c r="U89"/>
  <c r="J114" s="1"/>
  <c r="T89"/>
  <c r="U87"/>
  <c r="J112" s="1"/>
  <c r="T87"/>
  <c r="J102"/>
  <c r="J97"/>
  <c r="J105"/>
  <c r="J96"/>
  <c r="J100"/>
  <c r="J104"/>
  <c r="J108"/>
  <c r="J113"/>
  <c r="J99"/>
  <c r="J103"/>
  <c r="J107"/>
  <c r="J98"/>
  <c r="J106"/>
  <c r="J110"/>
  <c r="J101"/>
  <c r="J109"/>
  <c r="T84"/>
  <c r="U84"/>
  <c r="U80"/>
  <c r="T80"/>
  <c r="U76"/>
  <c r="T76"/>
  <c r="G117"/>
  <c r="G62"/>
  <c r="D143"/>
  <c r="D144" s="1"/>
  <c r="M62" l="1"/>
  <c r="E93" s="1"/>
  <c r="I95" s="1"/>
  <c r="M117"/>
  <c r="J145"/>
  <c r="K145"/>
  <c r="H145"/>
  <c r="G145"/>
  <c r="L145"/>
  <c r="I145"/>
  <c r="I72"/>
  <c r="D120" s="1"/>
  <c r="E120" s="1"/>
  <c r="I84"/>
  <c r="D132" s="1"/>
  <c r="E132" s="1"/>
  <c r="I71"/>
  <c r="D119" s="1"/>
  <c r="E119" s="1"/>
  <c r="H83"/>
  <c r="H75"/>
  <c r="I75"/>
  <c r="D123" s="1"/>
  <c r="E123" s="1"/>
  <c r="I86"/>
  <c r="D134" s="1"/>
  <c r="E134" s="1"/>
  <c r="H78"/>
  <c r="I90"/>
  <c r="D138" s="1"/>
  <c r="E138" s="1"/>
  <c r="I73"/>
  <c r="D121" s="1"/>
  <c r="E121" s="1"/>
  <c r="H84"/>
  <c r="I77"/>
  <c r="D125" s="1"/>
  <c r="E125" s="1"/>
  <c r="I87"/>
  <c r="D135" s="1"/>
  <c r="E135" s="1"/>
  <c r="H87"/>
  <c r="H79"/>
  <c r="H72"/>
  <c r="I81"/>
  <c r="D129" s="1"/>
  <c r="E129" s="1"/>
  <c r="H90"/>
  <c r="H82"/>
  <c r="H71"/>
  <c r="I82"/>
  <c r="D130" s="1"/>
  <c r="E130" s="1"/>
  <c r="H81"/>
  <c r="H73"/>
  <c r="I78"/>
  <c r="D126" s="1"/>
  <c r="E126" s="1"/>
  <c r="I88"/>
  <c r="D136" s="1"/>
  <c r="E136" s="1"/>
  <c r="H88"/>
  <c r="H86"/>
  <c r="I79"/>
  <c r="D127" s="1"/>
  <c r="E127" s="1"/>
  <c r="H77"/>
  <c r="I83"/>
  <c r="D131" s="1"/>
  <c r="E131" s="1"/>
  <c r="I91"/>
  <c r="H96" l="1"/>
  <c r="K96" s="1"/>
  <c r="H131"/>
  <c r="J131"/>
  <c r="I131"/>
  <c r="H121"/>
  <c r="I121"/>
  <c r="K121"/>
  <c r="G121"/>
  <c r="L138"/>
  <c r="H138"/>
  <c r="J130"/>
  <c r="I130"/>
  <c r="K130"/>
  <c r="G130"/>
  <c r="H129"/>
  <c r="J129"/>
  <c r="I129"/>
  <c r="K135"/>
  <c r="G135"/>
  <c r="L135"/>
  <c r="J120"/>
  <c r="I120"/>
  <c r="K120"/>
  <c r="L136"/>
  <c r="H136"/>
  <c r="J126"/>
  <c r="I126"/>
  <c r="K126"/>
  <c r="G126"/>
  <c r="H127"/>
  <c r="J127"/>
  <c r="I127"/>
  <c r="J134"/>
  <c r="I134"/>
  <c r="K134"/>
  <c r="G134"/>
  <c r="L123"/>
  <c r="H123"/>
  <c r="H119"/>
  <c r="J119"/>
  <c r="I119"/>
  <c r="L132"/>
  <c r="H132"/>
  <c r="J125"/>
  <c r="I125"/>
  <c r="K125"/>
  <c r="G125"/>
  <c r="G123"/>
  <c r="L119"/>
  <c r="J132"/>
  <c r="K132"/>
  <c r="L125"/>
  <c r="H125"/>
  <c r="K131"/>
  <c r="G131"/>
  <c r="L131"/>
  <c r="J121"/>
  <c r="L121"/>
  <c r="J138"/>
  <c r="I138"/>
  <c r="K138"/>
  <c r="G138"/>
  <c r="L130"/>
  <c r="H130"/>
  <c r="K129"/>
  <c r="G129"/>
  <c r="L129"/>
  <c r="H135"/>
  <c r="J135"/>
  <c r="I135"/>
  <c r="L120"/>
  <c r="G120"/>
  <c r="H120"/>
  <c r="J136"/>
  <c r="I136"/>
  <c r="K136"/>
  <c r="G136"/>
  <c r="L126"/>
  <c r="H126"/>
  <c r="K127"/>
  <c r="G127"/>
  <c r="L127"/>
  <c r="L134"/>
  <c r="H134"/>
  <c r="J123"/>
  <c r="I123"/>
  <c r="K123"/>
  <c r="K119"/>
  <c r="G119"/>
  <c r="I132"/>
  <c r="G132"/>
  <c r="M132" l="1"/>
  <c r="M119"/>
  <c r="M127"/>
  <c r="M136"/>
  <c r="M131"/>
  <c r="I96"/>
  <c r="M120"/>
  <c r="M129"/>
  <c r="M138"/>
  <c r="M123"/>
  <c r="M134"/>
  <c r="M130"/>
  <c r="M121"/>
  <c r="H97"/>
  <c r="K97" s="1"/>
  <c r="M125"/>
  <c r="M126"/>
  <c r="M135"/>
  <c r="I97" l="1"/>
  <c r="H98" l="1"/>
  <c r="K98" s="1"/>
  <c r="I98" l="1"/>
  <c r="H99" s="1"/>
  <c r="K99" s="1"/>
  <c r="I99" l="1"/>
  <c r="H100" l="1"/>
  <c r="K100" s="1"/>
  <c r="I100" l="1"/>
  <c r="H101" s="1"/>
  <c r="K101" s="1"/>
  <c r="I101" l="1"/>
  <c r="H102" l="1"/>
  <c r="K102" s="1"/>
  <c r="I102" l="1"/>
  <c r="H103" s="1"/>
  <c r="K103" l="1"/>
  <c r="I103"/>
  <c r="H104" s="1"/>
  <c r="K104" s="1"/>
  <c r="I104" l="1"/>
  <c r="H105" l="1"/>
  <c r="K105" s="1"/>
  <c r="H76"/>
  <c r="I76"/>
  <c r="D124" s="1"/>
  <c r="I105" l="1"/>
  <c r="H106" s="1"/>
  <c r="K106" s="1"/>
  <c r="H89"/>
  <c r="I89"/>
  <c r="D137" s="1"/>
  <c r="K124"/>
  <c r="H124"/>
  <c r="J124"/>
  <c r="L124"/>
  <c r="I124"/>
  <c r="G124"/>
  <c r="I106" l="1"/>
  <c r="M124"/>
  <c r="J137"/>
  <c r="L137"/>
  <c r="I137"/>
  <c r="K137"/>
  <c r="H137"/>
  <c r="G137"/>
  <c r="H107" l="1"/>
  <c r="K107" s="1"/>
  <c r="I74"/>
  <c r="H74"/>
  <c r="M137"/>
  <c r="I107" l="1"/>
  <c r="D122"/>
  <c r="H108" l="1"/>
  <c r="K108" s="1"/>
  <c r="J122"/>
  <c r="H122"/>
  <c r="K122"/>
  <c r="L122"/>
  <c r="I122"/>
  <c r="G122"/>
  <c r="H80"/>
  <c r="I80"/>
  <c r="I108" l="1"/>
  <c r="H109" s="1"/>
  <c r="K109" s="1"/>
  <c r="D128"/>
  <c r="M122"/>
  <c r="I85"/>
  <c r="D133" s="1"/>
  <c r="H85"/>
  <c r="I109" l="1"/>
  <c r="K128"/>
  <c r="H128"/>
  <c r="G128"/>
  <c r="J128"/>
  <c r="L128"/>
  <c r="I128"/>
  <c r="E128"/>
  <c r="D139"/>
  <c r="I92"/>
  <c r="K133"/>
  <c r="H133"/>
  <c r="G133"/>
  <c r="J133"/>
  <c r="L133"/>
  <c r="I133"/>
  <c r="E133"/>
  <c r="H110" l="1"/>
  <c r="K110" s="1"/>
  <c r="M133"/>
  <c r="L139"/>
  <c r="L140" s="1"/>
  <c r="L146" s="1"/>
  <c r="M128"/>
  <c r="G139"/>
  <c r="G140" s="1"/>
  <c r="G146" s="1"/>
  <c r="K139"/>
  <c r="K140" s="1"/>
  <c r="K146" s="1"/>
  <c r="I139"/>
  <c r="I140" s="1"/>
  <c r="I146" s="1"/>
  <c r="J139"/>
  <c r="J140" s="1"/>
  <c r="J146" s="1"/>
  <c r="H139"/>
  <c r="H140" s="1"/>
  <c r="H146" s="1"/>
  <c r="I110" l="1"/>
  <c r="K184"/>
  <c r="K148"/>
  <c r="K141" s="1"/>
  <c r="L148"/>
  <c r="L141" s="1"/>
  <c r="L184"/>
  <c r="H184"/>
  <c r="H148"/>
  <c r="H141" s="1"/>
  <c r="J148"/>
  <c r="J141" s="1"/>
  <c r="J184"/>
  <c r="G184"/>
  <c r="G148"/>
  <c r="G141" s="1"/>
  <c r="J147"/>
  <c r="J151"/>
  <c r="J152" s="1"/>
  <c r="I147"/>
  <c r="I151"/>
  <c r="G147"/>
  <c r="G151"/>
  <c r="G152" s="1"/>
  <c r="M139"/>
  <c r="M140" s="1"/>
  <c r="M184" s="1"/>
  <c r="H151"/>
  <c r="H147"/>
  <c r="H152"/>
  <c r="I148"/>
  <c r="I141" s="1"/>
  <c r="I184"/>
  <c r="K147"/>
  <c r="K151"/>
  <c r="K152" s="1"/>
  <c r="L147"/>
  <c r="L151"/>
  <c r="L152" s="1"/>
  <c r="H111" l="1"/>
  <c r="K111" s="1"/>
  <c r="I154"/>
  <c r="I155" s="1"/>
  <c r="K154"/>
  <c r="K155" s="1"/>
  <c r="H154"/>
  <c r="H155" s="1"/>
  <c r="M147"/>
  <c r="M148" s="1"/>
  <c r="M141" s="1"/>
  <c r="M151"/>
  <c r="G154"/>
  <c r="G155" s="1"/>
  <c r="J154"/>
  <c r="J155" s="1"/>
  <c r="E124"/>
  <c r="E137"/>
  <c r="E122"/>
  <c r="I152"/>
  <c r="L154"/>
  <c r="L155" s="1"/>
  <c r="I111" l="1"/>
  <c r="M154"/>
  <c r="E139"/>
  <c r="E140" s="1"/>
  <c r="M152"/>
  <c r="H112" l="1"/>
  <c r="K112" s="1"/>
  <c r="D180"/>
  <c r="D181" s="1"/>
  <c r="M155"/>
  <c r="I112" l="1"/>
  <c r="E171"/>
  <c r="E170"/>
  <c r="E164"/>
  <c r="E177"/>
  <c r="E167"/>
  <c r="E165"/>
  <c r="E178"/>
  <c r="E172"/>
  <c r="E166"/>
  <c r="E160"/>
  <c r="E173"/>
  <c r="E163"/>
  <c r="E161"/>
  <c r="E174"/>
  <c r="E168"/>
  <c r="E162"/>
  <c r="E175"/>
  <c r="E169"/>
  <c r="E159"/>
  <c r="E176"/>
  <c r="H113" l="1"/>
  <c r="K113" s="1"/>
  <c r="E179"/>
  <c r="G160" s="1"/>
  <c r="I171" l="1"/>
  <c r="G166"/>
  <c r="I167"/>
  <c r="G161"/>
  <c r="J171"/>
  <c r="L164"/>
  <c r="L167"/>
  <c r="H173"/>
  <c r="H175"/>
  <c r="H171"/>
  <c r="G164"/>
  <c r="H164"/>
  <c r="J167"/>
  <c r="G178"/>
  <c r="L166"/>
  <c r="J161"/>
  <c r="L168"/>
  <c r="K175"/>
  <c r="L171"/>
  <c r="G171"/>
  <c r="K171"/>
  <c r="K164"/>
  <c r="I164"/>
  <c r="J164"/>
  <c r="H167"/>
  <c r="G167"/>
  <c r="J178"/>
  <c r="H178"/>
  <c r="K166"/>
  <c r="G173"/>
  <c r="I173"/>
  <c r="H161"/>
  <c r="G168"/>
  <c r="J168"/>
  <c r="L175"/>
  <c r="J159"/>
  <c r="K167"/>
  <c r="K178"/>
  <c r="I178"/>
  <c r="L178"/>
  <c r="J166"/>
  <c r="I166"/>
  <c r="H166"/>
  <c r="J173"/>
  <c r="L173"/>
  <c r="K173"/>
  <c r="K161"/>
  <c r="L161"/>
  <c r="I161"/>
  <c r="H168"/>
  <c r="K168"/>
  <c r="I168"/>
  <c r="I175"/>
  <c r="G175"/>
  <c r="H159"/>
  <c r="G159"/>
  <c r="I113"/>
  <c r="J170"/>
  <c r="L177"/>
  <c r="H177"/>
  <c r="J165"/>
  <c r="J172"/>
  <c r="I172"/>
  <c r="J160"/>
  <c r="K163"/>
  <c r="I163"/>
  <c r="K174"/>
  <c r="I162"/>
  <c r="L162"/>
  <c r="G169"/>
  <c r="J176"/>
  <c r="H176"/>
  <c r="J175"/>
  <c r="I159"/>
  <c r="K159"/>
  <c r="L159"/>
  <c r="K170"/>
  <c r="G170"/>
  <c r="G177"/>
  <c r="I165"/>
  <c r="H165"/>
  <c r="K172"/>
  <c r="L160"/>
  <c r="H160"/>
  <c r="L163"/>
  <c r="G174"/>
  <c r="J174"/>
  <c r="G162"/>
  <c r="H169"/>
  <c r="I169"/>
  <c r="K176"/>
  <c r="H170"/>
  <c r="L170"/>
  <c r="I170"/>
  <c r="J177"/>
  <c r="K177"/>
  <c r="I177"/>
  <c r="L165"/>
  <c r="K165"/>
  <c r="G165"/>
  <c r="H172"/>
  <c r="L172"/>
  <c r="G172"/>
  <c r="K160"/>
  <c r="I160"/>
  <c r="J163"/>
  <c r="H163"/>
  <c r="G163"/>
  <c r="I174"/>
  <c r="L174"/>
  <c r="H174"/>
  <c r="J162"/>
  <c r="H162"/>
  <c r="K162"/>
  <c r="K169"/>
  <c r="J169"/>
  <c r="L169"/>
  <c r="L176"/>
  <c r="G176"/>
  <c r="I176"/>
  <c r="M164" l="1"/>
  <c r="M178"/>
  <c r="M173"/>
  <c r="M167"/>
  <c r="M171"/>
  <c r="M159"/>
  <c r="M168"/>
  <c r="M161"/>
  <c r="M166"/>
  <c r="M175"/>
  <c r="H114"/>
  <c r="K114" s="1"/>
  <c r="M176"/>
  <c r="L183"/>
  <c r="L186" s="1"/>
  <c r="L187" s="1"/>
  <c r="H183"/>
  <c r="M174"/>
  <c r="M169"/>
  <c r="I183"/>
  <c r="I186" s="1"/>
  <c r="I187" s="1"/>
  <c r="M172"/>
  <c r="M177"/>
  <c r="J183"/>
  <c r="J186" s="1"/>
  <c r="J187" s="1"/>
  <c r="M170"/>
  <c r="H186"/>
  <c r="H187" s="1"/>
  <c r="M162"/>
  <c r="M163"/>
  <c r="M165"/>
  <c r="G183"/>
  <c r="M160"/>
  <c r="K183"/>
  <c r="H189" l="1"/>
  <c r="H190" s="1"/>
  <c r="H200" s="1"/>
  <c r="J189"/>
  <c r="J190" s="1"/>
  <c r="J206" s="1"/>
  <c r="I189"/>
  <c r="I190" s="1"/>
  <c r="I195" s="1"/>
  <c r="L189"/>
  <c r="L190" s="1"/>
  <c r="L208" s="1"/>
  <c r="I114"/>
  <c r="J209"/>
  <c r="I206"/>
  <c r="I198"/>
  <c r="I205"/>
  <c r="I203"/>
  <c r="I214"/>
  <c r="I201"/>
  <c r="I199"/>
  <c r="I210"/>
  <c r="H202"/>
  <c r="H201"/>
  <c r="H199"/>
  <c r="H206"/>
  <c r="H211"/>
  <c r="H209"/>
  <c r="H208"/>
  <c r="H204"/>
  <c r="H214"/>
  <c r="H207"/>
  <c r="K186"/>
  <c r="K187" s="1"/>
  <c r="M183"/>
  <c r="G186"/>
  <c r="G187" s="1"/>
  <c r="L197"/>
  <c r="L195" l="1"/>
  <c r="J207"/>
  <c r="L203"/>
  <c r="L198"/>
  <c r="L206"/>
  <c r="L219"/>
  <c r="L220" s="1"/>
  <c r="J213"/>
  <c r="L200"/>
  <c r="L204"/>
  <c r="L213"/>
  <c r="L205"/>
  <c r="L211"/>
  <c r="J199"/>
  <c r="J202"/>
  <c r="J203"/>
  <c r="I197"/>
  <c r="I196"/>
  <c r="J197"/>
  <c r="J200"/>
  <c r="J204"/>
  <c r="I219"/>
  <c r="I220" s="1"/>
  <c r="J219"/>
  <c r="J220" s="1"/>
  <c r="L201"/>
  <c r="L214"/>
  <c r="L212"/>
  <c r="L196"/>
  <c r="L210"/>
  <c r="L199"/>
  <c r="L207"/>
  <c r="L202"/>
  <c r="L209"/>
  <c r="H197"/>
  <c r="H210"/>
  <c r="H212"/>
  <c r="H196"/>
  <c r="H219"/>
  <c r="H220" s="1"/>
  <c r="H198"/>
  <c r="H213"/>
  <c r="H205"/>
  <c r="H195"/>
  <c r="H203"/>
  <c r="I213"/>
  <c r="I200"/>
  <c r="I211"/>
  <c r="I208"/>
  <c r="I209"/>
  <c r="I204"/>
  <c r="I212"/>
  <c r="I202"/>
  <c r="I207"/>
  <c r="J198"/>
  <c r="J205"/>
  <c r="J196"/>
  <c r="J210"/>
  <c r="J201"/>
  <c r="J214"/>
  <c r="J212"/>
  <c r="J195"/>
  <c r="J208"/>
  <c r="J211"/>
  <c r="G189"/>
  <c r="G190" s="1"/>
  <c r="G204" s="1"/>
  <c r="K189"/>
  <c r="K190" s="1"/>
  <c r="K212" s="1"/>
  <c r="H115"/>
  <c r="K115" s="1"/>
  <c r="G205"/>
  <c r="G201"/>
  <c r="G196"/>
  <c r="M186"/>
  <c r="M189" s="1"/>
  <c r="M190" s="1"/>
  <c r="K204"/>
  <c r="G219"/>
  <c r="G220" s="1"/>
  <c r="J215" l="1"/>
  <c r="G208"/>
  <c r="G207"/>
  <c r="G210"/>
  <c r="M210" s="1"/>
  <c r="D210" s="1"/>
  <c r="C210" s="1"/>
  <c r="G214"/>
  <c r="G209"/>
  <c r="G199"/>
  <c r="G212"/>
  <c r="I215"/>
  <c r="K206"/>
  <c r="M206" s="1"/>
  <c r="D206" s="1"/>
  <c r="C206" s="1"/>
  <c r="K210"/>
  <c r="K205"/>
  <c r="M205" s="1"/>
  <c r="D205" s="1"/>
  <c r="C205" s="1"/>
  <c r="K200"/>
  <c r="M187"/>
  <c r="K211"/>
  <c r="K198"/>
  <c r="K196"/>
  <c r="K195"/>
  <c r="K203"/>
  <c r="H215"/>
  <c r="L215"/>
  <c r="K209"/>
  <c r="M209" s="1"/>
  <c r="D209" s="1"/>
  <c r="C209" s="1"/>
  <c r="K208"/>
  <c r="K199"/>
  <c r="K207"/>
  <c r="K202"/>
  <c r="K197"/>
  <c r="K213"/>
  <c r="K201"/>
  <c r="K214"/>
  <c r="G197"/>
  <c r="G213"/>
  <c r="M213" s="1"/>
  <c r="D213" s="1"/>
  <c r="C213" s="1"/>
  <c r="G200"/>
  <c r="G195"/>
  <c r="M195" s="1"/>
  <c r="D195" s="1"/>
  <c r="G202"/>
  <c r="G211"/>
  <c r="G206"/>
  <c r="G198"/>
  <c r="M198" s="1"/>
  <c r="D198" s="1"/>
  <c r="C198" s="1"/>
  <c r="G203"/>
  <c r="K219"/>
  <c r="K220" s="1"/>
  <c r="I115"/>
  <c r="M196"/>
  <c r="D196" s="1"/>
  <c r="C196" s="1"/>
  <c r="M201"/>
  <c r="D201" s="1"/>
  <c r="C201" s="1"/>
  <c r="M203"/>
  <c r="D203" s="1"/>
  <c r="C203" s="1"/>
  <c r="M204"/>
  <c r="D204" s="1"/>
  <c r="C204" s="1"/>
  <c r="M197"/>
  <c r="D197" s="1"/>
  <c r="C197" s="1"/>
  <c r="M200"/>
  <c r="D200" s="1"/>
  <c r="C200" s="1"/>
  <c r="M208"/>
  <c r="D208" s="1"/>
  <c r="C208" s="1"/>
  <c r="M207"/>
  <c r="D207" s="1"/>
  <c r="C207" s="1"/>
  <c r="M212"/>
  <c r="D212" s="1"/>
  <c r="C212" s="1"/>
  <c r="M211" l="1"/>
  <c r="D211" s="1"/>
  <c r="C211" s="1"/>
  <c r="M214"/>
  <c r="D214" s="1"/>
  <c r="C214" s="1"/>
  <c r="M199"/>
  <c r="D199" s="1"/>
  <c r="C199" s="1"/>
  <c r="G215"/>
  <c r="M202"/>
  <c r="D202" s="1"/>
  <c r="C202" s="1"/>
  <c r="K215"/>
  <c r="M215" s="1"/>
  <c r="M219" s="1"/>
  <c r="C195"/>
  <c r="D215" l="1"/>
  <c r="C215"/>
  <c r="C219" s="1"/>
</calcChain>
</file>

<file path=xl/comments1.xml><?xml version="1.0" encoding="utf-8"?>
<comments xmlns="http://schemas.openxmlformats.org/spreadsheetml/2006/main">
  <authors>
    <author>duHadway</author>
    <author>Hang Zhang</author>
  </authors>
  <commentList>
    <comment ref="D33" authorId="0">
      <text>
        <r>
          <rPr>
            <b/>
            <sz val="8"/>
            <color indexed="81"/>
            <rFont val="Tahoma"/>
            <family val="2"/>
          </rPr>
          <t>duHadway:</t>
        </r>
        <r>
          <rPr>
            <sz val="8"/>
            <color indexed="81"/>
            <rFont val="Tahoma"/>
            <family val="2"/>
          </rPr>
          <t xml:space="preserve">
Not automated to kill bids based upon rates if over subscribed</t>
        </r>
      </text>
    </comment>
    <comment ref="G36" authorId="0">
      <text>
        <r>
          <rPr>
            <b/>
            <sz val="8"/>
            <color indexed="81"/>
            <rFont val="Tahoma"/>
            <family val="2"/>
          </rPr>
          <t>duHadway:</t>
        </r>
        <r>
          <rPr>
            <sz val="8"/>
            <color indexed="81"/>
            <rFont val="Tahoma"/>
            <family val="2"/>
          </rPr>
          <t xml:space="preserve">
DISCOVERY
If Zero, use prior day or prior batch overall market rate.  Input here for testing
</t>
        </r>
      </text>
    </comment>
    <comment ref="G51" authorId="0">
      <text>
        <r>
          <rPr>
            <b/>
            <sz val="8"/>
            <color indexed="81"/>
            <rFont val="Tahoma"/>
            <family val="2"/>
          </rPr>
          <t>duHadway:</t>
        </r>
        <r>
          <rPr>
            <sz val="8"/>
            <color indexed="81"/>
            <rFont val="Tahoma"/>
            <family val="2"/>
          </rPr>
          <t xml:space="preserve">
partial kill LIFO method due to over subscribed</t>
        </r>
      </text>
    </comment>
    <comment ref="K55" authorId="0">
      <text>
        <r>
          <rPr>
            <b/>
            <sz val="8"/>
            <color indexed="81"/>
            <rFont val="Tahoma"/>
            <family val="2"/>
          </rPr>
          <t>duHadway:</t>
        </r>
        <r>
          <rPr>
            <sz val="8"/>
            <color indexed="81"/>
            <rFont val="Tahoma"/>
            <family val="2"/>
          </rPr>
          <t xml:space="preserve">
killed due to over subscribed - lifo method</t>
        </r>
      </text>
    </comment>
    <comment ref="G56" authorId="0">
      <text>
        <r>
          <rPr>
            <b/>
            <sz val="8"/>
            <color indexed="81"/>
            <rFont val="Tahoma"/>
            <family val="2"/>
          </rPr>
          <t>duHadway:</t>
        </r>
        <r>
          <rPr>
            <sz val="8"/>
            <color indexed="81"/>
            <rFont val="Tahoma"/>
            <family val="2"/>
          </rPr>
          <t xml:space="preserve">
killed due to oversubscribed…lifo method</t>
        </r>
      </text>
    </comment>
    <comment ref="D62" authorId="0">
      <text>
        <r>
          <rPr>
            <b/>
            <sz val="8"/>
            <color indexed="81"/>
            <rFont val="Tahoma"/>
            <family val="2"/>
          </rPr>
          <t>duHadway:</t>
        </r>
        <r>
          <rPr>
            <sz val="8"/>
            <color indexed="81"/>
            <rFont val="Tahoma"/>
            <family val="2"/>
          </rPr>
          <t xml:space="preserve">
Not automated to kill bids if oversubscribed</t>
        </r>
      </text>
    </comment>
    <comment ref="G70" authorId="1">
      <text>
        <r>
          <rPr>
            <b/>
            <sz val="9"/>
            <color indexed="81"/>
            <rFont val="Calibri"/>
            <family val="2"/>
          </rPr>
          <t>Hang Zhang:</t>
        </r>
        <r>
          <rPr>
            <sz val="9"/>
            <color indexed="81"/>
            <rFont val="Calibri"/>
            <family val="2"/>
          </rPr>
          <t xml:space="preserve">
rank in ascending order, since lowest rate &amp; earliest time accept first</t>
        </r>
      </text>
    </comment>
    <comment ref="J70" authorId="1">
      <text>
        <r>
          <rPr>
            <b/>
            <sz val="9"/>
            <color indexed="81"/>
            <rFont val="Calibri"/>
            <family val="2"/>
          </rPr>
          <t>Hang Zhang:</t>
        </r>
        <r>
          <rPr>
            <sz val="9"/>
            <color indexed="81"/>
            <rFont val="Calibri"/>
            <family val="2"/>
          </rPr>
          <t xml:space="preserve">
2nd, vlookup the timestamp for the bids with same rates, 12:00:00 am means 0, these bids had no dup rates</t>
        </r>
      </text>
    </comment>
    <comment ref="M70" authorId="1">
      <text>
        <r>
          <rPr>
            <b/>
            <sz val="9"/>
            <color indexed="81"/>
            <rFont val="Calibri"/>
            <family val="2"/>
          </rPr>
          <t>Hang Zhang:</t>
        </r>
        <r>
          <rPr>
            <sz val="9"/>
            <color indexed="81"/>
            <rFont val="Calibri"/>
            <family val="2"/>
          </rPr>
          <t xml:space="preserve">
3rd, combine rank &amp; time</t>
        </r>
      </text>
    </comment>
    <comment ref="N70" authorId="1">
      <text>
        <r>
          <rPr>
            <b/>
            <sz val="9"/>
            <color indexed="81"/>
            <rFont val="Calibri"/>
            <family val="2"/>
          </rPr>
          <t>Hang Zhang:</t>
        </r>
        <r>
          <rPr>
            <sz val="9"/>
            <color indexed="81"/>
            <rFont val="Calibri"/>
            <family val="2"/>
          </rPr>
          <t xml:space="preserve">
4th, re-rank 20 bids based on smallest rate and earliest time</t>
        </r>
      </text>
    </comment>
    <comment ref="O70" authorId="1">
      <text>
        <r>
          <rPr>
            <b/>
            <sz val="9"/>
            <color indexed="81"/>
            <rFont val="Calibri"/>
            <family val="2"/>
          </rPr>
          <t>Hang Zhang:</t>
        </r>
        <r>
          <rPr>
            <sz val="9"/>
            <color indexed="81"/>
            <rFont val="Calibri"/>
            <family val="2"/>
          </rPr>
          <t xml:space="preserve">
link rate</t>
        </r>
      </text>
    </comment>
    <comment ref="P70" authorId="1">
      <text>
        <r>
          <rPr>
            <b/>
            <sz val="9"/>
            <color indexed="81"/>
            <rFont val="Calibri"/>
            <family val="2"/>
          </rPr>
          <t>Hang Zhang:</t>
        </r>
        <r>
          <rPr>
            <sz val="9"/>
            <color indexed="81"/>
            <rFont val="Calibri"/>
            <family val="2"/>
          </rPr>
          <t xml:space="preserve">
link bid id, or any other thing needs to be linked, list can go on</t>
        </r>
      </text>
    </comment>
    <comment ref="R70" authorId="1">
      <text>
        <r>
          <rPr>
            <b/>
            <sz val="9"/>
            <color indexed="81"/>
            <rFont val="Calibri"/>
            <family val="2"/>
          </rPr>
          <t>Hang Zhang:</t>
        </r>
        <r>
          <rPr>
            <sz val="9"/>
            <color indexed="81"/>
            <rFont val="Calibri"/>
            <family val="2"/>
          </rPr>
          <t xml:space="preserve">
5th, Sort the rank acending order, if no dup rate, rank shows 0</t>
        </r>
      </text>
    </comment>
    <comment ref="S70" authorId="1">
      <text>
        <r>
          <rPr>
            <b/>
            <sz val="9"/>
            <color indexed="81"/>
            <rFont val="Calibri"/>
            <family val="2"/>
          </rPr>
          <t>Hang Zhang:</t>
        </r>
        <r>
          <rPr>
            <sz val="9"/>
            <color indexed="81"/>
            <rFont val="Calibri"/>
            <family val="2"/>
          </rPr>
          <t xml:space="preserve">
6th, sort the rank + time acending order, since we want to keep the earliest bid, excel vlookup will find the 1st value if the look up value has dups, so for rank 6, it will only pick up bid 1104155, 1104156 will never be picked up</t>
        </r>
      </text>
    </comment>
    <comment ref="T70" authorId="1">
      <text>
        <r>
          <rPr>
            <b/>
            <sz val="9"/>
            <color indexed="81"/>
            <rFont val="Calibri"/>
            <family val="2"/>
          </rPr>
          <t>Hang Zhang:</t>
        </r>
        <r>
          <rPr>
            <sz val="9"/>
            <color indexed="81"/>
            <rFont val="Calibri"/>
            <family val="2"/>
          </rPr>
          <t xml:space="preserve">
link rate</t>
        </r>
      </text>
    </comment>
    <comment ref="U70" authorId="1">
      <text>
        <r>
          <rPr>
            <b/>
            <sz val="9"/>
            <color indexed="81"/>
            <rFont val="Calibri"/>
            <family val="2"/>
          </rPr>
          <t>Hang Zhang:</t>
        </r>
        <r>
          <rPr>
            <sz val="9"/>
            <color indexed="81"/>
            <rFont val="Calibri"/>
            <family val="2"/>
          </rPr>
          <t xml:space="preserve">
link bid id, or any other thing needs to be linked, list can go on</t>
        </r>
      </text>
    </comment>
    <comment ref="G96" authorId="1">
      <text>
        <r>
          <rPr>
            <b/>
            <sz val="9"/>
            <color indexed="81"/>
            <rFont val="Calibri"/>
            <family val="2"/>
          </rPr>
          <t>Hang Zhang:</t>
        </r>
        <r>
          <rPr>
            <sz val="9"/>
            <color indexed="81"/>
            <rFont val="Calibri"/>
            <family val="2"/>
          </rPr>
          <t xml:space="preserve">
takes lowest rate @ earliest time
</t>
        </r>
      </text>
    </comment>
  </commentList>
</comments>
</file>

<file path=xl/sharedStrings.xml><?xml version="1.0" encoding="utf-8"?>
<sst xmlns="http://schemas.openxmlformats.org/spreadsheetml/2006/main" count="198" uniqueCount="84">
  <si>
    <t>time</t>
  </si>
  <si>
    <t>bidID</t>
  </si>
  <si>
    <t>WA Rate</t>
  </si>
  <si>
    <t>Total</t>
  </si>
  <si>
    <t>Loan Amount</t>
  </si>
  <si>
    <t>Bid Type</t>
  </si>
  <si>
    <t>if general: Aggregate $</t>
  </si>
  <si>
    <t>if general, max % per asset</t>
  </si>
  <si>
    <t>if specified, loan or MO</t>
  </si>
  <si>
    <t>Loan # if applicable</t>
  </si>
  <si>
    <t>MO if applicable</t>
  </si>
  <si>
    <t>order type</t>
  </si>
  <si>
    <t>if competitive, bid rate</t>
  </si>
  <si>
    <t>order timing</t>
  </si>
  <si>
    <t>Day Trade</t>
  </si>
  <si>
    <t>Auto</t>
  </si>
  <si>
    <t>MO</t>
  </si>
  <si>
    <t>ABC Mortgage</t>
  </si>
  <si>
    <t>Prime Lending</t>
  </si>
  <si>
    <t>if specified, bid %</t>
  </si>
  <si>
    <t>If auto, date/time order placed</t>
  </si>
  <si>
    <t>Best Loans Inc</t>
  </si>
  <si>
    <t>Loan Number</t>
  </si>
  <si>
    <t>Integrity Lending</t>
  </si>
  <si>
    <t>Specified &amp; Competitive</t>
  </si>
  <si>
    <t>Allocation process:</t>
  </si>
  <si>
    <t>Bid ID</t>
  </si>
  <si>
    <t>Loan #</t>
  </si>
  <si>
    <t>Specific &amp; Competitive?</t>
  </si>
  <si>
    <t>Rate</t>
  </si>
  <si>
    <t>Remaining need</t>
  </si>
  <si>
    <t>Over(under)subscribed</t>
  </si>
  <si>
    <t>Specific &amp; NonCompetitive?</t>
  </si>
  <si>
    <t>Specified &amp; Noncompetitive</t>
  </si>
  <si>
    <t>Rate &gt;&gt;</t>
  </si>
  <si>
    <t>Cummulative</t>
  </si>
  <si>
    <t>Batch Total</t>
  </si>
  <si>
    <t>Step 4 of process - Market rate is determined:</t>
  </si>
  <si>
    <t>Step 5 of process - General/Competitive bids are assigned to undersubscribed assets:</t>
  </si>
  <si>
    <t>General &amp; Competitive?</t>
  </si>
  <si>
    <t>General &amp; Competitive</t>
  </si>
  <si>
    <t>Aggregate $</t>
  </si>
  <si>
    <t>Funds available</t>
  </si>
  <si>
    <t>total</t>
  </si>
  <si>
    <t>If bids&gt;under subscribed amount, accept lowest rate first:</t>
  </si>
  <si>
    <t>Amount required to fund all under subscribed:</t>
  </si>
  <si>
    <t>Allocated &amp; accepted</t>
  </si>
  <si>
    <t>Amount Awarded</t>
  </si>
  <si>
    <t>Market Premium, if applicable</t>
  </si>
  <si>
    <t>Subscription %</t>
  </si>
  <si>
    <t>Market Rate differential</t>
  </si>
  <si>
    <t>Highest daily rate</t>
  </si>
  <si>
    <t>less: Daily market rate</t>
  </si>
  <si>
    <t>Step 6 of process - General/Noncompetitive bids are assigned to undersubscribed assets:</t>
  </si>
  <si>
    <t>General &amp; Noncompetitive?</t>
  </si>
  <si>
    <t>General &amp; Noncompetitive</t>
  </si>
  <si>
    <t>Amount</t>
  </si>
  <si>
    <t>Total available</t>
  </si>
  <si>
    <t>Need</t>
  </si>
  <si>
    <t>allocation %</t>
  </si>
  <si>
    <t>Allocation</t>
  </si>
  <si>
    <t>Total General/Noncompetitive</t>
  </si>
  <si>
    <t>Total Specified/Noncompetitive</t>
  </si>
  <si>
    <t>Step 3 of process - Assets are assigned Specified/Non Competitive bids:</t>
  </si>
  <si>
    <t>Step 2 of process - Assets are assigned Specified/Competitive bids:</t>
  </si>
  <si>
    <t>Total Specified/Competitive</t>
  </si>
  <si>
    <t>Summary of bid allocations:</t>
  </si>
  <si>
    <t>Rate Awarded</t>
  </si>
  <si>
    <t>Rate to SSI</t>
  </si>
  <si>
    <t>LS Spread</t>
  </si>
  <si>
    <t>Rate to MO</t>
  </si>
  <si>
    <t>Rank + Time</t>
  </si>
  <si>
    <t>Timestamp</t>
  </si>
  <si>
    <t>rank ascending</t>
  </si>
  <si>
    <t>New rank</t>
  </si>
  <si>
    <t>Bid amt taken</t>
  </si>
  <si>
    <t>Bid #</t>
  </si>
  <si>
    <t>Amt required</t>
  </si>
  <si>
    <t>Specified</t>
  </si>
  <si>
    <t>Loan</t>
  </si>
  <si>
    <t>final-rank</t>
  </si>
  <si>
    <t>format-rank</t>
  </si>
  <si>
    <t>re-rank</t>
  </si>
  <si>
    <t>Noncompetitive</t>
  </si>
</sst>
</file>

<file path=xl/styles.xml><?xml version="1.0" encoding="utf-8"?>
<styleSheet xmlns="http://schemas.openxmlformats.org/spreadsheetml/2006/main">
  <numFmts count="8">
    <numFmt numFmtId="44" formatCode="_(&quot;$&quot;* #,##0.00_);_(&quot;$&quot;* \(#,##0.00\);_(&quot;$&quot;* &quot;-&quot;??_);_(@_)"/>
    <numFmt numFmtId="43" formatCode="_(* #,##0.00_);_(* \(#,##0.00\);_(* &quot;-&quot;??_);_(@_)"/>
    <numFmt numFmtId="164" formatCode="[$-409]h:mm:ss\ AM/PM;@"/>
    <numFmt numFmtId="165" formatCode="0.000%"/>
    <numFmt numFmtId="166" formatCode="0.0%"/>
    <numFmt numFmtId="167" formatCode="[$-409]m/d/yy\ h:mm\ AM/PM;@"/>
    <numFmt numFmtId="168" formatCode="_(* #,##0_);_(* \(#,##0\);_(* &quot;-&quot;??_);_(@_)"/>
    <numFmt numFmtId="169" formatCode="_(* #,##0.0_);_(* \(#,##0.0\);_(* &quot;-&quot;??_);_(@_)"/>
  </numFmts>
  <fonts count="16">
    <font>
      <sz val="11"/>
      <color theme="1"/>
      <name val="Calibri"/>
      <family val="2"/>
      <scheme val="minor"/>
    </font>
    <font>
      <sz val="11"/>
      <color theme="1"/>
      <name val="Calibri"/>
      <family val="2"/>
      <scheme val="minor"/>
    </font>
    <font>
      <sz val="8"/>
      <color indexed="81"/>
      <name val="Tahoma"/>
      <family val="2"/>
    </font>
    <font>
      <b/>
      <sz val="8"/>
      <color indexed="81"/>
      <name val="Tahoma"/>
      <family val="2"/>
    </font>
    <font>
      <sz val="11"/>
      <color theme="0"/>
      <name val="Calibri"/>
      <family val="2"/>
      <scheme val="minor"/>
    </font>
    <font>
      <sz val="11"/>
      <name val="Calibri"/>
      <family val="2"/>
      <scheme val="minor"/>
    </font>
    <font>
      <sz val="11"/>
      <color theme="3"/>
      <name val="Calibri"/>
      <family val="2"/>
      <scheme val="minor"/>
    </font>
    <font>
      <u/>
      <sz val="11"/>
      <color theme="1"/>
      <name val="Calibri"/>
      <family val="2"/>
      <scheme val="minor"/>
    </font>
    <font>
      <u val="double"/>
      <sz val="11"/>
      <color theme="1"/>
      <name val="Calibri"/>
      <family val="2"/>
      <scheme val="minor"/>
    </font>
    <font>
      <sz val="11"/>
      <color rgb="FFFF0000"/>
      <name val="Calibri"/>
      <family val="2"/>
      <scheme val="minor"/>
    </font>
    <font>
      <u/>
      <sz val="11"/>
      <color theme="10"/>
      <name val="Calibri"/>
      <family val="2"/>
      <scheme val="minor"/>
    </font>
    <font>
      <u/>
      <sz val="11"/>
      <color theme="11"/>
      <name val="Calibri"/>
      <family val="2"/>
      <scheme val="minor"/>
    </font>
    <font>
      <u/>
      <sz val="11"/>
      <color rgb="FFFF0000"/>
      <name val="Calibri"/>
      <family val="2"/>
      <scheme val="minor"/>
    </font>
    <font>
      <b/>
      <sz val="12"/>
      <color rgb="FFFF0000"/>
      <name val="Courier New"/>
      <family val="3"/>
    </font>
    <font>
      <sz val="9"/>
      <color indexed="81"/>
      <name val="Calibri"/>
      <family val="2"/>
    </font>
    <font>
      <b/>
      <sz val="9"/>
      <color indexed="81"/>
      <name val="Calibri"/>
      <family val="2"/>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9">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s>
  <cellStyleXfs count="60">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cellStyleXfs>
  <cellXfs count="71">
    <xf numFmtId="0" fontId="0" fillId="0" borderId="0" xfId="0"/>
    <xf numFmtId="164" fontId="0" fillId="0" borderId="0" xfId="0" applyNumberFormat="1"/>
    <xf numFmtId="44" fontId="0" fillId="0" borderId="0" xfId="0" applyNumberFormat="1"/>
    <xf numFmtId="44" fontId="0" fillId="0" borderId="0" xfId="2" applyFont="1"/>
    <xf numFmtId="165" fontId="0" fillId="0" borderId="0" xfId="3" applyNumberFormat="1" applyFont="1"/>
    <xf numFmtId="165" fontId="0" fillId="0" borderId="0" xfId="0" applyNumberFormat="1"/>
    <xf numFmtId="0" fontId="0" fillId="0" borderId="0" xfId="0" applyAlignment="1">
      <alignment wrapText="1"/>
    </xf>
    <xf numFmtId="0" fontId="0" fillId="0" borderId="0" xfId="0" applyAlignment="1">
      <alignment horizontal="center"/>
    </xf>
    <xf numFmtId="166" fontId="0" fillId="0" borderId="0" xfId="3" applyNumberFormat="1" applyFont="1"/>
    <xf numFmtId="0" fontId="5" fillId="0" borderId="0" xfId="0" applyFont="1"/>
    <xf numFmtId="0" fontId="6" fillId="0" borderId="0" xfId="0" applyFont="1"/>
    <xf numFmtId="44" fontId="6" fillId="0" borderId="0" xfId="0" applyNumberFormat="1" applyFont="1"/>
    <xf numFmtId="44" fontId="6" fillId="0" borderId="0" xfId="2" applyFont="1"/>
    <xf numFmtId="9" fontId="6" fillId="0" borderId="0" xfId="3" applyFont="1"/>
    <xf numFmtId="165" fontId="6" fillId="0" borderId="0" xfId="3" applyNumberFormat="1" applyFont="1"/>
    <xf numFmtId="167" fontId="6" fillId="0" borderId="0" xfId="0" applyNumberFormat="1" applyFont="1"/>
    <xf numFmtId="0" fontId="7" fillId="0" borderId="0" xfId="0" applyFont="1" applyBorder="1" applyAlignment="1">
      <alignment horizontal="center"/>
    </xf>
    <xf numFmtId="44" fontId="5" fillId="0" borderId="0" xfId="0" applyNumberFormat="1" applyFont="1" applyAlignment="1">
      <alignment horizontal="center"/>
    </xf>
    <xf numFmtId="0" fontId="0" fillId="0" borderId="2" xfId="0" applyBorder="1"/>
    <xf numFmtId="0" fontId="0" fillId="0" borderId="3" xfId="0" applyBorder="1"/>
    <xf numFmtId="44" fontId="0" fillId="0" borderId="3" xfId="0" applyNumberFormat="1" applyBorder="1"/>
    <xf numFmtId="44" fontId="0" fillId="0" borderId="4" xfId="0" applyNumberFormat="1" applyBorder="1"/>
    <xf numFmtId="0" fontId="0" fillId="0" borderId="5" xfId="0" applyBorder="1"/>
    <xf numFmtId="0" fontId="0" fillId="0" borderId="1" xfId="0" applyBorder="1"/>
    <xf numFmtId="165" fontId="0" fillId="0" borderId="1" xfId="3" applyNumberFormat="1" applyFont="1" applyBorder="1"/>
    <xf numFmtId="165" fontId="0" fillId="0" borderId="6" xfId="3" applyNumberFormat="1" applyFont="1" applyBorder="1"/>
    <xf numFmtId="0" fontId="7" fillId="0" borderId="0" xfId="0" applyFont="1" applyBorder="1" applyAlignment="1">
      <alignment horizontal="center" wrapText="1"/>
    </xf>
    <xf numFmtId="165" fontId="6" fillId="0" borderId="0" xfId="0" applyNumberFormat="1" applyFont="1"/>
    <xf numFmtId="0" fontId="0" fillId="2" borderId="2" xfId="0" applyFill="1" applyBorder="1"/>
    <xf numFmtId="0" fontId="0" fillId="2" borderId="3" xfId="0" applyFill="1" applyBorder="1"/>
    <xf numFmtId="44" fontId="0" fillId="2" borderId="3" xfId="0" applyNumberFormat="1" applyFill="1" applyBorder="1"/>
    <xf numFmtId="44" fontId="0" fillId="2" borderId="4" xfId="0" applyNumberFormat="1" applyFill="1" applyBorder="1"/>
    <xf numFmtId="0" fontId="0" fillId="2" borderId="5" xfId="0" applyFill="1" applyBorder="1"/>
    <xf numFmtId="0" fontId="0" fillId="2" borderId="1" xfId="0" applyFill="1" applyBorder="1"/>
    <xf numFmtId="165" fontId="0" fillId="2" borderId="1" xfId="3" applyNumberFormat="1" applyFont="1" applyFill="1" applyBorder="1"/>
    <xf numFmtId="165" fontId="0" fillId="2" borderId="6" xfId="3" applyNumberFormat="1" applyFont="1" applyFill="1" applyBorder="1"/>
    <xf numFmtId="0" fontId="0" fillId="0" borderId="0" xfId="0" applyBorder="1"/>
    <xf numFmtId="165" fontId="0" fillId="0" borderId="0" xfId="3" applyNumberFormat="1" applyFont="1" applyBorder="1"/>
    <xf numFmtId="0" fontId="7" fillId="0" borderId="0" xfId="0" applyFont="1" applyFill="1" applyBorder="1" applyAlignment="1">
      <alignment horizontal="center"/>
    </xf>
    <xf numFmtId="10" fontId="6" fillId="0" borderId="0" xfId="0" applyNumberFormat="1" applyFont="1"/>
    <xf numFmtId="168" fontId="0" fillId="0" borderId="0" xfId="1" applyNumberFormat="1" applyFont="1"/>
    <xf numFmtId="10" fontId="6" fillId="0" borderId="0" xfId="0" applyNumberFormat="1" applyFont="1" applyAlignment="1">
      <alignment horizontal="center"/>
    </xf>
    <xf numFmtId="0" fontId="0" fillId="2" borderId="7" xfId="0" applyFill="1" applyBorder="1"/>
    <xf numFmtId="0" fontId="0" fillId="2" borderId="0" xfId="0" applyFill="1" applyBorder="1"/>
    <xf numFmtId="44" fontId="0" fillId="2" borderId="8" xfId="0" applyNumberFormat="1" applyFill="1" applyBorder="1"/>
    <xf numFmtId="9" fontId="0" fillId="2" borderId="0" xfId="3" applyFont="1" applyFill="1" applyBorder="1"/>
    <xf numFmtId="165" fontId="8" fillId="0" borderId="0" xfId="0" applyNumberFormat="1" applyFont="1"/>
    <xf numFmtId="165" fontId="7" fillId="0" borderId="0" xfId="0" applyNumberFormat="1" applyFont="1"/>
    <xf numFmtId="165" fontId="0" fillId="0" borderId="1" xfId="0" applyNumberFormat="1" applyBorder="1"/>
    <xf numFmtId="165" fontId="5" fillId="0" borderId="0" xfId="0" applyNumberFormat="1" applyFont="1" applyAlignment="1">
      <alignment horizontal="center"/>
    </xf>
    <xf numFmtId="165" fontId="4" fillId="0" borderId="0" xfId="3" applyNumberFormat="1" applyFont="1"/>
    <xf numFmtId="9" fontId="0" fillId="0" borderId="0" xfId="3" applyFont="1"/>
    <xf numFmtId="10" fontId="0" fillId="0" borderId="0" xfId="3" applyNumberFormat="1" applyFont="1"/>
    <xf numFmtId="0" fontId="9" fillId="0" borderId="0" xfId="0" applyFont="1" applyAlignment="1">
      <alignment horizontal="center"/>
    </xf>
    <xf numFmtId="0" fontId="9" fillId="0" borderId="0" xfId="0" applyFont="1"/>
    <xf numFmtId="164" fontId="9" fillId="0" borderId="0" xfId="0" applyNumberFormat="1" applyFont="1"/>
    <xf numFmtId="0" fontId="12" fillId="0" borderId="0" xfId="0" applyFont="1" applyFill="1" applyBorder="1" applyAlignment="1">
      <alignment horizontal="center"/>
    </xf>
    <xf numFmtId="168" fontId="9" fillId="0" borderId="0" xfId="1" applyNumberFormat="1" applyFont="1"/>
    <xf numFmtId="22" fontId="0" fillId="0" borderId="0" xfId="0" applyNumberFormat="1"/>
    <xf numFmtId="43" fontId="9" fillId="0" borderId="0" xfId="1" applyFont="1"/>
    <xf numFmtId="0" fontId="13" fillId="0" borderId="0" xfId="0" applyFont="1"/>
    <xf numFmtId="165" fontId="9" fillId="0" borderId="0" xfId="3" applyNumberFormat="1" applyFont="1"/>
    <xf numFmtId="0" fontId="9" fillId="0" borderId="0" xfId="3" applyNumberFormat="1" applyFont="1"/>
    <xf numFmtId="167" fontId="9" fillId="0" borderId="0" xfId="2" applyNumberFormat="1" applyFont="1"/>
    <xf numFmtId="168" fontId="0" fillId="0" borderId="0" xfId="0" applyNumberFormat="1"/>
    <xf numFmtId="169" fontId="9" fillId="0" borderId="0" xfId="1" applyNumberFormat="1" applyFont="1"/>
    <xf numFmtId="0" fontId="9" fillId="0" borderId="0" xfId="0" applyFont="1" applyFill="1" applyBorder="1"/>
    <xf numFmtId="165" fontId="9" fillId="0" borderId="0" xfId="3" applyNumberFormat="1" applyFont="1" applyFill="1" applyBorder="1"/>
    <xf numFmtId="44" fontId="9" fillId="0" borderId="0" xfId="0" applyNumberFormat="1" applyFont="1"/>
    <xf numFmtId="44" fontId="9" fillId="0" borderId="0" xfId="2" applyFont="1"/>
    <xf numFmtId="44" fontId="0" fillId="3" borderId="0" xfId="0" applyNumberFormat="1" applyFill="1"/>
  </cellXfs>
  <cellStyles count="60">
    <cellStyle name="Comma" xfId="1" builtinId="3"/>
    <cellStyle name="Currency" xfId="2" builtinId="4"/>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Normal" xfId="0" builtinId="0"/>
    <cellStyle name="Percent" xfId="3"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sheetPr codeName="Sheet1" enableFormatConditionsCalculation="0"/>
  <dimension ref="A1:T33"/>
  <sheetViews>
    <sheetView zoomScale="125" zoomScaleNormal="125" zoomScalePageLayoutView="125" workbookViewId="0">
      <selection activeCell="C2" sqref="C2:M21"/>
    </sheetView>
  </sheetViews>
  <sheetFormatPr defaultColWidth="8.85546875" defaultRowHeight="15"/>
  <cols>
    <col min="1" max="1" width="11.42578125" bestFit="1" customWidth="1"/>
    <col min="4" max="4" width="15.28515625" bestFit="1" customWidth="1"/>
    <col min="9" max="9" width="15.42578125" customWidth="1"/>
    <col min="10" max="10" width="15.85546875" customWidth="1"/>
    <col min="11" max="11" width="13.28515625" bestFit="1" customWidth="1"/>
    <col min="12" max="12" width="9.7109375" customWidth="1"/>
    <col min="13" max="13" width="16.85546875" customWidth="1"/>
    <col min="14" max="14" width="17" bestFit="1" customWidth="1"/>
    <col min="15" max="16" width="9.42578125" bestFit="1" customWidth="1"/>
    <col min="17" max="18" width="8.85546875" bestFit="1" customWidth="1"/>
    <col min="19" max="19" width="10.85546875" style="54" bestFit="1" customWidth="1"/>
    <col min="20" max="20" width="12" bestFit="1" customWidth="1"/>
  </cols>
  <sheetData>
    <row r="1" spans="1:20" s="6" customFormat="1" ht="75">
      <c r="A1" t="s">
        <v>0</v>
      </c>
      <c r="B1" t="s">
        <v>1</v>
      </c>
      <c r="C1" s="6" t="s">
        <v>5</v>
      </c>
      <c r="D1" s="6" t="s">
        <v>6</v>
      </c>
      <c r="E1" s="6" t="s">
        <v>7</v>
      </c>
      <c r="F1" s="6" t="s">
        <v>19</v>
      </c>
      <c r="G1" s="6" t="s">
        <v>8</v>
      </c>
      <c r="H1" s="6" t="s">
        <v>9</v>
      </c>
      <c r="I1" s="6" t="s">
        <v>10</v>
      </c>
      <c r="J1" s="6" t="s">
        <v>11</v>
      </c>
      <c r="K1" s="6" t="s">
        <v>12</v>
      </c>
      <c r="L1" s="6" t="s">
        <v>13</v>
      </c>
      <c r="M1" s="6" t="s">
        <v>42</v>
      </c>
      <c r="N1" s="6" t="s">
        <v>20</v>
      </c>
      <c r="O1" s="6" t="s">
        <v>24</v>
      </c>
      <c r="P1" s="6" t="s">
        <v>33</v>
      </c>
      <c r="Q1" s="6" t="s">
        <v>40</v>
      </c>
      <c r="R1" s="6" t="s">
        <v>55</v>
      </c>
      <c r="S1" s="54" t="s">
        <v>0</v>
      </c>
    </row>
    <row r="2" spans="1:20">
      <c r="A2" s="1">
        <v>0.625</v>
      </c>
      <c r="B2">
        <v>1104134</v>
      </c>
      <c r="C2" s="10" t="s">
        <v>78</v>
      </c>
      <c r="D2" s="12"/>
      <c r="E2" s="13"/>
      <c r="F2" s="13">
        <v>0.2</v>
      </c>
      <c r="G2" s="10" t="s">
        <v>79</v>
      </c>
      <c r="H2" s="10">
        <v>1</v>
      </c>
      <c r="I2" s="10"/>
      <c r="J2" s="10" t="s">
        <v>83</v>
      </c>
      <c r="K2" s="14"/>
      <c r="L2" s="10" t="s">
        <v>15</v>
      </c>
      <c r="M2" s="12">
        <v>187500</v>
      </c>
      <c r="N2" s="15">
        <v>40892.537094907406</v>
      </c>
      <c r="O2">
        <f t="shared" ref="O2:O21" si="0">+IF(AND(C2="Specified",J2="Competitive"),1,0)</f>
        <v>0</v>
      </c>
      <c r="P2">
        <f>+IF(AND(C2="Specified",J2="Noncompetitive"),1,0)</f>
        <v>1</v>
      </c>
      <c r="Q2">
        <f>+IF(AND(C2="General",J2="Competitive"),1,0)</f>
        <v>0</v>
      </c>
      <c r="R2">
        <f>+IF(AND(C2="General",J2="Noncompetitive"),1,0)</f>
        <v>0</v>
      </c>
      <c r="S2" s="55">
        <v>40928.625</v>
      </c>
      <c r="T2" s="58"/>
    </row>
    <row r="3" spans="1:20">
      <c r="A3" s="1">
        <v>0.625</v>
      </c>
      <c r="B3">
        <v>1104143</v>
      </c>
      <c r="C3" s="10" t="s">
        <v>78</v>
      </c>
      <c r="D3" s="12"/>
      <c r="E3" s="13"/>
      <c r="F3" s="13">
        <v>0.2</v>
      </c>
      <c r="G3" s="10" t="s">
        <v>16</v>
      </c>
      <c r="H3" s="10"/>
      <c r="I3" s="10" t="s">
        <v>17</v>
      </c>
      <c r="J3" s="10" t="s">
        <v>83</v>
      </c>
      <c r="K3" s="14"/>
      <c r="L3" s="10" t="s">
        <v>15</v>
      </c>
      <c r="M3" s="12">
        <v>500000</v>
      </c>
      <c r="N3" s="15">
        <v>40897.363634259258</v>
      </c>
      <c r="O3">
        <f t="shared" si="0"/>
        <v>0</v>
      </c>
      <c r="P3">
        <f t="shared" ref="P3:P21" si="1">+IF(AND(C3="Specified",J3="Noncompetitive"),1,0)</f>
        <v>1</v>
      </c>
      <c r="Q3">
        <f t="shared" ref="Q3:Q21" si="2">+IF(AND(C3="General",J3="Competitive"),1,0)</f>
        <v>0</v>
      </c>
      <c r="R3">
        <f t="shared" ref="R3:R21" si="3">+IF(AND(C3="General",J3="Noncompetitive"),1,0)</f>
        <v>0</v>
      </c>
      <c r="S3" s="55">
        <v>40928.625</v>
      </c>
      <c r="T3" s="58"/>
    </row>
    <row r="4" spans="1:20">
      <c r="A4" s="1">
        <v>0.625</v>
      </c>
      <c r="B4">
        <v>1104154</v>
      </c>
      <c r="C4" s="10" t="s">
        <v>78</v>
      </c>
      <c r="D4" s="12"/>
      <c r="E4" s="13"/>
      <c r="F4" s="13">
        <v>0.2</v>
      </c>
      <c r="G4" s="10" t="s">
        <v>79</v>
      </c>
      <c r="H4" s="10">
        <v>2</v>
      </c>
      <c r="I4" s="10"/>
      <c r="J4" s="10" t="s">
        <v>83</v>
      </c>
      <c r="K4" s="14"/>
      <c r="L4" s="10" t="s">
        <v>15</v>
      </c>
      <c r="M4" s="12">
        <v>185000</v>
      </c>
      <c r="N4" s="15">
        <v>40913.386666666665</v>
      </c>
      <c r="O4">
        <f t="shared" si="0"/>
        <v>0</v>
      </c>
      <c r="P4">
        <f t="shared" si="1"/>
        <v>1</v>
      </c>
      <c r="Q4">
        <f t="shared" si="2"/>
        <v>0</v>
      </c>
      <c r="R4">
        <f t="shared" si="3"/>
        <v>0</v>
      </c>
      <c r="S4" s="55">
        <v>40928.625</v>
      </c>
      <c r="T4" s="58"/>
    </row>
    <row r="5" spans="1:20">
      <c r="A5" s="1">
        <v>0.625</v>
      </c>
      <c r="B5">
        <v>1104152</v>
      </c>
      <c r="C5" s="10" t="s">
        <v>78</v>
      </c>
      <c r="D5" s="12"/>
      <c r="E5" s="13"/>
      <c r="F5" s="13">
        <v>0.2</v>
      </c>
      <c r="G5" s="10" t="s">
        <v>16</v>
      </c>
      <c r="H5" s="10"/>
      <c r="I5" s="10" t="s">
        <v>18</v>
      </c>
      <c r="J5" s="10" t="s">
        <v>83</v>
      </c>
      <c r="K5" s="14"/>
      <c r="L5" s="10" t="s">
        <v>15</v>
      </c>
      <c r="M5" s="12">
        <v>1500000</v>
      </c>
      <c r="N5" s="15">
        <v>40913.385671296295</v>
      </c>
      <c r="O5">
        <f t="shared" si="0"/>
        <v>0</v>
      </c>
      <c r="P5">
        <f t="shared" si="1"/>
        <v>1</v>
      </c>
      <c r="Q5">
        <f t="shared" si="2"/>
        <v>0</v>
      </c>
      <c r="R5">
        <f t="shared" si="3"/>
        <v>0</v>
      </c>
      <c r="S5" s="55">
        <v>40928.625</v>
      </c>
      <c r="T5" s="58"/>
    </row>
    <row r="6" spans="1:20">
      <c r="A6" s="1">
        <v>0.71263888888888904</v>
      </c>
      <c r="B6">
        <v>1104136</v>
      </c>
      <c r="C6" s="10" t="s">
        <v>78</v>
      </c>
      <c r="D6" s="12"/>
      <c r="E6" s="13"/>
      <c r="F6" s="13">
        <v>0.2</v>
      </c>
      <c r="G6" s="10" t="s">
        <v>79</v>
      </c>
      <c r="H6" s="10">
        <v>4</v>
      </c>
      <c r="I6" s="10"/>
      <c r="J6" s="10" t="s">
        <v>83</v>
      </c>
      <c r="K6" s="14"/>
      <c r="L6" s="10" t="s">
        <v>14</v>
      </c>
      <c r="M6" s="12">
        <v>860000</v>
      </c>
      <c r="N6" s="15"/>
      <c r="O6">
        <f t="shared" si="0"/>
        <v>0</v>
      </c>
      <c r="P6">
        <f t="shared" si="1"/>
        <v>1</v>
      </c>
      <c r="Q6">
        <f t="shared" si="2"/>
        <v>0</v>
      </c>
      <c r="R6">
        <f t="shared" si="3"/>
        <v>0</v>
      </c>
      <c r="S6" s="55">
        <v>40928.712638888886</v>
      </c>
      <c r="T6" s="58"/>
    </row>
    <row r="7" spans="1:20">
      <c r="A7" s="1">
        <v>0.7726388888888891</v>
      </c>
      <c r="B7">
        <v>1104138</v>
      </c>
      <c r="C7" s="10" t="s">
        <v>78</v>
      </c>
      <c r="D7" s="12"/>
      <c r="E7" s="13"/>
      <c r="F7" s="13">
        <v>0.2</v>
      </c>
      <c r="G7" s="10" t="s">
        <v>16</v>
      </c>
      <c r="H7" s="10"/>
      <c r="I7" s="10" t="s">
        <v>21</v>
      </c>
      <c r="J7" s="10" t="s">
        <v>83</v>
      </c>
      <c r="K7" s="14"/>
      <c r="L7" s="10" t="s">
        <v>14</v>
      </c>
      <c r="M7" s="12">
        <v>300000</v>
      </c>
      <c r="N7" s="15"/>
      <c r="O7">
        <f t="shared" si="0"/>
        <v>0</v>
      </c>
      <c r="P7">
        <f t="shared" si="1"/>
        <v>1</v>
      </c>
      <c r="Q7">
        <f t="shared" si="2"/>
        <v>0</v>
      </c>
      <c r="R7">
        <f t="shared" si="3"/>
        <v>0</v>
      </c>
      <c r="S7" s="55">
        <v>40928.772638888891</v>
      </c>
      <c r="T7" s="58"/>
    </row>
    <row r="8" spans="1:20">
      <c r="A8" s="1">
        <v>0.80263888888888912</v>
      </c>
      <c r="B8">
        <v>1104139</v>
      </c>
      <c r="C8" s="10" t="s">
        <v>78</v>
      </c>
      <c r="D8" s="12"/>
      <c r="E8" s="13"/>
      <c r="F8" s="13">
        <v>0.2</v>
      </c>
      <c r="G8" s="10" t="s">
        <v>79</v>
      </c>
      <c r="H8" s="10">
        <v>1</v>
      </c>
      <c r="I8" s="10"/>
      <c r="J8" s="10" t="s">
        <v>83</v>
      </c>
      <c r="K8" s="14"/>
      <c r="L8" s="10" t="s">
        <v>14</v>
      </c>
      <c r="M8" s="12">
        <v>250000</v>
      </c>
      <c r="N8" s="15"/>
      <c r="O8">
        <f t="shared" si="0"/>
        <v>0</v>
      </c>
      <c r="P8">
        <f t="shared" si="1"/>
        <v>1</v>
      </c>
      <c r="Q8">
        <f t="shared" si="2"/>
        <v>0</v>
      </c>
      <c r="R8">
        <f t="shared" si="3"/>
        <v>0</v>
      </c>
      <c r="S8" s="55">
        <v>40928.80263888889</v>
      </c>
      <c r="T8" s="58"/>
    </row>
    <row r="9" spans="1:20">
      <c r="A9" s="1">
        <v>0.83263888888888915</v>
      </c>
      <c r="B9">
        <v>1104140</v>
      </c>
      <c r="C9" s="10" t="s">
        <v>78</v>
      </c>
      <c r="D9" s="12"/>
      <c r="E9" s="13"/>
      <c r="F9" s="13">
        <v>0.2</v>
      </c>
      <c r="G9" s="10" t="s">
        <v>79</v>
      </c>
      <c r="H9" s="10">
        <v>5</v>
      </c>
      <c r="I9" s="10"/>
      <c r="J9" s="10" t="s">
        <v>83</v>
      </c>
      <c r="K9" s="14"/>
      <c r="L9" s="10" t="s">
        <v>14</v>
      </c>
      <c r="M9" s="12">
        <v>74000</v>
      </c>
      <c r="N9" s="15"/>
      <c r="O9">
        <f t="shared" si="0"/>
        <v>0</v>
      </c>
      <c r="P9">
        <f t="shared" si="1"/>
        <v>1</v>
      </c>
      <c r="Q9">
        <f t="shared" si="2"/>
        <v>0</v>
      </c>
      <c r="R9">
        <f t="shared" si="3"/>
        <v>0</v>
      </c>
      <c r="S9" s="55">
        <v>40928.832638888889</v>
      </c>
      <c r="T9" s="58"/>
    </row>
    <row r="10" spans="1:20">
      <c r="A10" s="1">
        <v>0.86263888888888918</v>
      </c>
      <c r="B10">
        <v>1104141</v>
      </c>
      <c r="C10" s="10" t="s">
        <v>78</v>
      </c>
      <c r="D10" s="12"/>
      <c r="E10" s="13"/>
      <c r="F10" s="13">
        <v>0.2</v>
      </c>
      <c r="G10" s="10" t="s">
        <v>79</v>
      </c>
      <c r="H10" s="10">
        <v>5</v>
      </c>
      <c r="I10" s="10"/>
      <c r="J10" s="10" t="s">
        <v>83</v>
      </c>
      <c r="K10" s="14"/>
      <c r="L10" s="10" t="s">
        <v>14</v>
      </c>
      <c r="M10" s="12">
        <v>285000</v>
      </c>
      <c r="N10" s="15"/>
      <c r="O10">
        <f t="shared" si="0"/>
        <v>0</v>
      </c>
      <c r="P10">
        <f t="shared" si="1"/>
        <v>1</v>
      </c>
      <c r="Q10">
        <f t="shared" si="2"/>
        <v>0</v>
      </c>
      <c r="R10">
        <f t="shared" si="3"/>
        <v>0</v>
      </c>
      <c r="S10" s="55">
        <v>40928.862638888888</v>
      </c>
      <c r="T10" s="58"/>
    </row>
    <row r="11" spans="1:20">
      <c r="A11" s="1">
        <v>0.90263888888888888</v>
      </c>
      <c r="B11">
        <v>1104159</v>
      </c>
      <c r="C11" s="10" t="s">
        <v>78</v>
      </c>
      <c r="D11" s="12"/>
      <c r="E11" s="13"/>
      <c r="F11" s="13">
        <v>0.2</v>
      </c>
      <c r="G11" s="10" t="s">
        <v>79</v>
      </c>
      <c r="H11" s="10">
        <v>1</v>
      </c>
      <c r="I11" s="10"/>
      <c r="J11" s="10" t="s">
        <v>83</v>
      </c>
      <c r="K11" s="14"/>
      <c r="L11" s="10" t="s">
        <v>14</v>
      </c>
      <c r="M11" s="12">
        <v>532000</v>
      </c>
      <c r="N11" s="15"/>
      <c r="O11">
        <f t="shared" si="0"/>
        <v>0</v>
      </c>
      <c r="P11">
        <f t="shared" si="1"/>
        <v>1</v>
      </c>
      <c r="Q11">
        <f t="shared" si="2"/>
        <v>0</v>
      </c>
      <c r="R11">
        <f t="shared" si="3"/>
        <v>0</v>
      </c>
      <c r="S11" s="55">
        <v>40928.902638888889</v>
      </c>
      <c r="T11" s="58"/>
    </row>
    <row r="12" spans="1:20">
      <c r="A12" s="1">
        <v>0.96263888888888882</v>
      </c>
      <c r="B12">
        <v>1104161</v>
      </c>
      <c r="C12" s="10" t="s">
        <v>78</v>
      </c>
      <c r="D12" s="12"/>
      <c r="E12" s="13"/>
      <c r="F12" s="13">
        <v>0.2</v>
      </c>
      <c r="G12" s="10" t="s">
        <v>79</v>
      </c>
      <c r="H12" s="10">
        <v>4</v>
      </c>
      <c r="I12" s="10"/>
      <c r="J12" s="10" t="s">
        <v>83</v>
      </c>
      <c r="K12" s="14"/>
      <c r="L12" s="10" t="s">
        <v>14</v>
      </c>
      <c r="M12" s="12">
        <v>292000</v>
      </c>
      <c r="N12" s="15"/>
      <c r="O12">
        <f t="shared" si="0"/>
        <v>0</v>
      </c>
      <c r="P12">
        <f t="shared" si="1"/>
        <v>1</v>
      </c>
      <c r="Q12">
        <f t="shared" si="2"/>
        <v>0</v>
      </c>
      <c r="R12">
        <f t="shared" si="3"/>
        <v>0</v>
      </c>
      <c r="S12" s="55">
        <v>40928.962638888886</v>
      </c>
      <c r="T12" s="58"/>
    </row>
    <row r="13" spans="1:20">
      <c r="A13" s="1">
        <v>0.98263888888888928</v>
      </c>
      <c r="B13">
        <v>1104145</v>
      </c>
      <c r="C13" s="10" t="s">
        <v>78</v>
      </c>
      <c r="D13" s="12"/>
      <c r="E13" s="13"/>
      <c r="F13" s="13">
        <v>0.1</v>
      </c>
      <c r="G13" s="10" t="s">
        <v>79</v>
      </c>
      <c r="H13" s="10">
        <v>1</v>
      </c>
      <c r="I13" s="10"/>
      <c r="J13" s="10" t="s">
        <v>83</v>
      </c>
      <c r="K13" s="14"/>
      <c r="L13" s="10" t="s">
        <v>14</v>
      </c>
      <c r="M13" s="12">
        <v>752000</v>
      </c>
      <c r="N13" s="15"/>
      <c r="O13">
        <f t="shared" si="0"/>
        <v>0</v>
      </c>
      <c r="P13">
        <f t="shared" si="1"/>
        <v>1</v>
      </c>
      <c r="Q13">
        <f t="shared" si="2"/>
        <v>0</v>
      </c>
      <c r="R13">
        <f t="shared" si="3"/>
        <v>0</v>
      </c>
      <c r="S13" s="55">
        <v>40928.982638888891</v>
      </c>
      <c r="T13" s="58"/>
    </row>
    <row r="14" spans="1:20">
      <c r="A14" s="1">
        <v>1.0993055555555555</v>
      </c>
      <c r="B14">
        <v>1104133</v>
      </c>
      <c r="C14" s="10" t="s">
        <v>78</v>
      </c>
      <c r="D14" s="12"/>
      <c r="E14" s="13"/>
      <c r="F14" s="13">
        <v>0.2</v>
      </c>
      <c r="G14" s="10" t="s">
        <v>79</v>
      </c>
      <c r="H14" s="10">
        <v>4</v>
      </c>
      <c r="I14" s="10"/>
      <c r="J14" s="10" t="s">
        <v>83</v>
      </c>
      <c r="K14" s="14"/>
      <c r="L14" s="10" t="s">
        <v>14</v>
      </c>
      <c r="M14" s="12">
        <v>418000</v>
      </c>
      <c r="N14" s="15"/>
      <c r="O14">
        <f t="shared" si="0"/>
        <v>0</v>
      </c>
      <c r="P14">
        <f t="shared" si="1"/>
        <v>1</v>
      </c>
      <c r="Q14">
        <f t="shared" si="2"/>
        <v>0</v>
      </c>
      <c r="R14">
        <f t="shared" si="3"/>
        <v>0</v>
      </c>
      <c r="S14" s="55">
        <v>40929.099305555559</v>
      </c>
      <c r="T14" s="58"/>
    </row>
    <row r="15" spans="1:20">
      <c r="A15" s="1">
        <v>1.1026388888888894</v>
      </c>
      <c r="B15">
        <v>1104149</v>
      </c>
      <c r="C15" s="10" t="s">
        <v>78</v>
      </c>
      <c r="D15" s="12"/>
      <c r="E15" s="13"/>
      <c r="F15" s="13">
        <v>0.2</v>
      </c>
      <c r="G15" s="10" t="s">
        <v>79</v>
      </c>
      <c r="H15" s="10">
        <v>5</v>
      </c>
      <c r="I15" s="10"/>
      <c r="J15" s="10" t="s">
        <v>83</v>
      </c>
      <c r="K15" s="14"/>
      <c r="L15" s="10" t="s">
        <v>14</v>
      </c>
      <c r="M15" s="12">
        <v>47000</v>
      </c>
      <c r="N15" s="15"/>
      <c r="O15">
        <f t="shared" si="0"/>
        <v>0</v>
      </c>
      <c r="P15">
        <f t="shared" si="1"/>
        <v>1</v>
      </c>
      <c r="Q15">
        <f t="shared" si="2"/>
        <v>0</v>
      </c>
      <c r="R15">
        <f t="shared" si="3"/>
        <v>0</v>
      </c>
      <c r="S15" s="55">
        <v>40929.102638888886</v>
      </c>
      <c r="T15" s="58"/>
    </row>
    <row r="16" spans="1:20">
      <c r="A16" s="1">
        <v>1.1626388888888894</v>
      </c>
      <c r="B16">
        <v>1104151</v>
      </c>
      <c r="C16" s="10" t="s">
        <v>78</v>
      </c>
      <c r="D16" s="12"/>
      <c r="E16" s="13"/>
      <c r="F16" s="13">
        <v>0.2</v>
      </c>
      <c r="G16" s="10" t="s">
        <v>79</v>
      </c>
      <c r="H16" s="10">
        <v>1</v>
      </c>
      <c r="I16" s="10"/>
      <c r="J16" s="10" t="s">
        <v>83</v>
      </c>
      <c r="K16" s="14"/>
      <c r="L16" s="10" t="s">
        <v>14</v>
      </c>
      <c r="M16" s="12">
        <v>283000</v>
      </c>
      <c r="N16" s="15"/>
      <c r="O16">
        <f t="shared" si="0"/>
        <v>0</v>
      </c>
      <c r="P16">
        <f t="shared" si="1"/>
        <v>1</v>
      </c>
      <c r="Q16">
        <f t="shared" si="2"/>
        <v>0</v>
      </c>
      <c r="R16">
        <f t="shared" si="3"/>
        <v>0</v>
      </c>
      <c r="S16" s="55">
        <v>40929.162638888891</v>
      </c>
      <c r="T16" s="58"/>
    </row>
    <row r="17" spans="1:20">
      <c r="A17" s="1">
        <v>1.1926388888888895</v>
      </c>
      <c r="B17">
        <v>1104131</v>
      </c>
      <c r="C17" s="10" t="s">
        <v>78</v>
      </c>
      <c r="D17" s="12"/>
      <c r="E17" s="13"/>
      <c r="F17" s="13">
        <v>0.2</v>
      </c>
      <c r="G17" s="10" t="s">
        <v>16</v>
      </c>
      <c r="H17" s="10">
        <v>4</v>
      </c>
      <c r="I17" s="10"/>
      <c r="J17" s="10" t="s">
        <v>83</v>
      </c>
      <c r="K17" s="14"/>
      <c r="L17" s="10" t="s">
        <v>14</v>
      </c>
      <c r="M17" s="12">
        <v>598000</v>
      </c>
      <c r="N17" s="15"/>
      <c r="O17">
        <f t="shared" si="0"/>
        <v>0</v>
      </c>
      <c r="P17">
        <f t="shared" si="1"/>
        <v>1</v>
      </c>
      <c r="Q17">
        <f t="shared" si="2"/>
        <v>0</v>
      </c>
      <c r="R17">
        <f t="shared" si="3"/>
        <v>0</v>
      </c>
      <c r="S17" s="55">
        <v>40929.19263888889</v>
      </c>
      <c r="T17" s="58"/>
    </row>
    <row r="18" spans="1:20">
      <c r="A18" s="1">
        <v>1.2826388888888896</v>
      </c>
      <c r="B18">
        <v>1104155</v>
      </c>
      <c r="C18" s="10" t="s">
        <v>78</v>
      </c>
      <c r="D18" s="12"/>
      <c r="E18" s="13"/>
      <c r="F18" s="13">
        <v>0.2</v>
      </c>
      <c r="G18" s="10" t="s">
        <v>16</v>
      </c>
      <c r="H18" s="10"/>
      <c r="I18" s="10" t="s">
        <v>21</v>
      </c>
      <c r="J18" s="10" t="s">
        <v>83</v>
      </c>
      <c r="K18" s="14"/>
      <c r="L18" s="10" t="s">
        <v>14</v>
      </c>
      <c r="M18" s="12">
        <v>639000</v>
      </c>
      <c r="N18" s="15"/>
      <c r="O18">
        <f t="shared" si="0"/>
        <v>0</v>
      </c>
      <c r="P18">
        <f t="shared" si="1"/>
        <v>1</v>
      </c>
      <c r="Q18">
        <f t="shared" si="2"/>
        <v>0</v>
      </c>
      <c r="R18">
        <f t="shared" si="3"/>
        <v>0</v>
      </c>
      <c r="S18" s="55">
        <v>40929.282638888886</v>
      </c>
      <c r="T18" s="58"/>
    </row>
    <row r="19" spans="1:20">
      <c r="A19" s="1">
        <v>1.3126388888888896</v>
      </c>
      <c r="B19">
        <v>1104156</v>
      </c>
      <c r="C19" s="10" t="s">
        <v>78</v>
      </c>
      <c r="D19" s="12"/>
      <c r="E19" s="13"/>
      <c r="F19" s="13">
        <v>0.2</v>
      </c>
      <c r="G19" s="10" t="s">
        <v>79</v>
      </c>
      <c r="H19" s="10">
        <v>2</v>
      </c>
      <c r="I19" s="10"/>
      <c r="J19" s="10" t="s">
        <v>83</v>
      </c>
      <c r="K19" s="14"/>
      <c r="L19" s="10" t="s">
        <v>14</v>
      </c>
      <c r="M19" s="12">
        <v>274000</v>
      </c>
      <c r="N19" s="15"/>
      <c r="O19">
        <f t="shared" si="0"/>
        <v>0</v>
      </c>
      <c r="P19">
        <f t="shared" si="1"/>
        <v>1</v>
      </c>
      <c r="Q19">
        <f t="shared" si="2"/>
        <v>0</v>
      </c>
      <c r="R19">
        <f t="shared" si="3"/>
        <v>0</v>
      </c>
      <c r="S19" s="55">
        <v>40929.312638888892</v>
      </c>
      <c r="T19" s="58"/>
    </row>
    <row r="20" spans="1:20">
      <c r="A20" s="1">
        <v>1.3426388888888896</v>
      </c>
      <c r="B20">
        <v>1104157</v>
      </c>
      <c r="C20" s="10" t="s">
        <v>78</v>
      </c>
      <c r="D20" s="12"/>
      <c r="E20" s="13"/>
      <c r="F20" s="13">
        <v>0.2</v>
      </c>
      <c r="G20" s="10" t="s">
        <v>79</v>
      </c>
      <c r="H20" s="10"/>
      <c r="I20" s="10" t="s">
        <v>21</v>
      </c>
      <c r="J20" s="10" t="s">
        <v>83</v>
      </c>
      <c r="K20" s="14"/>
      <c r="L20" s="10" t="s">
        <v>14</v>
      </c>
      <c r="M20" s="12">
        <v>629000</v>
      </c>
      <c r="N20" s="15"/>
      <c r="O20">
        <f t="shared" si="0"/>
        <v>0</v>
      </c>
      <c r="P20">
        <f t="shared" si="1"/>
        <v>1</v>
      </c>
      <c r="Q20">
        <f t="shared" si="2"/>
        <v>0</v>
      </c>
      <c r="R20">
        <f t="shared" si="3"/>
        <v>0</v>
      </c>
      <c r="S20" s="55">
        <v>40929.342638888891</v>
      </c>
      <c r="T20" s="58"/>
    </row>
    <row r="21" spans="1:20">
      <c r="A21" s="1">
        <v>1.372638888888889</v>
      </c>
      <c r="B21">
        <v>1104158</v>
      </c>
      <c r="C21" s="10" t="s">
        <v>78</v>
      </c>
      <c r="D21" s="12"/>
      <c r="E21" s="13"/>
      <c r="F21" s="13">
        <v>0.2</v>
      </c>
      <c r="G21" s="10" t="s">
        <v>79</v>
      </c>
      <c r="H21" s="10">
        <v>1</v>
      </c>
      <c r="I21" s="10"/>
      <c r="J21" s="10" t="s">
        <v>83</v>
      </c>
      <c r="K21" s="14"/>
      <c r="L21" s="10" t="s">
        <v>14</v>
      </c>
      <c r="M21" s="12">
        <v>562000</v>
      </c>
      <c r="N21" s="15"/>
      <c r="O21">
        <f t="shared" si="0"/>
        <v>0</v>
      </c>
      <c r="P21">
        <f t="shared" si="1"/>
        <v>1</v>
      </c>
      <c r="Q21">
        <f t="shared" si="2"/>
        <v>0</v>
      </c>
      <c r="R21">
        <f t="shared" si="3"/>
        <v>0</v>
      </c>
      <c r="S21" s="55">
        <v>40929.37263888889</v>
      </c>
      <c r="T21" s="58"/>
    </row>
    <row r="22" spans="1:20">
      <c r="A22" s="1"/>
      <c r="S22" s="55"/>
    </row>
    <row r="23" spans="1:20">
      <c r="A23" s="1"/>
      <c r="S23" s="55"/>
    </row>
    <row r="24" spans="1:20">
      <c r="A24" s="1"/>
      <c r="K24" s="52"/>
      <c r="S24" s="55"/>
    </row>
    <row r="25" spans="1:20">
      <c r="A25" s="1"/>
      <c r="K25" s="14"/>
      <c r="S25" s="55"/>
    </row>
    <row r="26" spans="1:20">
      <c r="A26" s="1"/>
      <c r="S26" s="55"/>
    </row>
    <row r="27" spans="1:20">
      <c r="A27" s="1"/>
      <c r="L27" s="51"/>
      <c r="S27" s="55"/>
    </row>
    <row r="28" spans="1:20">
      <c r="A28" s="1"/>
      <c r="L28" s="51"/>
      <c r="S28" s="55"/>
    </row>
    <row r="29" spans="1:20">
      <c r="A29" s="1"/>
      <c r="S29" s="55"/>
    </row>
    <row r="30" spans="1:20">
      <c r="A30" s="1"/>
      <c r="S30" s="55"/>
    </row>
    <row r="31" spans="1:20">
      <c r="A31" s="1"/>
      <c r="S31" s="55"/>
    </row>
    <row r="32" spans="1:20">
      <c r="A32" s="1"/>
      <c r="S32" s="55"/>
    </row>
    <row r="33" spans="1:19">
      <c r="A33" s="1"/>
      <c r="S33" s="55"/>
    </row>
  </sheetData>
  <autoFilter ref="A1:N21">
    <sortState ref="A2:N21">
      <sortCondition ref="A1:A21"/>
    </sortState>
  </autoFilter>
  <dataValidations count="4">
    <dataValidation type="list" allowBlank="1" showInputMessage="1" showErrorMessage="1" sqref="C2:C21">
      <formula1>"General, Specified"</formula1>
    </dataValidation>
    <dataValidation type="list" allowBlank="1" showInputMessage="1" showErrorMessage="1" sqref="J2:J21">
      <formula1>"Competitive, Noncompetitive"</formula1>
    </dataValidation>
    <dataValidation type="list" allowBlank="1" showInputMessage="1" showErrorMessage="1" sqref="L2:L21">
      <formula1>"Day Trade, Auto"</formula1>
    </dataValidation>
    <dataValidation type="list" allowBlank="1" showInputMessage="1" showErrorMessage="1" sqref="G2:G21">
      <formula1>"Loan, MO"</formula1>
    </dataValidation>
  </dataValidations>
  <pageMargins left="0.7" right="0.7" top="0.75" bottom="0.75" header="0.3" footer="0.3"/>
  <pageSetup orientation="portrai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sheetPr codeName="Sheet2" enableFormatConditionsCalculation="0"/>
  <dimension ref="A1:U220"/>
  <sheetViews>
    <sheetView tabSelected="1" topLeftCell="A186" zoomScaleNormal="100" zoomScalePageLayoutView="125" workbookViewId="0">
      <selection activeCell="G187" sqref="G187:M187"/>
    </sheetView>
  </sheetViews>
  <sheetFormatPr defaultColWidth="8.85546875" defaultRowHeight="15" outlineLevelRow="1"/>
  <cols>
    <col min="2" max="2" width="12.85546875" customWidth="1"/>
    <col min="3" max="3" width="14.85546875" customWidth="1"/>
    <col min="4" max="4" width="16" customWidth="1"/>
    <col min="5" max="5" width="17" customWidth="1"/>
    <col min="6" max="6" width="18" bestFit="1" customWidth="1"/>
    <col min="7" max="7" width="13.42578125" bestFit="1" customWidth="1"/>
    <col min="8" max="8" width="15" bestFit="1" customWidth="1"/>
    <col min="9" max="9" width="15" customWidth="1"/>
    <col min="10" max="10" width="19.140625" bestFit="1" customWidth="1"/>
    <col min="11" max="11" width="14.85546875" bestFit="1" customWidth="1"/>
    <col min="12" max="12" width="13.85546875" bestFit="1" customWidth="1"/>
    <col min="13" max="13" width="14.28515625" bestFit="1" customWidth="1"/>
    <col min="15" max="15" width="8.140625" bestFit="1" customWidth="1"/>
    <col min="16" max="16" width="17.42578125" bestFit="1" customWidth="1"/>
    <col min="17" max="17" width="15.85546875" bestFit="1" customWidth="1"/>
    <col min="18" max="18" width="12.140625" bestFit="1" customWidth="1"/>
  </cols>
  <sheetData>
    <row r="1" spans="1:13">
      <c r="F1" t="s">
        <v>25</v>
      </c>
    </row>
    <row r="2" spans="1:13">
      <c r="E2" t="s">
        <v>22</v>
      </c>
      <c r="G2">
        <v>1</v>
      </c>
      <c r="H2">
        <v>2</v>
      </c>
      <c r="I2">
        <v>3</v>
      </c>
      <c r="J2">
        <v>4</v>
      </c>
      <c r="K2">
        <v>5</v>
      </c>
      <c r="L2">
        <v>6</v>
      </c>
      <c r="M2" t="s">
        <v>36</v>
      </c>
    </row>
    <row r="3" spans="1:13">
      <c r="D3" s="10"/>
      <c r="E3" t="s">
        <v>16</v>
      </c>
      <c r="G3" s="10" t="s">
        <v>17</v>
      </c>
      <c r="H3" s="10" t="s">
        <v>17</v>
      </c>
      <c r="I3" s="10" t="s">
        <v>18</v>
      </c>
      <c r="J3" s="10" t="s">
        <v>18</v>
      </c>
      <c r="K3" s="10" t="s">
        <v>21</v>
      </c>
      <c r="L3" s="10" t="s">
        <v>23</v>
      </c>
    </row>
    <row r="4" spans="1:13">
      <c r="D4" s="10"/>
      <c r="E4" t="s">
        <v>4</v>
      </c>
      <c r="G4" s="11">
        <v>318725</v>
      </c>
      <c r="H4" s="11">
        <v>375685</v>
      </c>
      <c r="I4" s="11">
        <v>479875</v>
      </c>
      <c r="J4" s="11">
        <v>525400</v>
      </c>
      <c r="K4" s="11">
        <v>515425</v>
      </c>
      <c r="L4" s="11">
        <v>485000</v>
      </c>
      <c r="M4" s="2">
        <f>SUM(G4:L4)</f>
        <v>2700110</v>
      </c>
    </row>
    <row r="5" spans="1:13">
      <c r="D5" s="10"/>
      <c r="E5" s="11"/>
      <c r="I5" s="2"/>
    </row>
    <row r="6" spans="1:13">
      <c r="A6" t="s">
        <v>64</v>
      </c>
      <c r="D6" s="10"/>
      <c r="E6" s="11"/>
      <c r="J6" s="2"/>
    </row>
    <row r="7" spans="1:13" ht="30" hidden="1" outlineLevel="1">
      <c r="B7" s="16" t="s">
        <v>26</v>
      </c>
      <c r="C7" s="16" t="s">
        <v>27</v>
      </c>
      <c r="D7" s="16" t="s">
        <v>16</v>
      </c>
      <c r="E7" s="26" t="s">
        <v>28</v>
      </c>
      <c r="F7" s="16" t="s">
        <v>29</v>
      </c>
      <c r="K7" s="2"/>
    </row>
    <row r="8" spans="1:13" hidden="1" outlineLevel="1">
      <c r="B8">
        <f>+'bid input'!B2</f>
        <v>1104134</v>
      </c>
      <c r="C8" s="9">
        <f>+'bid input'!H2</f>
        <v>1</v>
      </c>
      <c r="D8">
        <f>+'bid input'!I2</f>
        <v>0</v>
      </c>
      <c r="E8" s="17" t="str">
        <f>+IF('bid input'!O2=1,"Y","N")</f>
        <v>N</v>
      </c>
      <c r="F8" s="4">
        <f>+'bid input'!K2</f>
        <v>0</v>
      </c>
      <c r="G8" s="2">
        <f>+IF(AND($E8="Y",$C8=G$2,$C8&gt;0),'bid input'!$F2,IF(AND($E8="Y",$D8=G$3,$C8=0),'bid input'!$F2,0))*G$4</f>
        <v>0</v>
      </c>
      <c r="H8" s="2">
        <f>+IF(AND($E8="Y",$C8=H$2,$C8&gt;0),'bid input'!$F2,IF(AND($E8="Y",$D8=H$3,$C8=0),'bid input'!$F2,0))*H$4</f>
        <v>0</v>
      </c>
      <c r="I8" s="2">
        <f>+IF(AND($E8="Y",$C8=I$2,$C8&gt;0),'bid input'!$F2,IF(AND($E8="Y",$D8=I$3,$C8=0),'bid input'!$F2,0))*I$4</f>
        <v>0</v>
      </c>
      <c r="J8" s="2">
        <f>+IF(AND($E8="Y",$C8=J$2,$C8&gt;0),'bid input'!$F2,IF(AND($E8="Y",$D8=J$3,$C8=0),'bid input'!$F2,0))*J$4</f>
        <v>0</v>
      </c>
      <c r="K8" s="2">
        <f>+IF(AND($E8="Y",$C8=K$2,$C8&gt;0),'bid input'!$F2,IF(AND($E8="Y",$D8=K$3,$C8=0),'bid input'!$F2,0))*K$4</f>
        <v>0</v>
      </c>
      <c r="L8" s="2">
        <f>+IF(AND($E8="Y",$C8=L$2,$C8&gt;0),'bid input'!$F2,IF(AND($E8="Y",$D8=L$3,$C8=0),'bid input'!$F2,0))*L$4</f>
        <v>0</v>
      </c>
      <c r="M8" s="2">
        <f>SUM(G8:L8)</f>
        <v>0</v>
      </c>
    </row>
    <row r="9" spans="1:13" hidden="1" outlineLevel="1">
      <c r="B9">
        <f>+'bid input'!B3</f>
        <v>1104143</v>
      </c>
      <c r="C9" s="9">
        <f>+'bid input'!H3</f>
        <v>0</v>
      </c>
      <c r="D9" t="str">
        <f>+'bid input'!I3</f>
        <v>ABC Mortgage</v>
      </c>
      <c r="E9" s="17" t="str">
        <f>+IF('bid input'!O3=1,"Y","N")</f>
        <v>N</v>
      </c>
      <c r="F9" s="4">
        <f>+'bid input'!K3</f>
        <v>0</v>
      </c>
      <c r="G9" s="2">
        <f>+IF(AND($E9="Y",$C9=G$2,$C9&gt;0),'bid input'!$F3,IF(AND($E9="Y",$D9=G$3,$C9=0),'bid input'!$F3,0))*G$4</f>
        <v>0</v>
      </c>
      <c r="H9" s="2">
        <f>+IF(AND($E9="Y",$C9=H$2,$C9&gt;0),'bid input'!$F3,IF(AND($E9="Y",$D9=H$3,$C9=0),'bid input'!$F3,0))*H$4</f>
        <v>0</v>
      </c>
      <c r="I9" s="2">
        <f>+IF(AND($E9="Y",$C9=I$2,$C9&gt;0),'bid input'!$F3,IF(AND($E9="Y",$D9=I$3,$C9=0),'bid input'!$F3,0))*I$4</f>
        <v>0</v>
      </c>
      <c r="J9" s="2">
        <f>+IF(AND($E9="Y",$C9=J$2,$C9&gt;0),'bid input'!$F3,IF(AND($E9="Y",$D9=J$3,$C9=0),'bid input'!$F3,0))*J$4</f>
        <v>0</v>
      </c>
      <c r="K9" s="2">
        <f>+IF(AND($E9="Y",$C9=K$2,$C9&gt;0),'bid input'!$F3,IF(AND($E9="Y",$D9=K$3,$C9=0),'bid input'!$F3,0))*K$4</f>
        <v>0</v>
      </c>
      <c r="L9" s="2">
        <f>+IF(AND($E9="Y",$C9=L$2,$C9&gt;0),'bid input'!$F3,IF(AND($E9="Y",$D9=L$3,$C9=0),'bid input'!$F3,0))*L$4</f>
        <v>0</v>
      </c>
      <c r="M9" s="2">
        <f t="shared" ref="M9:M27" si="0">SUM(G9:L9)</f>
        <v>0</v>
      </c>
    </row>
    <row r="10" spans="1:13" hidden="1" outlineLevel="1">
      <c r="B10">
        <f>+'bid input'!B4</f>
        <v>1104154</v>
      </c>
      <c r="C10" s="9">
        <f>+'bid input'!H4</f>
        <v>2</v>
      </c>
      <c r="D10">
        <f>+'bid input'!I4</f>
        <v>0</v>
      </c>
      <c r="E10" s="17" t="str">
        <f>+IF('bid input'!O4=1,"Y","N")</f>
        <v>N</v>
      </c>
      <c r="F10" s="4">
        <f>+'bid input'!K4</f>
        <v>0</v>
      </c>
      <c r="G10" s="2">
        <f>+IF(AND($E10="Y",$C10=G$2,$C10&gt;0),'bid input'!$F4,IF(AND($E10="Y",$D10=G$3,$C10=0),'bid input'!$F4,0))*G$4</f>
        <v>0</v>
      </c>
      <c r="H10" s="2">
        <f>+IF(AND($E10="Y",$C10=H$2,$C10&gt;0),'bid input'!$F4,IF(AND($E10="Y",$D10=H$3,$C10=0),'bid input'!$F4,0))*H$4</f>
        <v>0</v>
      </c>
      <c r="I10" s="2">
        <f>+IF(AND($E10="Y",$C10=I$2,$C10&gt;0),'bid input'!$F4,IF(AND($E10="Y",$D10=I$3,$C10=0),'bid input'!$F4,0))*I$4</f>
        <v>0</v>
      </c>
      <c r="J10" s="2">
        <f>+IF(AND($E10="Y",$C10=J$2,$C10&gt;0),'bid input'!$F4,IF(AND($E10="Y",$D10=J$3,$C10=0),'bid input'!$F4,0))*J$4</f>
        <v>0</v>
      </c>
      <c r="K10" s="2">
        <f>+IF(AND($E10="Y",$C10=K$2,$C10&gt;0),'bid input'!$F4,IF(AND($E10="Y",$D10=K$3,$C10=0),'bid input'!$F4,0))*K$4</f>
        <v>0</v>
      </c>
      <c r="L10" s="2">
        <f>+IF(AND($E10="Y",$C10=L$2,$C10&gt;0),'bid input'!$F4,IF(AND($E10="Y",$D10=L$3,$C10=0),'bid input'!$F4,0))*L$4</f>
        <v>0</v>
      </c>
      <c r="M10" s="2">
        <f t="shared" si="0"/>
        <v>0</v>
      </c>
    </row>
    <row r="11" spans="1:13" hidden="1" outlineLevel="1">
      <c r="B11">
        <f>+'bid input'!B5</f>
        <v>1104152</v>
      </c>
      <c r="C11" s="9">
        <f>+'bid input'!H5</f>
        <v>0</v>
      </c>
      <c r="D11" t="str">
        <f>+'bid input'!I5</f>
        <v>Prime Lending</v>
      </c>
      <c r="E11" s="17" t="str">
        <f>+IF('bid input'!O5=1,"Y","N")</f>
        <v>N</v>
      </c>
      <c r="F11" s="4">
        <f>+'bid input'!K5</f>
        <v>0</v>
      </c>
      <c r="G11" s="2">
        <f>+IF(AND($E11="Y",$C11=G$2,$C11&gt;0),'bid input'!$F5,IF(AND($E11="Y",$D11=G$3,$C11=0),'bid input'!$F5,0))*G$4</f>
        <v>0</v>
      </c>
      <c r="H11" s="2">
        <f>+IF(AND($E11="Y",$C11=H$2,$C11&gt;0),'bid input'!$F5,IF(AND($E11="Y",$D11=H$3,$C11=0),'bid input'!$F5,0))*H$4</f>
        <v>0</v>
      </c>
      <c r="I11" s="2">
        <f>+IF(AND($E11="Y",$C11=I$2,$C11&gt;0),'bid input'!$F5,IF(AND($E11="Y",$D11=I$3,$C11=0),'bid input'!$F5,0))*I$4</f>
        <v>0</v>
      </c>
      <c r="J11" s="2">
        <f>+IF(AND($E11="Y",$C11=J$2,$C11&gt;0),'bid input'!$F5,IF(AND($E11="Y",$D11=J$3,$C11=0),'bid input'!$F5,0))*J$4</f>
        <v>0</v>
      </c>
      <c r="K11" s="2">
        <f>+IF(AND($E11="Y",$C11=K$2,$C11&gt;0),'bid input'!$F5,IF(AND($E11="Y",$D11=K$3,$C11=0),'bid input'!$F5,0))*K$4</f>
        <v>0</v>
      </c>
      <c r="L11" s="2">
        <f>+IF(AND($E11="Y",$C11=L$2,$C11&gt;0),'bid input'!$F5,IF(AND($E11="Y",$D11=L$3,$C11=0),'bid input'!$F5,0))*L$4</f>
        <v>0</v>
      </c>
      <c r="M11" s="2">
        <f t="shared" si="0"/>
        <v>0</v>
      </c>
    </row>
    <row r="12" spans="1:13" hidden="1" outlineLevel="1">
      <c r="B12">
        <f>+'bid input'!B6</f>
        <v>1104136</v>
      </c>
      <c r="C12" s="9">
        <f>+'bid input'!H6</f>
        <v>4</v>
      </c>
      <c r="D12">
        <f>+'bid input'!I6</f>
        <v>0</v>
      </c>
      <c r="E12" s="17" t="str">
        <f>+IF('bid input'!O6=1,"Y","N")</f>
        <v>N</v>
      </c>
      <c r="F12" s="4">
        <f>+'bid input'!K6</f>
        <v>0</v>
      </c>
      <c r="G12" s="2">
        <f>+IF(AND($E12="Y",$C12=G$2,$C12&gt;0),'bid input'!$F6,IF(AND($E12="Y",$D12=G$3,$C12=0),'bid input'!$F6,0))*G$4</f>
        <v>0</v>
      </c>
      <c r="H12" s="2">
        <f>+IF(AND($E12="Y",$C12=H$2,$C12&gt;0),'bid input'!$F6,IF(AND($E12="Y",$D12=H$3,$C12=0),'bid input'!$F6,0))*H$4</f>
        <v>0</v>
      </c>
      <c r="I12" s="2">
        <f>+IF(AND($E12="Y",$C12=I$2,$C12&gt;0),'bid input'!$F6,IF(AND($E12="Y",$D12=I$3,$C12=0),'bid input'!$F6,0))*I$4</f>
        <v>0</v>
      </c>
      <c r="J12" s="2">
        <f>+IF(AND($E12="Y",$C12=J$2,$C12&gt;0),'bid input'!$F6,IF(AND($E12="Y",$D12=J$3,$C12=0),'bid input'!$F6,0))*J$4</f>
        <v>0</v>
      </c>
      <c r="K12" s="2">
        <f>+IF(AND($E12="Y",$C12=K$2,$C12&gt;0),'bid input'!$F6,IF(AND($E12="Y",$D12=K$3,$C12=0),'bid input'!$F6,0))*K$4</f>
        <v>0</v>
      </c>
      <c r="L12" s="2">
        <f>+IF(AND($E12="Y",$C12=L$2,$C12&gt;0),'bid input'!$F6,IF(AND($E12="Y",$D12=L$3,$C12=0),'bid input'!$F6,0))*L$4</f>
        <v>0</v>
      </c>
      <c r="M12" s="2">
        <f t="shared" si="0"/>
        <v>0</v>
      </c>
    </row>
    <row r="13" spans="1:13" hidden="1" outlineLevel="1">
      <c r="B13">
        <f>+'bid input'!B7</f>
        <v>1104138</v>
      </c>
      <c r="C13" s="9">
        <f>+'bid input'!H7</f>
        <v>0</v>
      </c>
      <c r="D13" t="str">
        <f>+'bid input'!I7</f>
        <v>Best Loans Inc</v>
      </c>
      <c r="E13" s="17" t="str">
        <f>+IF('bid input'!O7=1,"Y","N")</f>
        <v>N</v>
      </c>
      <c r="F13" s="4">
        <f>+'bid input'!K7</f>
        <v>0</v>
      </c>
      <c r="G13" s="2">
        <f>+IF(AND($E13="Y",$C13=G$2,$C13&gt;0),'bid input'!$F7,IF(AND($E13="Y",$D13=G$3,$C13=0),'bid input'!$F7,0))*G$4</f>
        <v>0</v>
      </c>
      <c r="H13" s="2">
        <f>+IF(AND($E13="Y",$C13=H$2,$C13&gt;0),'bid input'!$F7,IF(AND($E13="Y",$D13=H$3,$C13=0),'bid input'!$F7,0))*H$4</f>
        <v>0</v>
      </c>
      <c r="I13" s="2">
        <f>+IF(AND($E13="Y",$C13=I$2,$C13&gt;0),'bid input'!$F7,IF(AND($E13="Y",$D13=I$3,$C13=0),'bid input'!$F7,0))*I$4</f>
        <v>0</v>
      </c>
      <c r="J13" s="2">
        <f>+IF(AND($E13="Y",$C13=J$2,$C13&gt;0),'bid input'!$F7,IF(AND($E13="Y",$D13=J$3,$C13=0),'bid input'!$F7,0))*J$4</f>
        <v>0</v>
      </c>
      <c r="K13" s="2">
        <f>+IF(AND($E13="Y",$C13=K$2,$C13&gt;0),'bid input'!$F7,IF(AND($E13="Y",$D13=K$3,$C13=0),'bid input'!$F7,0))*K$4</f>
        <v>0</v>
      </c>
      <c r="L13" s="2">
        <f>+IF(AND($E13="Y",$C13=L$2,$C13&gt;0),'bid input'!$F7,IF(AND($E13="Y",$D13=L$3,$C13=0),'bid input'!$F7,0))*L$4</f>
        <v>0</v>
      </c>
      <c r="M13" s="2">
        <f t="shared" si="0"/>
        <v>0</v>
      </c>
    </row>
    <row r="14" spans="1:13" hidden="1" outlineLevel="1">
      <c r="B14">
        <f>+'bid input'!B8</f>
        <v>1104139</v>
      </c>
      <c r="C14" s="9">
        <f>+'bid input'!H8</f>
        <v>1</v>
      </c>
      <c r="D14">
        <f>+'bid input'!I8</f>
        <v>0</v>
      </c>
      <c r="E14" s="17" t="str">
        <f>+IF('bid input'!O8=1,"Y","N")</f>
        <v>N</v>
      </c>
      <c r="F14" s="4">
        <f>+'bid input'!K8</f>
        <v>0</v>
      </c>
      <c r="G14" s="2">
        <f>+IF(AND($E14="Y",$C14=G$2,$C14&gt;0),'bid input'!$F8,IF(AND($E14="Y",$D14=G$3,$C14=0),'bid input'!$F8,0))*G$4</f>
        <v>0</v>
      </c>
      <c r="H14" s="2">
        <f>+IF(AND($E14="Y",$C14=H$2,$C14&gt;0),'bid input'!$F8,IF(AND($E14="Y",$D14=H$3,$C14=0),'bid input'!$F8,0))*H$4</f>
        <v>0</v>
      </c>
      <c r="I14" s="2">
        <f>+IF(AND($E14="Y",$C14=I$2,$C14&gt;0),'bid input'!$F8,IF(AND($E14="Y",$D14=I$3,$C14=0),'bid input'!$F8,0))*I$4</f>
        <v>0</v>
      </c>
      <c r="J14" s="2">
        <f>+IF(AND($E14="Y",$C14=J$2,$C14&gt;0),'bid input'!$F8,IF(AND($E14="Y",$D14=J$3,$C14=0),'bid input'!$F8,0))*J$4</f>
        <v>0</v>
      </c>
      <c r="K14" s="2">
        <f>+IF(AND($E14="Y",$C14=K$2,$C14&gt;0),'bid input'!$F8,IF(AND($E14="Y",$D14=K$3,$C14=0),'bid input'!$F8,0))*K$4</f>
        <v>0</v>
      </c>
      <c r="L14" s="2">
        <f>+IF(AND($E14="Y",$C14=L$2,$C14&gt;0),'bid input'!$F8,IF(AND($E14="Y",$D14=L$3,$C14=0),'bid input'!$F8,0))*L$4</f>
        <v>0</v>
      </c>
      <c r="M14" s="2">
        <f t="shared" si="0"/>
        <v>0</v>
      </c>
    </row>
    <row r="15" spans="1:13" hidden="1" outlineLevel="1">
      <c r="B15">
        <f>+'bid input'!B9</f>
        <v>1104140</v>
      </c>
      <c r="C15" s="9">
        <f>+'bid input'!H9</f>
        <v>5</v>
      </c>
      <c r="D15">
        <f>+'bid input'!I9</f>
        <v>0</v>
      </c>
      <c r="E15" s="17" t="str">
        <f>+IF('bid input'!O9=1,"Y","N")</f>
        <v>N</v>
      </c>
      <c r="F15" s="4">
        <f>+'bid input'!K9</f>
        <v>0</v>
      </c>
      <c r="G15" s="2">
        <f>+IF(AND($E15="Y",$C15=G$2,$C15&gt;0),'bid input'!$F9,IF(AND($E15="Y",$D15=G$3,$C15=0),'bid input'!$F9,0))*G$4</f>
        <v>0</v>
      </c>
      <c r="H15" s="2">
        <f>+IF(AND($E15="Y",$C15=H$2,$C15&gt;0),'bid input'!$F9,IF(AND($E15="Y",$D15=H$3,$C15=0),'bid input'!$F9,0))*H$4</f>
        <v>0</v>
      </c>
      <c r="I15" s="2">
        <f>+IF(AND($E15="Y",$C15=I$2,$C15&gt;0),'bid input'!$F9,IF(AND($E15="Y",$D15=I$3,$C15=0),'bid input'!$F9,0))*I$4</f>
        <v>0</v>
      </c>
      <c r="J15" s="2">
        <f>+IF(AND($E15="Y",$C15=J$2,$C15&gt;0),'bid input'!$F9,IF(AND($E15="Y",$D15=J$3,$C15=0),'bid input'!$F9,0))*J$4</f>
        <v>0</v>
      </c>
      <c r="K15" s="2">
        <f>+IF(AND($E15="Y",$C15=K$2,$C15&gt;0),'bid input'!$F9,IF(AND($E15="Y",$D15=K$3,$C15=0),'bid input'!$F9,0))*K$4</f>
        <v>0</v>
      </c>
      <c r="L15" s="2">
        <f>+IF(AND($E15="Y",$C15=L$2,$C15&gt;0),'bid input'!$F9,IF(AND($E15="Y",$D15=L$3,$C15=0),'bid input'!$F9,0))*L$4</f>
        <v>0</v>
      </c>
      <c r="M15" s="2">
        <f t="shared" si="0"/>
        <v>0</v>
      </c>
    </row>
    <row r="16" spans="1:13" hidden="1" outlineLevel="1">
      <c r="B16">
        <f>+'bid input'!B10</f>
        <v>1104141</v>
      </c>
      <c r="C16" s="9">
        <f>+'bid input'!H10</f>
        <v>5</v>
      </c>
      <c r="D16">
        <f>+'bid input'!I10</f>
        <v>0</v>
      </c>
      <c r="E16" s="17" t="str">
        <f>+IF('bid input'!O10=1,"Y","N")</f>
        <v>N</v>
      </c>
      <c r="F16" s="4">
        <f>+'bid input'!K10</f>
        <v>0</v>
      </c>
      <c r="G16" s="2">
        <f>+IF(AND($E16="Y",$C16=G$2,$C16&gt;0),'bid input'!$F10,IF(AND($E16="Y",$D16=G$3,$C16=0),'bid input'!$F10,0))*G$4</f>
        <v>0</v>
      </c>
      <c r="H16" s="2">
        <f>+IF(AND($E16="Y",$C16=H$2,$C16&gt;0),'bid input'!$F10,IF(AND($E16="Y",$D16=H$3,$C16=0),'bid input'!$F10,0))*H$4</f>
        <v>0</v>
      </c>
      <c r="I16" s="2">
        <f>+IF(AND($E16="Y",$C16=I$2,$C16&gt;0),'bid input'!$F10,IF(AND($E16="Y",$D16=I$3,$C16=0),'bid input'!$F10,0))*I$4</f>
        <v>0</v>
      </c>
      <c r="J16" s="2">
        <f>+IF(AND($E16="Y",$C16=J$2,$C16&gt;0),'bid input'!$F10,IF(AND($E16="Y",$D16=J$3,$C16=0),'bid input'!$F10,0))*J$4</f>
        <v>0</v>
      </c>
      <c r="K16" s="2">
        <f>+IF(AND($E16="Y",$C16=K$2,$C16&gt;0),'bid input'!$F10,IF(AND($E16="Y",$D16=K$3,$C16=0),'bid input'!$F10,0))*K$4</f>
        <v>0</v>
      </c>
      <c r="L16" s="2">
        <f>+IF(AND($E16="Y",$C16=L$2,$C16&gt;0),'bid input'!$F10,IF(AND($E16="Y",$D16=L$3,$C16=0),'bid input'!$F10,0))*L$4</f>
        <v>0</v>
      </c>
      <c r="M16" s="2">
        <f t="shared" si="0"/>
        <v>0</v>
      </c>
    </row>
    <row r="17" spans="2:13" hidden="1" outlineLevel="1">
      <c r="B17">
        <f>+'bid input'!B11</f>
        <v>1104159</v>
      </c>
      <c r="C17" s="9">
        <f>+'bid input'!H11</f>
        <v>1</v>
      </c>
      <c r="D17">
        <f>+'bid input'!I11</f>
        <v>0</v>
      </c>
      <c r="E17" s="17" t="str">
        <f>+IF('bid input'!O11=1,"Y","N")</f>
        <v>N</v>
      </c>
      <c r="F17" s="4">
        <f>+'bid input'!K11</f>
        <v>0</v>
      </c>
      <c r="G17" s="2">
        <f>+IF(AND($E17="Y",$C17=G$2,$C17&gt;0),'bid input'!$F11,IF(AND($E17="Y",$D17=G$3,$C17=0),'bid input'!$F11,0))*G$4</f>
        <v>0</v>
      </c>
      <c r="H17" s="2">
        <f>+IF(AND($E17="Y",$C17=H$2,$C17&gt;0),'bid input'!$F11,IF(AND($E17="Y",$D17=H$3,$C17=0),'bid input'!$F11,0))*H$4</f>
        <v>0</v>
      </c>
      <c r="I17" s="2">
        <f>+IF(AND($E17="Y",$C17=I$2,$C17&gt;0),'bid input'!$F11,IF(AND($E17="Y",$D17=I$3,$C17=0),'bid input'!$F11,0))*I$4</f>
        <v>0</v>
      </c>
      <c r="J17" s="2">
        <f>+IF(AND($E17="Y",$C17=J$2,$C17&gt;0),'bid input'!$F11,IF(AND($E17="Y",$D17=J$3,$C17=0),'bid input'!$F11,0))*J$4</f>
        <v>0</v>
      </c>
      <c r="K17" s="2">
        <f>+IF(AND($E17="Y",$C17=K$2,$C17&gt;0),'bid input'!$F11,IF(AND($E17="Y",$D17=K$3,$C17=0),'bid input'!$F11,0))*K$4</f>
        <v>0</v>
      </c>
      <c r="L17" s="2">
        <f>+IF(AND($E17="Y",$C17=L$2,$C17&gt;0),'bid input'!$F11,IF(AND($E17="Y",$D17=L$3,$C17=0),'bid input'!$F11,0))*L$4</f>
        <v>0</v>
      </c>
      <c r="M17" s="2">
        <f t="shared" si="0"/>
        <v>0</v>
      </c>
    </row>
    <row r="18" spans="2:13" hidden="1" outlineLevel="1">
      <c r="B18">
        <f>+'bid input'!B12</f>
        <v>1104161</v>
      </c>
      <c r="C18" s="9">
        <f>+'bid input'!H12</f>
        <v>4</v>
      </c>
      <c r="D18">
        <f>+'bid input'!I12</f>
        <v>0</v>
      </c>
      <c r="E18" s="17" t="str">
        <f>+IF('bid input'!O12=1,"Y","N")</f>
        <v>N</v>
      </c>
      <c r="F18" s="4">
        <f>+'bid input'!K12</f>
        <v>0</v>
      </c>
      <c r="G18" s="2">
        <f>+IF(AND($E18="Y",$C18=G$2,$C18&gt;0),'bid input'!$F12,IF(AND($E18="Y",$D18=G$3,$C18=0),'bid input'!$F12,0))*G$4</f>
        <v>0</v>
      </c>
      <c r="H18" s="2">
        <f>+IF(AND($E18="Y",$C18=H$2,$C18&gt;0),'bid input'!$F12,IF(AND($E18="Y",$D18=H$3,$C18=0),'bid input'!$F12,0))*H$4</f>
        <v>0</v>
      </c>
      <c r="I18" s="2">
        <f>+IF(AND($E18="Y",$C18=I$2,$C18&gt;0),'bid input'!$F12,IF(AND($E18="Y",$D18=I$3,$C18=0),'bid input'!$F12,0))*I$4</f>
        <v>0</v>
      </c>
      <c r="J18" s="2">
        <f>+IF(AND($E18="Y",$C18=J$2,$C18&gt;0),'bid input'!$F12,IF(AND($E18="Y",$D18=J$3,$C18=0),'bid input'!$F12,0))*J$4</f>
        <v>0</v>
      </c>
      <c r="K18" s="2">
        <f>+IF(AND($E18="Y",$C18=K$2,$C18&gt;0),'bid input'!$F12,IF(AND($E18="Y",$D18=K$3,$C18=0),'bid input'!$F12,0))*K$4</f>
        <v>0</v>
      </c>
      <c r="L18" s="2">
        <f>+IF(AND($E18="Y",$C18=L$2,$C18&gt;0),'bid input'!$F12,IF(AND($E18="Y",$D18=L$3,$C18=0),'bid input'!$F12,0))*L$4</f>
        <v>0</v>
      </c>
      <c r="M18" s="2">
        <f t="shared" si="0"/>
        <v>0</v>
      </c>
    </row>
    <row r="19" spans="2:13" hidden="1" outlineLevel="1">
      <c r="B19">
        <f>+'bid input'!B13</f>
        <v>1104145</v>
      </c>
      <c r="C19" s="9">
        <f>+'bid input'!H13</f>
        <v>1</v>
      </c>
      <c r="D19">
        <f>+'bid input'!I13</f>
        <v>0</v>
      </c>
      <c r="E19" s="17" t="str">
        <f>+IF('bid input'!O13=1,"Y","N")</f>
        <v>N</v>
      </c>
      <c r="F19" s="4">
        <f>+'bid input'!K13</f>
        <v>0</v>
      </c>
      <c r="G19" s="2">
        <f>+IF(AND($E19="Y",$C19=G$2,$C19&gt;0),'bid input'!$F13,IF(AND($E19="Y",$D19=G$3,$C19=0),'bid input'!$F13,0))*G$4</f>
        <v>0</v>
      </c>
      <c r="H19" s="2">
        <f>+IF(AND($E19="Y",$C19=H$2,$C19&gt;0),'bid input'!$F13,IF(AND($E19="Y",$D19=H$3,$C19=0),'bid input'!$F13,0))*H$4</f>
        <v>0</v>
      </c>
      <c r="I19" s="2">
        <f>+IF(AND($E19="Y",$C19=I$2,$C19&gt;0),'bid input'!$F13,IF(AND($E19="Y",$D19=I$3,$C19=0),'bid input'!$F13,0))*I$4</f>
        <v>0</v>
      </c>
      <c r="J19" s="2">
        <f>+IF(AND($E19="Y",$C19=J$2,$C19&gt;0),'bid input'!$F13,IF(AND($E19="Y",$D19=J$3,$C19=0),'bid input'!$F13,0))*J$4</f>
        <v>0</v>
      </c>
      <c r="K19" s="2">
        <f>+IF(AND($E19="Y",$C19=K$2,$C19&gt;0),'bid input'!$F13,IF(AND($E19="Y",$D19=K$3,$C19=0),'bid input'!$F13,0))*K$4</f>
        <v>0</v>
      </c>
      <c r="L19" s="2">
        <f>+IF(AND($E19="Y",$C19=L$2,$C19&gt;0),'bid input'!$F13,IF(AND($E19="Y",$D19=L$3,$C19=0),'bid input'!$F13,0))*L$4</f>
        <v>0</v>
      </c>
      <c r="M19" s="2">
        <f t="shared" si="0"/>
        <v>0</v>
      </c>
    </row>
    <row r="20" spans="2:13" hidden="1" outlineLevel="1">
      <c r="B20">
        <f>+'bid input'!B14</f>
        <v>1104133</v>
      </c>
      <c r="C20" s="9">
        <f>+'bid input'!H14</f>
        <v>4</v>
      </c>
      <c r="D20">
        <f>+'bid input'!I14</f>
        <v>0</v>
      </c>
      <c r="E20" s="17" t="str">
        <f>+IF('bid input'!O14=1,"Y","N")</f>
        <v>N</v>
      </c>
      <c r="F20" s="4">
        <f>+'bid input'!K14</f>
        <v>0</v>
      </c>
      <c r="G20" s="2">
        <f>+IF(AND($E20="Y",$C20=G$2,$C20&gt;0),'bid input'!$F14,IF(AND($E20="Y",$D20=G$3,$C20=0),'bid input'!$F14,0))*G$4</f>
        <v>0</v>
      </c>
      <c r="H20" s="2">
        <f>+IF(AND($E20="Y",$C20=H$2,$C20&gt;0),'bid input'!$F14,IF(AND($E20="Y",$D20=H$3,$C20=0),'bid input'!$F14,0))*H$4</f>
        <v>0</v>
      </c>
      <c r="I20" s="2">
        <f>+IF(AND($E20="Y",$C20=I$2,$C20&gt;0),'bid input'!$F14,IF(AND($E20="Y",$D20=I$3,$C20=0),'bid input'!$F14,0))*I$4</f>
        <v>0</v>
      </c>
      <c r="J20" s="2">
        <f>+IF(AND($E20="Y",$C20=J$2,$C20&gt;0),'bid input'!$F14,IF(AND($E20="Y",$D20=J$3,$C20=0),'bid input'!$F14,0))*J$4</f>
        <v>0</v>
      </c>
      <c r="K20" s="2">
        <f>+IF(AND($E20="Y",$C20=K$2,$C20&gt;0),'bid input'!$F14,IF(AND($E20="Y",$D20=K$3,$C20=0),'bid input'!$F14,0))*K$4</f>
        <v>0</v>
      </c>
      <c r="L20" s="2">
        <f>+IF(AND($E20="Y",$C20=L$2,$C20&gt;0),'bid input'!$F14,IF(AND($E20="Y",$D20=L$3,$C20=0),'bid input'!$F14,0))*L$4</f>
        <v>0</v>
      </c>
      <c r="M20" s="2">
        <f t="shared" si="0"/>
        <v>0</v>
      </c>
    </row>
    <row r="21" spans="2:13" hidden="1" outlineLevel="1">
      <c r="B21">
        <f>+'bid input'!B15</f>
        <v>1104149</v>
      </c>
      <c r="C21" s="9">
        <f>+'bid input'!H15</f>
        <v>5</v>
      </c>
      <c r="D21">
        <f>+'bid input'!I15</f>
        <v>0</v>
      </c>
      <c r="E21" s="17" t="str">
        <f>+IF('bid input'!O15=1,"Y","N")</f>
        <v>N</v>
      </c>
      <c r="F21" s="4">
        <f>+'bid input'!K15</f>
        <v>0</v>
      </c>
      <c r="G21" s="2">
        <f>+IF(AND($E21="Y",$C21=G$2,$C21&gt;0),'bid input'!$F15,IF(AND($E21="Y",$D21=G$3,$C21=0),'bid input'!$F15,0))*G$4</f>
        <v>0</v>
      </c>
      <c r="H21" s="2">
        <f>+IF(AND($E21="Y",$C21=H$2,$C21&gt;0),'bid input'!$F15,IF(AND($E21="Y",$D21=H$3,$C21=0),'bid input'!$F15,0))*H$4</f>
        <v>0</v>
      </c>
      <c r="I21" s="2">
        <f>+IF(AND($E21="Y",$C21=I$2,$C21&gt;0),'bid input'!$F15,IF(AND($E21="Y",$D21=I$3,$C21=0),'bid input'!$F15,0))*I$4</f>
        <v>0</v>
      </c>
      <c r="J21" s="2">
        <f>+IF(AND($E21="Y",$C21=J$2,$C21&gt;0),'bid input'!$F15,IF(AND($E21="Y",$D21=J$3,$C21=0),'bid input'!$F15,0))*J$4</f>
        <v>0</v>
      </c>
      <c r="K21" s="2">
        <f>+IF(AND($E21="Y",$C21=K$2,$C21&gt;0),'bid input'!$F15,IF(AND($E21="Y",$D21=K$3,$C21=0),'bid input'!$F15,0))*K$4</f>
        <v>0</v>
      </c>
      <c r="L21" s="2">
        <f>+IF(AND($E21="Y",$C21=L$2,$C21&gt;0),'bid input'!$F15,IF(AND($E21="Y",$D21=L$3,$C21=0),'bid input'!$F15,0))*L$4</f>
        <v>0</v>
      </c>
      <c r="M21" s="2">
        <f t="shared" si="0"/>
        <v>0</v>
      </c>
    </row>
    <row r="22" spans="2:13" hidden="1" outlineLevel="1">
      <c r="B22">
        <f>+'bid input'!B16</f>
        <v>1104151</v>
      </c>
      <c r="C22" s="9">
        <f>+'bid input'!H16</f>
        <v>1</v>
      </c>
      <c r="D22">
        <f>+'bid input'!I16</f>
        <v>0</v>
      </c>
      <c r="E22" s="17" t="str">
        <f>+IF('bid input'!O16=1,"Y","N")</f>
        <v>N</v>
      </c>
      <c r="F22" s="4">
        <f>+'bid input'!K16</f>
        <v>0</v>
      </c>
      <c r="G22" s="2">
        <f>+IF(AND($E22="Y",$C22=G$2,$C22&gt;0),'bid input'!$F16,IF(AND($E22="Y",$D22=G$3,$C22=0),'bid input'!$F16,0))*G$4</f>
        <v>0</v>
      </c>
      <c r="H22" s="2">
        <f>+IF(AND($E22="Y",$C22=H$2,$C22&gt;0),'bid input'!$F16,IF(AND($E22="Y",$D22=H$3,$C22=0),'bid input'!$F16,0))*H$4</f>
        <v>0</v>
      </c>
      <c r="I22" s="2">
        <f>+IF(AND($E22="Y",$C22=I$2,$C22&gt;0),'bid input'!$F16,IF(AND($E22="Y",$D22=I$3,$C22=0),'bid input'!$F16,0))*I$4</f>
        <v>0</v>
      </c>
      <c r="J22" s="2">
        <f>+IF(AND($E22="Y",$C22=J$2,$C22&gt;0),'bid input'!$F16,IF(AND($E22="Y",$D22=J$3,$C22=0),'bid input'!$F16,0))*J$4</f>
        <v>0</v>
      </c>
      <c r="K22" s="2">
        <f>+IF(AND($E22="Y",$C22=K$2,$C22&gt;0),'bid input'!$F16,IF(AND($E22="Y",$D22=K$3,$C22=0),'bid input'!$F16,0))*K$4</f>
        <v>0</v>
      </c>
      <c r="L22" s="2">
        <f>+IF(AND($E22="Y",$C22=L$2,$C22&gt;0),'bid input'!$F16,IF(AND($E22="Y",$D22=L$3,$C22=0),'bid input'!$F16,0))*L$4</f>
        <v>0</v>
      </c>
      <c r="M22" s="2">
        <f t="shared" si="0"/>
        <v>0</v>
      </c>
    </row>
    <row r="23" spans="2:13" hidden="1" outlineLevel="1">
      <c r="B23">
        <f>+'bid input'!B17</f>
        <v>1104131</v>
      </c>
      <c r="C23" s="9">
        <f>+'bid input'!H17</f>
        <v>4</v>
      </c>
      <c r="D23">
        <f>+'bid input'!I17</f>
        <v>0</v>
      </c>
      <c r="E23" s="17" t="str">
        <f>+IF('bid input'!O17=1,"Y","N")</f>
        <v>N</v>
      </c>
      <c r="F23" s="4">
        <f>+'bid input'!K17</f>
        <v>0</v>
      </c>
      <c r="G23" s="2">
        <f>+IF(AND($E23="Y",$C23=G$2,$C23&gt;0),'bid input'!$F17,IF(AND($E23="Y",$D23=G$3,$C23=0),'bid input'!$F17,0))*G$4</f>
        <v>0</v>
      </c>
      <c r="H23" s="2">
        <f>+IF(AND($E23="Y",$C23=H$2,$C23&gt;0),'bid input'!$F17,IF(AND($E23="Y",$D23=H$3,$C23=0),'bid input'!$F17,0))*H$4</f>
        <v>0</v>
      </c>
      <c r="I23" s="2">
        <f>+IF(AND($E23="Y",$C23=I$2,$C23&gt;0),'bid input'!$F17,IF(AND($E23="Y",$D23=I$3,$C23=0),'bid input'!$F17,0))*I$4</f>
        <v>0</v>
      </c>
      <c r="J23" s="2">
        <f>+IF(AND($E23="Y",$C23=J$2,$C23&gt;0),'bid input'!$F17,IF(AND($E23="Y",$D23=J$3,$C23=0),'bid input'!$F17,0))*J$4</f>
        <v>0</v>
      </c>
      <c r="K23" s="2">
        <f>+IF(AND($E23="Y",$C23=K$2,$C23&gt;0),'bid input'!$F17,IF(AND($E23="Y",$D23=K$3,$C23=0),'bid input'!$F17,0))*K$4</f>
        <v>0</v>
      </c>
      <c r="L23" s="2">
        <f>+IF(AND($E23="Y",$C23=L$2,$C23&gt;0),'bid input'!$F17,IF(AND($E23="Y",$D23=L$3,$C23=0),'bid input'!$F17,0))*L$4</f>
        <v>0</v>
      </c>
      <c r="M23" s="2">
        <f t="shared" si="0"/>
        <v>0</v>
      </c>
    </row>
    <row r="24" spans="2:13" hidden="1" outlineLevel="1">
      <c r="B24">
        <f>+'bid input'!B18</f>
        <v>1104155</v>
      </c>
      <c r="C24" s="9">
        <f>+'bid input'!H18</f>
        <v>0</v>
      </c>
      <c r="D24" t="str">
        <f>+'bid input'!I18</f>
        <v>Best Loans Inc</v>
      </c>
      <c r="E24" s="17" t="str">
        <f>+IF('bid input'!O18=1,"Y","N")</f>
        <v>N</v>
      </c>
      <c r="F24" s="4">
        <f>+'bid input'!K18</f>
        <v>0</v>
      </c>
      <c r="G24" s="2">
        <f>+IF(AND($E24="Y",$C24=G$2,$C24&gt;0),'bid input'!$F18,IF(AND($E24="Y",$D24=G$3,$C24=0),'bid input'!$F18,0))*G$4</f>
        <v>0</v>
      </c>
      <c r="H24" s="2">
        <f>+IF(AND($E24="Y",$C24=H$2,$C24&gt;0),'bid input'!$F18,IF(AND($E24="Y",$D24=H$3,$C24=0),'bid input'!$F18,0))*H$4</f>
        <v>0</v>
      </c>
      <c r="I24" s="2">
        <f>+IF(AND($E24="Y",$C24=I$2,$C24&gt;0),'bid input'!$F18,IF(AND($E24="Y",$D24=I$3,$C24=0),'bid input'!$F18,0))*I$4</f>
        <v>0</v>
      </c>
      <c r="J24" s="2">
        <f>+IF(AND($E24="Y",$C24=J$2,$C24&gt;0),'bid input'!$F18,IF(AND($E24="Y",$D24=J$3,$C24=0),'bid input'!$F18,0))*J$4</f>
        <v>0</v>
      </c>
      <c r="K24" s="2">
        <f>+IF(AND($E24="Y",$C24=K$2,$C24&gt;0),'bid input'!$F18,IF(AND($E24="Y",$D24=K$3,$C24=0),'bid input'!$F18,0))*K$4</f>
        <v>0</v>
      </c>
      <c r="L24" s="2">
        <f>+IF(AND($E24="Y",$C24=L$2,$C24&gt;0),'bid input'!$F18,IF(AND($E24="Y",$D24=L$3,$C24=0),'bid input'!$F18,0))*L$4</f>
        <v>0</v>
      </c>
      <c r="M24" s="2">
        <f t="shared" si="0"/>
        <v>0</v>
      </c>
    </row>
    <row r="25" spans="2:13" hidden="1" outlineLevel="1">
      <c r="B25">
        <f>+'bid input'!B19</f>
        <v>1104156</v>
      </c>
      <c r="C25" s="9">
        <f>+'bid input'!H19</f>
        <v>2</v>
      </c>
      <c r="D25">
        <f>+'bid input'!I19</f>
        <v>0</v>
      </c>
      <c r="E25" s="17" t="str">
        <f>+IF('bid input'!O19=1,"Y","N")</f>
        <v>N</v>
      </c>
      <c r="F25" s="4">
        <f>+'bid input'!K19</f>
        <v>0</v>
      </c>
      <c r="G25" s="2">
        <f>+IF(AND($E25="Y",$C25=G$2,$C25&gt;0),'bid input'!$F19,IF(AND($E25="Y",$D25=G$3,$C25=0),'bid input'!$F19,0))*G$4</f>
        <v>0</v>
      </c>
      <c r="H25" s="2">
        <f>+IF(AND($E25="Y",$C25=H$2,$C25&gt;0),'bid input'!$F19,IF(AND($E25="Y",$D25=H$3,$C25=0),'bid input'!$F19,0))*H$4</f>
        <v>0</v>
      </c>
      <c r="I25" s="2">
        <f>+IF(AND($E25="Y",$C25=I$2,$C25&gt;0),'bid input'!$F19,IF(AND($E25="Y",$D25=I$3,$C25=0),'bid input'!$F19,0))*I$4</f>
        <v>0</v>
      </c>
      <c r="J25" s="2">
        <f>+IF(AND($E25="Y",$C25=J$2,$C25&gt;0),'bid input'!$F19,IF(AND($E25="Y",$D25=J$3,$C25=0),'bid input'!$F19,0))*J$4</f>
        <v>0</v>
      </c>
      <c r="K25" s="2">
        <f>+IF(AND($E25="Y",$C25=K$2,$C25&gt;0),'bid input'!$F19,IF(AND($E25="Y",$D25=K$3,$C25=0),'bid input'!$F19,0))*K$4</f>
        <v>0</v>
      </c>
      <c r="L25" s="2">
        <f>+IF(AND($E25="Y",$C25=L$2,$C25&gt;0),'bid input'!$F19,IF(AND($E25="Y",$D25=L$3,$C25=0),'bid input'!$F19,0))*L$4</f>
        <v>0</v>
      </c>
      <c r="M25" s="2">
        <f t="shared" si="0"/>
        <v>0</v>
      </c>
    </row>
    <row r="26" spans="2:13" hidden="1" outlineLevel="1">
      <c r="B26">
        <f>+'bid input'!B20</f>
        <v>1104157</v>
      </c>
      <c r="C26" s="9">
        <f>+'bid input'!H20</f>
        <v>0</v>
      </c>
      <c r="D26" t="str">
        <f>+'bid input'!I20</f>
        <v>Best Loans Inc</v>
      </c>
      <c r="E26" s="17" t="str">
        <f>+IF('bid input'!O20=1,"Y","N")</f>
        <v>N</v>
      </c>
      <c r="F26" s="4">
        <f>+'bid input'!K20</f>
        <v>0</v>
      </c>
      <c r="G26" s="2">
        <f>+IF(AND($E26="Y",$C26=G$2,$C26&gt;0),'bid input'!$F20,IF(AND($E26="Y",$D26=G$3,$C26=0),'bid input'!$F20,0))*G$4</f>
        <v>0</v>
      </c>
      <c r="H26" s="2">
        <f>+IF(AND($E26="Y",$C26=H$2,$C26&gt;0),'bid input'!$F20,IF(AND($E26="Y",$D26=H$3,$C26=0),'bid input'!$F20,0))*H$4</f>
        <v>0</v>
      </c>
      <c r="I26" s="2">
        <f>+IF(AND($E26="Y",$C26=I$2,$C26&gt;0),'bid input'!$F20,IF(AND($E26="Y",$D26=I$3,$C26=0),'bid input'!$F20,0))*I$4</f>
        <v>0</v>
      </c>
      <c r="J26" s="2">
        <f>+IF(AND($E26="Y",$C26=J$2,$C26&gt;0),'bid input'!$F20,IF(AND($E26="Y",$D26=J$3,$C26=0),'bid input'!$F20,0))*J$4</f>
        <v>0</v>
      </c>
      <c r="K26" s="2">
        <f>+IF(AND($E26="Y",$C26=K$2,$C26&gt;0),'bid input'!$F20,IF(AND($E26="Y",$D26=K$3,$C26=0),'bid input'!$F20,0))*K$4</f>
        <v>0</v>
      </c>
      <c r="L26" s="2">
        <f>+IF(AND($E26="Y",$C26=L$2,$C26&gt;0),'bid input'!$F20,IF(AND($E26="Y",$D26=L$3,$C26=0),'bid input'!$F20,0))*L$4</f>
        <v>0</v>
      </c>
      <c r="M26" s="2">
        <f t="shared" si="0"/>
        <v>0</v>
      </c>
    </row>
    <row r="27" spans="2:13" hidden="1" outlineLevel="1">
      <c r="B27">
        <f>+'bid input'!B21</f>
        <v>1104158</v>
      </c>
      <c r="C27" s="9">
        <f>+'bid input'!H21</f>
        <v>1</v>
      </c>
      <c r="D27">
        <f>+'bid input'!I21</f>
        <v>0</v>
      </c>
      <c r="E27" s="17" t="str">
        <f>+IF('bid input'!O21=1,"Y","N")</f>
        <v>N</v>
      </c>
      <c r="F27" s="4">
        <f>+'bid input'!K21</f>
        <v>0</v>
      </c>
      <c r="G27" s="2">
        <f>+IF(AND($E27="Y",$C27=G$2,$C27&gt;0),'bid input'!$F21,IF(AND($E27="Y",$D27=G$3,$C27=0),'bid input'!$F21,0))*G$4</f>
        <v>0</v>
      </c>
      <c r="H27" s="2">
        <f>+IF(AND($E27="Y",$C27=H$2,$C27&gt;0),'bid input'!$F21,IF(AND($E27="Y",$D27=H$3,$C27=0),'bid input'!$F21,0))*H$4</f>
        <v>0</v>
      </c>
      <c r="I27" s="2">
        <f>+IF(AND($E27="Y",$C27=I$2,$C27&gt;0),'bid input'!$F21,IF(AND($E27="Y",$D27=I$3,$C27=0),'bid input'!$F21,0))*I$4</f>
        <v>0</v>
      </c>
      <c r="J27" s="2">
        <f>+IF(AND($E27="Y",$C27=J$2,$C27&gt;0),'bid input'!$F21,IF(AND($E27="Y",$D27=J$3,$C27=0),'bid input'!$F21,0))*J$4</f>
        <v>0</v>
      </c>
      <c r="K27" s="2">
        <f>+IF(AND($E27="Y",$C27=K$2,$C27&gt;0),'bid input'!$F21,IF(AND($E27="Y",$D27=K$3,$C27=0),'bid input'!$F21,0))*K$4</f>
        <v>0</v>
      </c>
      <c r="L27" s="2">
        <f>+IF(AND($E27="Y",$C27=L$2,$C27&gt;0),'bid input'!$F21,IF(AND($E27="Y",$D27=L$3,$C27=0),'bid input'!$F21,0))*L$4</f>
        <v>0</v>
      </c>
      <c r="M27" s="2">
        <f t="shared" si="0"/>
        <v>0</v>
      </c>
    </row>
    <row r="28" spans="2:13" hidden="1" outlineLevel="1">
      <c r="D28" s="9"/>
      <c r="E28" s="17"/>
      <c r="F28" s="4"/>
      <c r="G28" s="2"/>
      <c r="H28" s="2"/>
      <c r="I28" s="2"/>
      <c r="J28" s="2"/>
      <c r="K28" s="2"/>
      <c r="L28" s="2"/>
    </row>
    <row r="29" spans="2:13" collapsed="1">
      <c r="D29" s="18" t="s">
        <v>65</v>
      </c>
      <c r="E29" s="19"/>
      <c r="F29" s="19"/>
      <c r="G29" s="20">
        <f t="shared" ref="G29:L29" si="1">SUM(G8:G28)</f>
        <v>0</v>
      </c>
      <c r="H29" s="20">
        <f t="shared" si="1"/>
        <v>0</v>
      </c>
      <c r="I29" s="20">
        <f t="shared" si="1"/>
        <v>0</v>
      </c>
      <c r="J29" s="20">
        <f t="shared" si="1"/>
        <v>0</v>
      </c>
      <c r="K29" s="20">
        <f t="shared" si="1"/>
        <v>0</v>
      </c>
      <c r="L29" s="20">
        <f t="shared" si="1"/>
        <v>0</v>
      </c>
      <c r="M29" s="21">
        <f>SUM(G29:L29)</f>
        <v>0</v>
      </c>
    </row>
    <row r="30" spans="2:13">
      <c r="D30" s="22" t="s">
        <v>2</v>
      </c>
      <c r="E30" s="23"/>
      <c r="F30" s="23"/>
      <c r="G30" s="24" t="str">
        <f>+IF(G29&gt;0,SUMPRODUCT($F$8:$F$27,G$8:G$27)/G$29,"")</f>
        <v/>
      </c>
      <c r="H30" s="24" t="str">
        <f t="shared" ref="H30:L30" si="2">+IF(H29&gt;0,SUMPRODUCT($F$8:$F$27,H$8:H$27)/H$29,"")</f>
        <v/>
      </c>
      <c r="I30" s="24" t="str">
        <f t="shared" si="2"/>
        <v/>
      </c>
      <c r="J30" s="24" t="str">
        <f t="shared" si="2"/>
        <v/>
      </c>
      <c r="K30" s="24" t="str">
        <f t="shared" si="2"/>
        <v/>
      </c>
      <c r="L30" s="24" t="str">
        <f t="shared" si="2"/>
        <v/>
      </c>
      <c r="M30" s="25" t="e">
        <f>+SUMPRODUCT(G29:L29,G30:L30)/M29</f>
        <v>#DIV/0!</v>
      </c>
    </row>
    <row r="32" spans="2:13">
      <c r="D32" t="s">
        <v>30</v>
      </c>
      <c r="G32" s="2">
        <f t="shared" ref="G32:L32" si="3">+G4-G29</f>
        <v>318725</v>
      </c>
      <c r="H32" s="2">
        <f t="shared" si="3"/>
        <v>375685</v>
      </c>
      <c r="I32" s="2">
        <f t="shared" si="3"/>
        <v>479875</v>
      </c>
      <c r="J32" s="2">
        <f t="shared" si="3"/>
        <v>525400</v>
      </c>
      <c r="K32" s="2">
        <f t="shared" si="3"/>
        <v>515425</v>
      </c>
      <c r="L32" s="2">
        <f t="shared" si="3"/>
        <v>485000</v>
      </c>
      <c r="M32" s="2">
        <f>SUM(G32:L32)</f>
        <v>2700110</v>
      </c>
    </row>
    <row r="33" spans="1:13">
      <c r="D33" t="s">
        <v>31</v>
      </c>
      <c r="G33" s="7" t="str">
        <f>+IF(G32=0,"NA",IF(G32&lt;0,"OVER","UNDER"))</f>
        <v>UNDER</v>
      </c>
      <c r="H33" s="7" t="str">
        <f t="shared" ref="H33" si="4">+IF(H32=0,"NA",IF(H32&lt;0,"OVER","UNDER"))</f>
        <v>UNDER</v>
      </c>
      <c r="I33" s="7" t="str">
        <f t="shared" ref="I33" si="5">+IF(I32=0,"NA",IF(I32&lt;0,"OVER","UNDER"))</f>
        <v>UNDER</v>
      </c>
      <c r="J33" s="7" t="str">
        <f t="shared" ref="J33" si="6">+IF(J32=0,"NA",IF(J32&lt;0,"OVER","UNDER"))</f>
        <v>UNDER</v>
      </c>
      <c r="K33" s="7" t="str">
        <f t="shared" ref="K33" si="7">+IF(K32=0,"NA",IF(K32&lt;0,"OVER","UNDER"))</f>
        <v>UNDER</v>
      </c>
      <c r="L33" s="7" t="str">
        <f t="shared" ref="L33" si="8">+IF(L32=0,"NA",IF(L32&lt;0,"OVER","UNDER"))</f>
        <v>UNDER</v>
      </c>
      <c r="M33" s="7" t="str">
        <f t="shared" ref="M33" si="9">+IF(M32=0,"NA",IF(M32&lt;0,"OVER","UNDER"))</f>
        <v>UNDER</v>
      </c>
    </row>
    <row r="35" spans="1:13">
      <c r="A35" t="s">
        <v>63</v>
      </c>
    </row>
    <row r="36" spans="1:13" ht="27.95" customHeight="1" outlineLevel="1">
      <c r="B36" s="16" t="s">
        <v>26</v>
      </c>
      <c r="C36" s="16" t="s">
        <v>27</v>
      </c>
      <c r="D36" s="16" t="s">
        <v>16</v>
      </c>
      <c r="E36" s="26" t="s">
        <v>32</v>
      </c>
      <c r="F36" s="16" t="s">
        <v>34</v>
      </c>
      <c r="G36" s="27">
        <v>3.5000000000000003E-2</v>
      </c>
      <c r="H36" s="27">
        <f>+G36</f>
        <v>3.5000000000000003E-2</v>
      </c>
      <c r="I36" s="27">
        <f t="shared" ref="I36:L36" si="10">+H36</f>
        <v>3.5000000000000003E-2</v>
      </c>
      <c r="J36" s="27">
        <f t="shared" si="10"/>
        <v>3.5000000000000003E-2</v>
      </c>
      <c r="K36" s="27">
        <f t="shared" si="10"/>
        <v>3.5000000000000003E-2</v>
      </c>
      <c r="L36" s="27">
        <f t="shared" si="10"/>
        <v>3.5000000000000003E-2</v>
      </c>
    </row>
    <row r="37" spans="1:13" ht="14.1" customHeight="1" outlineLevel="1">
      <c r="B37">
        <f t="shared" ref="B37:D56" si="11">+B8</f>
        <v>1104134</v>
      </c>
      <c r="C37">
        <f t="shared" si="11"/>
        <v>1</v>
      </c>
      <c r="D37">
        <f t="shared" si="11"/>
        <v>0</v>
      </c>
      <c r="E37" s="17" t="str">
        <f>+IF('bid input'!P2=1,"Y","N")</f>
        <v>Y</v>
      </c>
      <c r="F37" s="4"/>
      <c r="G37" s="2">
        <f>+IF(AND($E37="Y",$C37=G$2,$C37&gt;0),'bid input'!$F2,IF(AND($E37="Y",$D37=G$3,$C37=0),'bid input'!$F2,0))*G$4</f>
        <v>63745</v>
      </c>
      <c r="H37" s="2">
        <f>+IF(AND($E37="Y",$C37=H$2,$C37&gt;0),'bid input'!$F2,IF(AND($E37="Y",$D37=H$3,$C37=0),'bid input'!$F2,0))*H$4</f>
        <v>0</v>
      </c>
      <c r="I37" s="2">
        <f>+IF(AND($E37="Y",$C37=I$2,$C37&gt;0),'bid input'!$F2,IF(AND($E37="Y",$D37=I$3,$C37=0),'bid input'!$F2,0))*I$4</f>
        <v>0</v>
      </c>
      <c r="J37" s="2">
        <f>+IF(AND($E37="Y",$C37=J$2,$C37&gt;0),'bid input'!$F2,IF(AND($E37="Y",$D37=J$3,$C37=0),'bid input'!$F2,0))*J$4</f>
        <v>0</v>
      </c>
      <c r="K37" s="2">
        <f>+IF(AND($E37="Y",$C37=K$2,$C37&gt;0),'bid input'!$F2,IF(AND($E37="Y",$D37=K$3,$C37=0),'bid input'!$F2,0))*K$4</f>
        <v>0</v>
      </c>
      <c r="L37" s="2">
        <f>+IF(AND($E37="Y",$C37=L$2,$C37&gt;0),'bid input'!$F2,IF(AND($E37="Y",$D37=L$3,$C37=0),'bid input'!$F2,0))*L$4</f>
        <v>0</v>
      </c>
      <c r="M37" s="2">
        <f>SUM(G37:L37)</f>
        <v>63745</v>
      </c>
    </row>
    <row r="38" spans="1:13" ht="14.1" customHeight="1" outlineLevel="1">
      <c r="B38">
        <f t="shared" si="11"/>
        <v>1104143</v>
      </c>
      <c r="C38">
        <f t="shared" si="11"/>
        <v>0</v>
      </c>
      <c r="D38" t="str">
        <f t="shared" si="11"/>
        <v>ABC Mortgage</v>
      </c>
      <c r="E38" s="17" t="str">
        <f>+IF('bid input'!P3=1,"Y","N")</f>
        <v>Y</v>
      </c>
      <c r="F38" s="4"/>
      <c r="G38" s="2">
        <f>+IF(AND($E38="Y",$C38=G$2,$C38&gt;0),'bid input'!$F3,IF(AND($E38="Y",$D38=G$3,$C38=0),'bid input'!$F3,0))*G$4</f>
        <v>63745</v>
      </c>
      <c r="H38" s="2">
        <f>+IF(AND($E38="Y",$C38=H$2,$C38&gt;0),'bid input'!$F3,IF(AND($E38="Y",$D38=H$3,$C38=0),'bid input'!$F3,0))*H$4</f>
        <v>75137</v>
      </c>
      <c r="I38" s="2">
        <f>+IF(AND($E38="Y",$C38=I$2,$C38&gt;0),'bid input'!$F3,IF(AND($E38="Y",$D38=I$3,$C38=0),'bid input'!$F3,0))*I$4</f>
        <v>0</v>
      </c>
      <c r="J38" s="2">
        <f>+IF(AND($E38="Y",$C38=J$2,$C38&gt;0),'bid input'!$F3,IF(AND($E38="Y",$D38=J$3,$C38=0),'bid input'!$F3,0))*J$4</f>
        <v>0</v>
      </c>
      <c r="K38" s="2">
        <f>+IF(AND($E38="Y",$C38=K$2,$C38&gt;0),'bid input'!$F3,IF(AND($E38="Y",$D38=K$3,$C38=0),'bid input'!$F3,0))*K$4</f>
        <v>0</v>
      </c>
      <c r="L38" s="2">
        <f>+IF(AND($E38="Y",$C38=L$2,$C38&gt;0),'bid input'!$F3,IF(AND($E38="Y",$D38=L$3,$C38=0),'bid input'!$F3,0))*L$4</f>
        <v>0</v>
      </c>
      <c r="M38" s="2">
        <f t="shared" ref="M38:M56" si="12">SUM(G38:L38)</f>
        <v>138882</v>
      </c>
    </row>
    <row r="39" spans="1:13" ht="14.1" customHeight="1" outlineLevel="1">
      <c r="B39">
        <f t="shared" si="11"/>
        <v>1104154</v>
      </c>
      <c r="C39">
        <f t="shared" si="11"/>
        <v>2</v>
      </c>
      <c r="D39">
        <f t="shared" si="11"/>
        <v>0</v>
      </c>
      <c r="E39" s="17" t="str">
        <f>+IF('bid input'!P4=1,"Y","N")</f>
        <v>Y</v>
      </c>
      <c r="F39" s="4"/>
      <c r="G39" s="2">
        <f>+IF(AND($E39="Y",$C39=G$2,$C39&gt;0),'bid input'!$F4,IF(AND($E39="Y",$D39=G$3,$C39=0),'bid input'!$F4,0))*G$4</f>
        <v>0</v>
      </c>
      <c r="H39" s="2">
        <f>+IF(AND($E39="Y",$C39=H$2,$C39&gt;0),'bid input'!$F4,IF(AND($E39="Y",$D39=H$3,$C39=0),'bid input'!$F4,0))*H$4</f>
        <v>75137</v>
      </c>
      <c r="I39" s="2">
        <f>+IF(AND($E39="Y",$C39=I$2,$C39&gt;0),'bid input'!$F4,IF(AND($E39="Y",$D39=I$3,$C39=0),'bid input'!$F4,0))*I$4</f>
        <v>0</v>
      </c>
      <c r="J39" s="2">
        <f>+IF(AND($E39="Y",$C39=J$2,$C39&gt;0),'bid input'!$F4,IF(AND($E39="Y",$D39=J$3,$C39=0),'bid input'!$F4,0))*J$4</f>
        <v>0</v>
      </c>
      <c r="K39" s="2">
        <f>+IF(AND($E39="Y",$C39=K$2,$C39&gt;0),'bid input'!$F4,IF(AND($E39="Y",$D39=K$3,$C39=0),'bid input'!$F4,0))*K$4</f>
        <v>0</v>
      </c>
      <c r="L39" s="2">
        <f>+IF(AND($E39="Y",$C39=L$2,$C39&gt;0),'bid input'!$F4,IF(AND($E39="Y",$D39=L$3,$C39=0),'bid input'!$F4,0))*L$4</f>
        <v>0</v>
      </c>
      <c r="M39" s="2">
        <f t="shared" si="12"/>
        <v>75137</v>
      </c>
    </row>
    <row r="40" spans="1:13" ht="14.1" customHeight="1" outlineLevel="1">
      <c r="B40">
        <f t="shared" si="11"/>
        <v>1104152</v>
      </c>
      <c r="C40">
        <f t="shared" si="11"/>
        <v>0</v>
      </c>
      <c r="D40" t="str">
        <f t="shared" si="11"/>
        <v>Prime Lending</v>
      </c>
      <c r="E40" s="17" t="str">
        <f>+IF('bid input'!P5=1,"Y","N")</f>
        <v>Y</v>
      </c>
      <c r="F40" s="4"/>
      <c r="G40" s="2">
        <f>+IF(AND($E40="Y",$C40=G$2,$C40&gt;0),'bid input'!$F5,IF(AND($E40="Y",$D40=G$3,$C40=0),'bid input'!$F5,0))*G$4</f>
        <v>0</v>
      </c>
      <c r="H40" s="2">
        <f>+IF(AND($E40="Y",$C40=H$2,$C40&gt;0),'bid input'!$F5,IF(AND($E40="Y",$D40=H$3,$C40=0),'bid input'!$F5,0))*H$4</f>
        <v>0</v>
      </c>
      <c r="I40" s="2">
        <f>+IF(AND($E40="Y",$C40=I$2,$C40&gt;0),'bid input'!$F5,IF(AND($E40="Y",$D40=I$3,$C40=0),'bid input'!$F5,0))*I$4</f>
        <v>95975</v>
      </c>
      <c r="J40" s="2">
        <f>+IF(AND($E40="Y",$C40=J$2,$C40&gt;0),'bid input'!$F5,IF(AND($E40="Y",$D40=J$3,$C40=0),'bid input'!$F5,0))*J$4</f>
        <v>105080</v>
      </c>
      <c r="K40" s="2">
        <f>+IF(AND($E40="Y",$C40=K$2,$C40&gt;0),'bid input'!$F5,IF(AND($E40="Y",$D40=K$3,$C40=0),'bid input'!$F5,0))*K$4</f>
        <v>0</v>
      </c>
      <c r="L40" s="2">
        <f>+IF(AND($E40="Y",$C40=L$2,$C40&gt;0),'bid input'!$F5,IF(AND($E40="Y",$D40=L$3,$C40=0),'bid input'!$F5,0))*L$4</f>
        <v>0</v>
      </c>
      <c r="M40" s="2">
        <f t="shared" si="12"/>
        <v>201055</v>
      </c>
    </row>
    <row r="41" spans="1:13" ht="14.1" customHeight="1" outlineLevel="1">
      <c r="B41">
        <f t="shared" si="11"/>
        <v>1104136</v>
      </c>
      <c r="C41">
        <f t="shared" si="11"/>
        <v>4</v>
      </c>
      <c r="D41">
        <f t="shared" si="11"/>
        <v>0</v>
      </c>
      <c r="E41" s="17" t="str">
        <f>+IF('bid input'!P6=1,"Y","N")</f>
        <v>Y</v>
      </c>
      <c r="F41" s="4"/>
      <c r="G41" s="2">
        <f>+IF(AND($E41="Y",$C41=G$2,$C41&gt;0),'bid input'!$F6,IF(AND($E41="Y",$D41=G$3,$C41=0),'bid input'!$F6,0))*G$4</f>
        <v>0</v>
      </c>
      <c r="H41" s="2">
        <f>+IF(AND($E41="Y",$C41=H$2,$C41&gt;0),'bid input'!$F6,IF(AND($E41="Y",$D41=H$3,$C41=0),'bid input'!$F6,0))*H$4</f>
        <v>0</v>
      </c>
      <c r="I41" s="2">
        <f>+IF(AND($E41="Y",$C41=I$2,$C41&gt;0),'bid input'!$F6,IF(AND($E41="Y",$D41=I$3,$C41=0),'bid input'!$F6,0))*I$4</f>
        <v>0</v>
      </c>
      <c r="J41" s="2">
        <f>+IF(AND($E41="Y",$C41=J$2,$C41&gt;0),'bid input'!$F6,IF(AND($E41="Y",$D41=J$3,$C41=0),'bid input'!$F6,0))*J$4</f>
        <v>105080</v>
      </c>
      <c r="K41" s="2">
        <f>+IF(AND($E41="Y",$C41=K$2,$C41&gt;0),'bid input'!$F6,IF(AND($E41="Y",$D41=K$3,$C41=0),'bid input'!$F6,0))*K$4</f>
        <v>0</v>
      </c>
      <c r="L41" s="2">
        <f>+IF(AND($E41="Y",$C41=L$2,$C41&gt;0),'bid input'!$F6,IF(AND($E41="Y",$D41=L$3,$C41=0),'bid input'!$F6,0))*L$4</f>
        <v>0</v>
      </c>
      <c r="M41" s="2">
        <f t="shared" si="12"/>
        <v>105080</v>
      </c>
    </row>
    <row r="42" spans="1:13" ht="14.1" customHeight="1" outlineLevel="1">
      <c r="B42">
        <f t="shared" si="11"/>
        <v>1104138</v>
      </c>
      <c r="C42">
        <f t="shared" si="11"/>
        <v>0</v>
      </c>
      <c r="D42" t="str">
        <f t="shared" si="11"/>
        <v>Best Loans Inc</v>
      </c>
      <c r="E42" s="17" t="str">
        <f>+IF('bid input'!P7=1,"Y","N")</f>
        <v>Y</v>
      </c>
      <c r="F42" s="4"/>
      <c r="G42" s="2">
        <f>+IF(AND($E42="Y",$C42=G$2,$C42&gt;0),'bid input'!$F7,IF(AND($E42="Y",$D42=G$3,$C42=0),'bid input'!$F7,0))*G$4</f>
        <v>0</v>
      </c>
      <c r="H42" s="2">
        <f>+IF(AND($E42="Y",$C42=H$2,$C42&gt;0),'bid input'!$F7,IF(AND($E42="Y",$D42=H$3,$C42=0),'bid input'!$F7,0))*H$4</f>
        <v>0</v>
      </c>
      <c r="I42" s="2">
        <f>+IF(AND($E42="Y",$C42=I$2,$C42&gt;0),'bid input'!$F7,IF(AND($E42="Y",$D42=I$3,$C42=0),'bid input'!$F7,0))*I$4</f>
        <v>0</v>
      </c>
      <c r="J42" s="2">
        <f>+IF(AND($E42="Y",$C42=J$2,$C42&gt;0),'bid input'!$F7,IF(AND($E42="Y",$D42=J$3,$C42=0),'bid input'!$F7,0))*J$4</f>
        <v>0</v>
      </c>
      <c r="K42" s="2">
        <f>+IF(AND($E42="Y",$C42=K$2,$C42&gt;0),'bid input'!$F7,IF(AND($E42="Y",$D42=K$3,$C42=0),'bid input'!$F7,0))*K$4</f>
        <v>103085</v>
      </c>
      <c r="L42" s="2">
        <f>+IF(AND($E42="Y",$C42=L$2,$C42&gt;0),'bid input'!$F7,IF(AND($E42="Y",$D42=L$3,$C42=0),'bid input'!$F7,0))*L$4</f>
        <v>0</v>
      </c>
      <c r="M42" s="2">
        <f t="shared" si="12"/>
        <v>103085</v>
      </c>
    </row>
    <row r="43" spans="1:13" ht="14.1" customHeight="1" outlineLevel="1">
      <c r="B43">
        <f t="shared" si="11"/>
        <v>1104139</v>
      </c>
      <c r="C43">
        <f t="shared" si="11"/>
        <v>1</v>
      </c>
      <c r="D43">
        <f t="shared" si="11"/>
        <v>0</v>
      </c>
      <c r="E43" s="17" t="str">
        <f>+IF('bid input'!P8=1,"Y","N")</f>
        <v>Y</v>
      </c>
      <c r="F43" s="4"/>
      <c r="G43" s="2">
        <f>+IF(AND($E43="Y",$C43=G$2,$C43&gt;0),'bid input'!$F8,IF(AND($E43="Y",$D43=G$3,$C43=0),'bid input'!$F8,0))*G$4</f>
        <v>63745</v>
      </c>
      <c r="H43" s="2">
        <f>+IF(AND($E43="Y",$C43=H$2,$C43&gt;0),'bid input'!$F8,IF(AND($E43="Y",$D43=H$3,$C43=0),'bid input'!$F8,0))*H$4</f>
        <v>0</v>
      </c>
      <c r="I43" s="2">
        <f>+IF(AND($E43="Y",$C43=I$2,$C43&gt;0),'bid input'!$F8,IF(AND($E43="Y",$D43=I$3,$C43=0),'bid input'!$F8,0))*I$4</f>
        <v>0</v>
      </c>
      <c r="J43" s="2">
        <f>+IF(AND($E43="Y",$C43=J$2,$C43&gt;0),'bid input'!$F8,IF(AND($E43="Y",$D43=J$3,$C43=0),'bid input'!$F8,0))*J$4</f>
        <v>0</v>
      </c>
      <c r="K43" s="2">
        <f>+IF(AND($E43="Y",$C43=K$2,$C43&gt;0),'bid input'!$F8,IF(AND($E43="Y",$D43=K$3,$C43=0),'bid input'!$F8,0))*K$4</f>
        <v>0</v>
      </c>
      <c r="L43" s="2">
        <f>+IF(AND($E43="Y",$C43=L$2,$C43&gt;0),'bid input'!$F8,IF(AND($E43="Y",$D43=L$3,$C43=0),'bid input'!$F8,0))*L$4</f>
        <v>0</v>
      </c>
      <c r="M43" s="2">
        <f t="shared" si="12"/>
        <v>63745</v>
      </c>
    </row>
    <row r="44" spans="1:13" ht="14.1" customHeight="1" outlineLevel="1">
      <c r="B44">
        <f t="shared" si="11"/>
        <v>1104140</v>
      </c>
      <c r="C44">
        <f t="shared" si="11"/>
        <v>5</v>
      </c>
      <c r="D44">
        <f t="shared" si="11"/>
        <v>0</v>
      </c>
      <c r="E44" s="17" t="str">
        <f>+IF('bid input'!P9=1,"Y","N")</f>
        <v>Y</v>
      </c>
      <c r="F44" s="4"/>
      <c r="G44" s="2">
        <f>+IF(AND($E44="Y",$C44=G$2,$C44&gt;0),'bid input'!$F9,IF(AND($E44="Y",$D44=G$3,$C44=0),'bid input'!$F9,0))*G$4</f>
        <v>0</v>
      </c>
      <c r="H44" s="2">
        <f>+IF(AND($E44="Y",$C44=H$2,$C44&gt;0),'bid input'!$F9,IF(AND($E44="Y",$D44=H$3,$C44=0),'bid input'!$F9,0))*H$4</f>
        <v>0</v>
      </c>
      <c r="I44" s="2">
        <f>+IF(AND($E44="Y",$C44=I$2,$C44&gt;0),'bid input'!$F9,IF(AND($E44="Y",$D44=I$3,$C44=0),'bid input'!$F9,0))*I$4</f>
        <v>0</v>
      </c>
      <c r="J44" s="2">
        <f>+IF(AND($E44="Y",$C44=J$2,$C44&gt;0),'bid input'!$F9,IF(AND($E44="Y",$D44=J$3,$C44=0),'bid input'!$F9,0))*J$4</f>
        <v>0</v>
      </c>
      <c r="K44" s="2">
        <f>+IF(AND($E44="Y",$C44=K$2,$C44&gt;0),'bid input'!$F9,IF(AND($E44="Y",$D44=K$3,$C44=0),'bid input'!$F9,0))*K$4</f>
        <v>103085</v>
      </c>
      <c r="L44" s="2">
        <f>+IF(AND($E44="Y",$C44=L$2,$C44&gt;0),'bid input'!$F9,IF(AND($E44="Y",$D44=L$3,$C44=0),'bid input'!$F9,0))*L$4</f>
        <v>0</v>
      </c>
      <c r="M44" s="2">
        <f t="shared" si="12"/>
        <v>103085</v>
      </c>
    </row>
    <row r="45" spans="1:13" ht="14.1" customHeight="1" outlineLevel="1">
      <c r="B45">
        <f t="shared" si="11"/>
        <v>1104141</v>
      </c>
      <c r="C45">
        <f t="shared" si="11"/>
        <v>5</v>
      </c>
      <c r="D45">
        <f t="shared" si="11"/>
        <v>0</v>
      </c>
      <c r="E45" s="17" t="str">
        <f>+IF('bid input'!P10=1,"Y","N")</f>
        <v>Y</v>
      </c>
      <c r="F45" s="4"/>
      <c r="G45" s="2">
        <f>+IF(AND($E45="Y",$C45=G$2,$C45&gt;0),'bid input'!$F10,IF(AND($E45="Y",$D45=G$3,$C45=0),'bid input'!$F10,0))*G$4</f>
        <v>0</v>
      </c>
      <c r="H45" s="2">
        <f>+IF(AND($E45="Y",$C45=H$2,$C45&gt;0),'bid input'!$F10,IF(AND($E45="Y",$D45=H$3,$C45=0),'bid input'!$F10,0))*H$4</f>
        <v>0</v>
      </c>
      <c r="I45" s="2">
        <f>+IF(AND($E45="Y",$C45=I$2,$C45&gt;0),'bid input'!$F10,IF(AND($E45="Y",$D45=I$3,$C45=0),'bid input'!$F10,0))*I$4</f>
        <v>0</v>
      </c>
      <c r="J45" s="2">
        <f>+IF(AND($E45="Y",$C45=J$2,$C45&gt;0),'bid input'!$F10,IF(AND($E45="Y",$D45=J$3,$C45=0),'bid input'!$F10,0))*J$4</f>
        <v>0</v>
      </c>
      <c r="K45" s="2">
        <f>+IF(AND($E45="Y",$C45=K$2,$C45&gt;0),'bid input'!$F10,IF(AND($E45="Y",$D45=K$3,$C45=0),'bid input'!$F10,0))*K$4</f>
        <v>103085</v>
      </c>
      <c r="L45" s="2">
        <f>+IF(AND($E45="Y",$C45=L$2,$C45&gt;0),'bid input'!$F10,IF(AND($E45="Y",$D45=L$3,$C45=0),'bid input'!$F10,0))*L$4</f>
        <v>0</v>
      </c>
      <c r="M45" s="2">
        <f t="shared" si="12"/>
        <v>103085</v>
      </c>
    </row>
    <row r="46" spans="1:13" ht="14.1" customHeight="1" outlineLevel="1">
      <c r="B46">
        <f t="shared" si="11"/>
        <v>1104159</v>
      </c>
      <c r="C46">
        <f t="shared" si="11"/>
        <v>1</v>
      </c>
      <c r="D46">
        <f t="shared" si="11"/>
        <v>0</v>
      </c>
      <c r="E46" s="17" t="str">
        <f>+IF('bid input'!P11=1,"Y","N")</f>
        <v>Y</v>
      </c>
      <c r="F46" s="4"/>
      <c r="G46" s="2">
        <f>+IF(AND($E46="Y",$C46=G$2,$C46&gt;0),'bid input'!$F11,IF(AND($E46="Y",$D46=G$3,$C46=0),'bid input'!$F11,0))*G$4</f>
        <v>63745</v>
      </c>
      <c r="H46" s="2">
        <f>+IF(AND($E46="Y",$C46=H$2,$C46&gt;0),'bid input'!$F11,IF(AND($E46="Y",$D46=H$3,$C46=0),'bid input'!$F11,0))*H$4</f>
        <v>0</v>
      </c>
      <c r="I46" s="2">
        <f>+IF(AND($E46="Y",$C46=I$2,$C46&gt;0),'bid input'!$F11,IF(AND($E46="Y",$D46=I$3,$C46=0),'bid input'!$F11,0))*I$4</f>
        <v>0</v>
      </c>
      <c r="J46" s="2">
        <f>+IF(AND($E46="Y",$C46=J$2,$C46&gt;0),'bid input'!$F11,IF(AND($E46="Y",$D46=J$3,$C46=0),'bid input'!$F11,0))*J$4</f>
        <v>0</v>
      </c>
      <c r="K46" s="2">
        <f>+IF(AND($E46="Y",$C46=K$2,$C46&gt;0),'bid input'!$F11,IF(AND($E46="Y",$D46=K$3,$C46=0),'bid input'!$F11,0))*K$4</f>
        <v>0</v>
      </c>
      <c r="L46" s="2">
        <f>+IF(AND($E46="Y",$C46=L$2,$C46&gt;0),'bid input'!$F11,IF(AND($E46="Y",$D46=L$3,$C46=0),'bid input'!$F11,0))*L$4</f>
        <v>0</v>
      </c>
      <c r="M46" s="2">
        <f t="shared" si="12"/>
        <v>63745</v>
      </c>
    </row>
    <row r="47" spans="1:13" ht="14.1" customHeight="1" outlineLevel="1">
      <c r="B47">
        <f t="shared" si="11"/>
        <v>1104161</v>
      </c>
      <c r="C47">
        <f t="shared" si="11"/>
        <v>4</v>
      </c>
      <c r="D47">
        <f t="shared" si="11"/>
        <v>0</v>
      </c>
      <c r="E47" s="17" t="str">
        <f>+IF('bid input'!P12=1,"Y","N")</f>
        <v>Y</v>
      </c>
      <c r="F47" s="4"/>
      <c r="G47" s="2">
        <f>+IF(AND($E47="Y",$C47=G$2,$C47&gt;0),'bid input'!$F12,IF(AND($E47="Y",$D47=G$3,$C47=0),'bid input'!$F12,0))*G$4</f>
        <v>0</v>
      </c>
      <c r="H47" s="2">
        <f>+IF(AND($E47="Y",$C47=H$2,$C47&gt;0),'bid input'!$F12,IF(AND($E47="Y",$D47=H$3,$C47=0),'bid input'!$F12,0))*H$4</f>
        <v>0</v>
      </c>
      <c r="I47" s="2">
        <f>+IF(AND($E47="Y",$C47=I$2,$C47&gt;0),'bid input'!$F12,IF(AND($E47="Y",$D47=I$3,$C47=0),'bid input'!$F12,0))*I$4</f>
        <v>0</v>
      </c>
      <c r="J47" s="2">
        <f>+IF(AND($E47="Y",$C47=J$2,$C47&gt;0),'bid input'!$F12,IF(AND($E47="Y",$D47=J$3,$C47=0),'bid input'!$F12,0))*J$4</f>
        <v>105080</v>
      </c>
      <c r="K47" s="2">
        <f>+IF(AND($E47="Y",$C47=K$2,$C47&gt;0),'bid input'!$F12,IF(AND($E47="Y",$D47=K$3,$C47=0),'bid input'!$F12,0))*K$4</f>
        <v>0</v>
      </c>
      <c r="L47" s="2">
        <f>+IF(AND($E47="Y",$C47=L$2,$C47&gt;0),'bid input'!$F12,IF(AND($E47="Y",$D47=L$3,$C47=0),'bid input'!$F12,0))*L$4</f>
        <v>0</v>
      </c>
      <c r="M47" s="2">
        <f t="shared" si="12"/>
        <v>105080</v>
      </c>
    </row>
    <row r="48" spans="1:13" ht="14.1" customHeight="1" outlineLevel="1">
      <c r="B48">
        <f t="shared" si="11"/>
        <v>1104145</v>
      </c>
      <c r="C48">
        <f t="shared" si="11"/>
        <v>1</v>
      </c>
      <c r="D48">
        <f t="shared" si="11"/>
        <v>0</v>
      </c>
      <c r="E48" s="17" t="str">
        <f>+IF('bid input'!P13=1,"Y","N")</f>
        <v>Y</v>
      </c>
      <c r="F48" s="4"/>
      <c r="G48" s="2">
        <f>+IF(AND($E48="Y",$C48=G$2,$C48&gt;0),'bid input'!$F13,IF(AND($E48="Y",$D48=G$3,$C48=0),'bid input'!$F13,0))*G$4</f>
        <v>31872.5</v>
      </c>
      <c r="H48" s="2">
        <f>+IF(AND($E48="Y",$C48=H$2,$C48&gt;0),'bid input'!$F13,IF(AND($E48="Y",$D48=H$3,$C48=0),'bid input'!$F13,0))*H$4</f>
        <v>0</v>
      </c>
      <c r="I48" s="2">
        <f>+IF(AND($E48="Y",$C48=I$2,$C48&gt;0),'bid input'!$F13,IF(AND($E48="Y",$D48=I$3,$C48=0),'bid input'!$F13,0))*I$4</f>
        <v>0</v>
      </c>
      <c r="J48" s="2">
        <f>+IF(AND($E48="Y",$C48=J$2,$C48&gt;0),'bid input'!$F13,IF(AND($E48="Y",$D48=J$3,$C48=0),'bid input'!$F13,0))*J$4</f>
        <v>0</v>
      </c>
      <c r="K48" s="2">
        <f>+IF(AND($E48="Y",$C48=K$2,$C48&gt;0),'bid input'!$F13,IF(AND($E48="Y",$D48=K$3,$C48=0),'bid input'!$F13,0))*K$4</f>
        <v>0</v>
      </c>
      <c r="L48" s="2">
        <f>+IF(AND($E48="Y",$C48=L$2,$C48&gt;0),'bid input'!$F13,IF(AND($E48="Y",$D48=L$3,$C48=0),'bid input'!$F13,0))*L$4</f>
        <v>0</v>
      </c>
      <c r="M48" s="2">
        <f t="shared" si="12"/>
        <v>31872.5</v>
      </c>
    </row>
    <row r="49" spans="1:13" ht="14.1" customHeight="1" outlineLevel="1">
      <c r="B49">
        <f t="shared" si="11"/>
        <v>1104133</v>
      </c>
      <c r="C49">
        <f t="shared" si="11"/>
        <v>4</v>
      </c>
      <c r="D49">
        <f t="shared" si="11"/>
        <v>0</v>
      </c>
      <c r="E49" s="17" t="str">
        <f>+IF('bid input'!P14=1,"Y","N")</f>
        <v>Y</v>
      </c>
      <c r="F49" s="4"/>
      <c r="G49" s="2">
        <f>+IF(AND($E49="Y",$C49=G$2,$C49&gt;0),'bid input'!$F14,IF(AND($E49="Y",$D49=G$3,$C49=0),'bid input'!$F14,0))*G$4</f>
        <v>0</v>
      </c>
      <c r="H49" s="2">
        <f>+IF(AND($E49="Y",$C49=H$2,$C49&gt;0),'bid input'!$F14,IF(AND($E49="Y",$D49=H$3,$C49=0),'bid input'!$F14,0))*H$4</f>
        <v>0</v>
      </c>
      <c r="I49" s="2">
        <f>+IF(AND($E49="Y",$C49=I$2,$C49&gt;0),'bid input'!$F14,IF(AND($E49="Y",$D49=I$3,$C49=0),'bid input'!$F14,0))*I$4</f>
        <v>0</v>
      </c>
      <c r="J49" s="2">
        <f>+IF(AND($E49="Y",$C49=J$2,$C49&gt;0),'bid input'!$F14,IF(AND($E49="Y",$D49=J$3,$C49=0),'bid input'!$F14,0))*J$4</f>
        <v>105080</v>
      </c>
      <c r="K49" s="2">
        <f>+IF(AND($E49="Y",$C49=K$2,$C49&gt;0),'bid input'!$F14,IF(AND($E49="Y",$D49=K$3,$C49=0),'bid input'!$F14,0))*K$4</f>
        <v>0</v>
      </c>
      <c r="L49" s="2">
        <f>+IF(AND($E49="Y",$C49=L$2,$C49&gt;0),'bid input'!$F14,IF(AND($E49="Y",$D49=L$3,$C49=0),'bid input'!$F14,0))*L$4</f>
        <v>0</v>
      </c>
      <c r="M49" s="2">
        <f t="shared" si="12"/>
        <v>105080</v>
      </c>
    </row>
    <row r="50" spans="1:13" ht="14.1" customHeight="1" outlineLevel="1">
      <c r="B50">
        <f t="shared" si="11"/>
        <v>1104149</v>
      </c>
      <c r="C50">
        <f t="shared" si="11"/>
        <v>5</v>
      </c>
      <c r="D50">
        <f t="shared" si="11"/>
        <v>0</v>
      </c>
      <c r="E50" s="17" t="str">
        <f>+IF('bid input'!P15=1,"Y","N")</f>
        <v>Y</v>
      </c>
      <c r="F50" s="4"/>
      <c r="G50" s="2">
        <f>+IF(AND($E50="Y",$C50=G$2,$C50&gt;0),'bid input'!$F15,IF(AND($E50="Y",$D50=G$3,$C50=0),'bid input'!$F15,0))*G$4</f>
        <v>0</v>
      </c>
      <c r="H50" s="2">
        <f>+IF(AND($E50="Y",$C50=H$2,$C50&gt;0),'bid input'!$F15,IF(AND($E50="Y",$D50=H$3,$C50=0),'bid input'!$F15,0))*H$4</f>
        <v>0</v>
      </c>
      <c r="I50" s="2">
        <f>+IF(AND($E50="Y",$C50=I$2,$C50&gt;0),'bid input'!$F15,IF(AND($E50="Y",$D50=I$3,$C50=0),'bid input'!$F15,0))*I$4</f>
        <v>0</v>
      </c>
      <c r="J50" s="2">
        <f>+IF(AND($E50="Y",$C50=J$2,$C50&gt;0),'bid input'!$F15,IF(AND($E50="Y",$D50=J$3,$C50=0),'bid input'!$F15,0))*J$4</f>
        <v>0</v>
      </c>
      <c r="K50" s="2">
        <f>+IF(AND($E50="Y",$C50=K$2,$C50&gt;0),'bid input'!$F15,IF(AND($E50="Y",$D50=K$3,$C50=0),'bid input'!$F15,0))*K$4</f>
        <v>103085</v>
      </c>
      <c r="L50" s="2">
        <f>+IF(AND($E50="Y",$C50=L$2,$C50&gt;0),'bid input'!$F15,IF(AND($E50="Y",$D50=L$3,$C50=0),'bid input'!$F15,0))*L$4</f>
        <v>0</v>
      </c>
      <c r="M50" s="2">
        <f t="shared" si="12"/>
        <v>103085</v>
      </c>
    </row>
    <row r="51" spans="1:13" ht="14.1" customHeight="1" outlineLevel="1">
      <c r="B51">
        <f t="shared" si="11"/>
        <v>1104151</v>
      </c>
      <c r="C51">
        <f t="shared" si="11"/>
        <v>1</v>
      </c>
      <c r="D51">
        <f t="shared" si="11"/>
        <v>0</v>
      </c>
      <c r="E51" s="17" t="str">
        <f>+IF('bid input'!P16=1,"Y","N")</f>
        <v>Y</v>
      </c>
      <c r="F51" s="4"/>
      <c r="G51" s="70">
        <v>31872.5</v>
      </c>
      <c r="H51" s="2">
        <f>+IF(AND($E51="Y",$C51=H$2,$C51&gt;0),'bid input'!$F16,IF(AND($E51="Y",$D51=H$3,$C51=0),'bid input'!$F16,0))*H$4</f>
        <v>0</v>
      </c>
      <c r="I51" s="2">
        <f>+IF(AND($E51="Y",$C51=I$2,$C51&gt;0),'bid input'!$F16,IF(AND($E51="Y",$D51=I$3,$C51=0),'bid input'!$F16,0))*I$4</f>
        <v>0</v>
      </c>
      <c r="J51" s="2">
        <f>+IF(AND($E51="Y",$C51=J$2,$C51&gt;0),'bid input'!$F16,IF(AND($E51="Y",$D51=J$3,$C51=0),'bid input'!$F16,0))*J$4</f>
        <v>0</v>
      </c>
      <c r="K51" s="2">
        <f>+IF(AND($E51="Y",$C51=K$2,$C51&gt;0),'bid input'!$F16,IF(AND($E51="Y",$D51=K$3,$C51=0),'bid input'!$F16,0))*K$4</f>
        <v>0</v>
      </c>
      <c r="L51" s="2">
        <f>+IF(AND($E51="Y",$C51=L$2,$C51&gt;0),'bid input'!$F16,IF(AND($E51="Y",$D51=L$3,$C51=0),'bid input'!$F16,0))*L$4</f>
        <v>0</v>
      </c>
      <c r="M51" s="2">
        <f t="shared" si="12"/>
        <v>31872.5</v>
      </c>
    </row>
    <row r="52" spans="1:13" ht="14.1" customHeight="1" outlineLevel="1">
      <c r="B52">
        <f t="shared" si="11"/>
        <v>1104131</v>
      </c>
      <c r="C52">
        <f t="shared" si="11"/>
        <v>4</v>
      </c>
      <c r="D52">
        <f t="shared" si="11"/>
        <v>0</v>
      </c>
      <c r="E52" s="17" t="str">
        <f>+IF('bid input'!P17=1,"Y","N")</f>
        <v>Y</v>
      </c>
      <c r="F52" s="4"/>
      <c r="G52" s="2">
        <f>+IF(AND($E52="Y",$C52=G$2,$C52&gt;0),'bid input'!$F17,IF(AND($E52="Y",$D52=G$3,$C52=0),'bid input'!$F17,0))*G$4</f>
        <v>0</v>
      </c>
      <c r="H52" s="2">
        <f>+IF(AND($E52="Y",$C52=H$2,$C52&gt;0),'bid input'!$F17,IF(AND($E52="Y",$D52=H$3,$C52=0),'bid input'!$F17,0))*H$4</f>
        <v>0</v>
      </c>
      <c r="I52" s="2">
        <f>+IF(AND($E52="Y",$C52=I$2,$C52&gt;0),'bid input'!$F17,IF(AND($E52="Y",$D52=I$3,$C52=0),'bid input'!$F17,0))*I$4</f>
        <v>0</v>
      </c>
      <c r="J52" s="2">
        <f>+IF(AND($E52="Y",$C52=J$2,$C52&gt;0),'bid input'!$F17,IF(AND($E52="Y",$D52=J$3,$C52=0),'bid input'!$F17,0))*J$4</f>
        <v>105080</v>
      </c>
      <c r="K52" s="2">
        <f>+IF(AND($E52="Y",$C52=K$2,$C52&gt;0),'bid input'!$F17,IF(AND($E52="Y",$D52=K$3,$C52=0),'bid input'!$F17,0))*K$4</f>
        <v>0</v>
      </c>
      <c r="L52" s="2">
        <f>+IF(AND($E52="Y",$C52=L$2,$C52&gt;0),'bid input'!$F17,IF(AND($E52="Y",$D52=L$3,$C52=0),'bid input'!$F17,0))*L$4</f>
        <v>0</v>
      </c>
      <c r="M52" s="2">
        <f t="shared" si="12"/>
        <v>105080</v>
      </c>
    </row>
    <row r="53" spans="1:13" ht="14.1" customHeight="1" outlineLevel="1">
      <c r="B53">
        <f t="shared" si="11"/>
        <v>1104155</v>
      </c>
      <c r="C53">
        <f t="shared" si="11"/>
        <v>0</v>
      </c>
      <c r="D53" t="str">
        <f t="shared" si="11"/>
        <v>Best Loans Inc</v>
      </c>
      <c r="E53" s="17" t="str">
        <f>+IF('bid input'!P18=1,"Y","N")</f>
        <v>Y</v>
      </c>
      <c r="F53" s="4"/>
      <c r="G53" s="2">
        <f>+IF(AND($E53="Y",$C53=G$2,$C53&gt;0),'bid input'!$F18,IF(AND($E53="Y",$D53=G$3,$C53=0),'bid input'!$F18,0))*G$4</f>
        <v>0</v>
      </c>
      <c r="H53" s="2">
        <f>+IF(AND($E53="Y",$C53=H$2,$C53&gt;0),'bid input'!$F18,IF(AND($E53="Y",$D53=H$3,$C53=0),'bid input'!$F18,0))*H$4</f>
        <v>0</v>
      </c>
      <c r="I53" s="2">
        <f>+IF(AND($E53="Y",$C53=I$2,$C53&gt;0),'bid input'!$F18,IF(AND($E53="Y",$D53=I$3,$C53=0),'bid input'!$F18,0))*I$4</f>
        <v>0</v>
      </c>
      <c r="J53" s="2">
        <f>+IF(AND($E53="Y",$C53=J$2,$C53&gt;0),'bid input'!$F18,IF(AND($E53="Y",$D53=J$3,$C53=0),'bid input'!$F18,0))*J$4</f>
        <v>0</v>
      </c>
      <c r="K53" s="2">
        <f>+IF(AND($E53="Y",$C53=K$2,$C53&gt;0),'bid input'!$F18,IF(AND($E53="Y",$D53=K$3,$C53=0),'bid input'!$F18,0))*K$4</f>
        <v>103085</v>
      </c>
      <c r="L53" s="2">
        <f>+IF(AND($E53="Y",$C53=L$2,$C53&gt;0),'bid input'!$F18,IF(AND($E53="Y",$D53=L$3,$C53=0),'bid input'!$F18,0))*L$4</f>
        <v>0</v>
      </c>
      <c r="M53" s="2">
        <f t="shared" si="12"/>
        <v>103085</v>
      </c>
    </row>
    <row r="54" spans="1:13" ht="14.1" customHeight="1" outlineLevel="1">
      <c r="B54">
        <f t="shared" si="11"/>
        <v>1104156</v>
      </c>
      <c r="C54">
        <f t="shared" si="11"/>
        <v>2</v>
      </c>
      <c r="D54">
        <f t="shared" si="11"/>
        <v>0</v>
      </c>
      <c r="E54" s="17" t="str">
        <f>+IF('bid input'!P19=1,"Y","N")</f>
        <v>Y</v>
      </c>
      <c r="F54" s="4"/>
      <c r="G54" s="2">
        <f>+IF(AND($E54="Y",$C54=G$2,$C54&gt;0),'bid input'!$F19,IF(AND($E54="Y",$D54=G$3,$C54=0),'bid input'!$F19,0))*G$4</f>
        <v>0</v>
      </c>
      <c r="H54" s="2">
        <f>+IF(AND($E54="Y",$C54=H$2,$C54&gt;0),'bid input'!$F19,IF(AND($E54="Y",$D54=H$3,$C54=0),'bid input'!$F19,0))*H$4</f>
        <v>75137</v>
      </c>
      <c r="I54" s="2">
        <f>+IF(AND($E54="Y",$C54=I$2,$C54&gt;0),'bid input'!$F19,IF(AND($E54="Y",$D54=I$3,$C54=0),'bid input'!$F19,0))*I$4</f>
        <v>0</v>
      </c>
      <c r="J54" s="2">
        <f>+IF(AND($E54="Y",$C54=J$2,$C54&gt;0),'bid input'!$F19,IF(AND($E54="Y",$D54=J$3,$C54=0),'bid input'!$F19,0))*J$4</f>
        <v>0</v>
      </c>
      <c r="K54" s="2">
        <f>+IF(AND($E54="Y",$C54=K$2,$C54&gt;0),'bid input'!$F19,IF(AND($E54="Y",$D54=K$3,$C54=0),'bid input'!$F19,0))*K$4</f>
        <v>0</v>
      </c>
      <c r="L54" s="2">
        <f>+IF(AND($E54="Y",$C54=L$2,$C54&gt;0),'bid input'!$F19,IF(AND($E54="Y",$D54=L$3,$C54=0),'bid input'!$F19,0))*L$4</f>
        <v>0</v>
      </c>
      <c r="M54" s="2">
        <f t="shared" si="12"/>
        <v>75137</v>
      </c>
    </row>
    <row r="55" spans="1:13" ht="14.1" customHeight="1" outlineLevel="1">
      <c r="B55">
        <f t="shared" si="11"/>
        <v>1104157</v>
      </c>
      <c r="C55">
        <f t="shared" si="11"/>
        <v>0</v>
      </c>
      <c r="D55" t="str">
        <f t="shared" si="11"/>
        <v>Best Loans Inc</v>
      </c>
      <c r="E55" s="17" t="str">
        <f>+IF('bid input'!P20=1,"Y","N")</f>
        <v>Y</v>
      </c>
      <c r="F55" s="4"/>
      <c r="G55" s="2">
        <f>+IF(AND($E55="Y",$C55=G$2,$C55&gt;0),'bid input'!$F20,IF(AND($E55="Y",$D55=G$3,$C55=0),'bid input'!$F20,0))*G$4</f>
        <v>0</v>
      </c>
      <c r="H55" s="2">
        <f>+IF(AND($E55="Y",$C55=H$2,$C55&gt;0),'bid input'!$F20,IF(AND($E55="Y",$D55=H$3,$C55=0),'bid input'!$F20,0))*H$4</f>
        <v>0</v>
      </c>
      <c r="I55" s="2">
        <f>+IF(AND($E55="Y",$C55=I$2,$C55&gt;0),'bid input'!$F20,IF(AND($E55="Y",$D55=I$3,$C55=0),'bid input'!$F20,0))*I$4</f>
        <v>0</v>
      </c>
      <c r="J55" s="2">
        <f>+IF(AND($E55="Y",$C55=J$2,$C55&gt;0),'bid input'!$F20,IF(AND($E55="Y",$D55=J$3,$C55=0),'bid input'!$F20,0))*J$4</f>
        <v>0</v>
      </c>
      <c r="K55" s="70"/>
      <c r="L55" s="2">
        <f>+IF(AND($E55="Y",$C55=L$2,$C55&gt;0),'bid input'!$F20,IF(AND($E55="Y",$D55=L$3,$C55=0),'bid input'!$F20,0))*L$4</f>
        <v>0</v>
      </c>
      <c r="M55" s="2">
        <f t="shared" si="12"/>
        <v>0</v>
      </c>
    </row>
    <row r="56" spans="1:13" ht="14.1" customHeight="1" outlineLevel="1">
      <c r="B56">
        <f t="shared" si="11"/>
        <v>1104158</v>
      </c>
      <c r="C56">
        <f t="shared" si="11"/>
        <v>1</v>
      </c>
      <c r="D56">
        <f t="shared" si="11"/>
        <v>0</v>
      </c>
      <c r="E56" s="17" t="str">
        <f>+IF('bid input'!P21=1,"Y","N")</f>
        <v>Y</v>
      </c>
      <c r="F56" s="4"/>
      <c r="G56" s="70"/>
      <c r="H56" s="2">
        <f>+IF(AND($E56="Y",$C56=H$2,$C56&gt;0),'bid input'!$F21,IF(AND($E56="Y",$D56=H$3,$C56=0),'bid input'!$F21,0))*H$4</f>
        <v>0</v>
      </c>
      <c r="I56" s="2">
        <f>+IF(AND($E56="Y",$C56=I$2,$C56&gt;0),'bid input'!$F21,IF(AND($E56="Y",$D56=I$3,$C56=0),'bid input'!$F21,0))*I$4</f>
        <v>0</v>
      </c>
      <c r="J56" s="2">
        <f>+IF(AND($E56="Y",$C56=J$2,$C56&gt;0),'bid input'!$F21,IF(AND($E56="Y",$D56=J$3,$C56=0),'bid input'!$F21,0))*J$4</f>
        <v>0</v>
      </c>
      <c r="K56" s="2">
        <f>+IF(AND($E56="Y",$C56=K$2,$C56&gt;0),'bid input'!$F21,IF(AND($E56="Y",$D56=K$3,$C56=0),'bid input'!$F21,0))*K$4</f>
        <v>0</v>
      </c>
      <c r="L56" s="2">
        <f>+IF(AND($E56="Y",$C56=L$2,$C56&gt;0),'bid input'!$F21,IF(AND($E56="Y",$D56=L$3,$C56=0),'bid input'!$F21,0))*L$4</f>
        <v>0</v>
      </c>
      <c r="M56" s="2">
        <f t="shared" si="12"/>
        <v>0</v>
      </c>
    </row>
    <row r="57" spans="1:13" ht="14.1" customHeight="1" outlineLevel="1"/>
    <row r="58" spans="1:13">
      <c r="D58" s="18" t="s">
        <v>62</v>
      </c>
      <c r="E58" s="19"/>
      <c r="F58" s="19"/>
      <c r="G58" s="20">
        <f t="shared" ref="G58:L58" si="13">SUM(G37:G57)</f>
        <v>318725</v>
      </c>
      <c r="H58" s="20">
        <f t="shared" si="13"/>
        <v>225411</v>
      </c>
      <c r="I58" s="20">
        <f t="shared" si="13"/>
        <v>95975</v>
      </c>
      <c r="J58" s="20">
        <f t="shared" si="13"/>
        <v>525400</v>
      </c>
      <c r="K58" s="20">
        <f t="shared" si="13"/>
        <v>515425</v>
      </c>
      <c r="L58" s="20">
        <f t="shared" si="13"/>
        <v>0</v>
      </c>
      <c r="M58" s="21">
        <f>SUM(G58:L58)</f>
        <v>1680936</v>
      </c>
    </row>
    <row r="59" spans="1:13">
      <c r="D59" s="22" t="s">
        <v>2</v>
      </c>
      <c r="E59" s="23"/>
      <c r="F59" s="23"/>
      <c r="G59" s="24">
        <f>+G36</f>
        <v>3.5000000000000003E-2</v>
      </c>
      <c r="H59" s="24">
        <f t="shared" ref="H59:L59" si="14">+H36</f>
        <v>3.5000000000000003E-2</v>
      </c>
      <c r="I59" s="24">
        <f t="shared" si="14"/>
        <v>3.5000000000000003E-2</v>
      </c>
      <c r="J59" s="24">
        <f t="shared" si="14"/>
        <v>3.5000000000000003E-2</v>
      </c>
      <c r="K59" s="24">
        <f t="shared" si="14"/>
        <v>3.5000000000000003E-2</v>
      </c>
      <c r="L59" s="24">
        <f t="shared" si="14"/>
        <v>3.5000000000000003E-2</v>
      </c>
      <c r="M59" s="25">
        <f>+IF(M58=0,0,SUMPRODUCT(G58:L58,G59:L59)/M58)</f>
        <v>3.5000000000000003E-2</v>
      </c>
    </row>
    <row r="60" spans="1:13">
      <c r="D60" s="36"/>
      <c r="E60" s="36"/>
      <c r="F60" s="36"/>
      <c r="G60" s="37"/>
      <c r="H60" s="37"/>
      <c r="I60" s="37"/>
      <c r="J60" s="37"/>
      <c r="K60" s="37"/>
      <c r="L60" s="37"/>
      <c r="M60" s="37"/>
    </row>
    <row r="61" spans="1:13">
      <c r="D61" t="s">
        <v>30</v>
      </c>
      <c r="G61" s="2">
        <f>+G32-G58</f>
        <v>0</v>
      </c>
      <c r="H61" s="2">
        <f t="shared" ref="H61:M61" si="15">+H32-H58</f>
        <v>150274</v>
      </c>
      <c r="I61" s="2">
        <f t="shared" si="15"/>
        <v>383900</v>
      </c>
      <c r="J61" s="2">
        <f t="shared" si="15"/>
        <v>0</v>
      </c>
      <c r="K61" s="2">
        <f t="shared" si="15"/>
        <v>0</v>
      </c>
      <c r="L61" s="2">
        <f t="shared" si="15"/>
        <v>485000</v>
      </c>
      <c r="M61" s="2">
        <f t="shared" si="15"/>
        <v>1019174</v>
      </c>
    </row>
    <row r="62" spans="1:13">
      <c r="D62" t="s">
        <v>31</v>
      </c>
      <c r="G62" s="7" t="str">
        <f>+IF(G61=0,"NA",IF(G61&lt;0,"OVER","UNDER"))</f>
        <v>NA</v>
      </c>
      <c r="H62" s="7" t="str">
        <f t="shared" ref="H62" si="16">+IF(H61=0,"NA",IF(H61&lt;0,"OVER","UNDER"))</f>
        <v>UNDER</v>
      </c>
      <c r="I62" s="7" t="str">
        <f t="shared" ref="I62" si="17">+IF(I61=0,"NA",IF(I61&lt;0,"OVER","UNDER"))</f>
        <v>UNDER</v>
      </c>
      <c r="J62" s="7" t="str">
        <f t="shared" ref="J62" si="18">+IF(J61=0,"NA",IF(J61&lt;0,"OVER","UNDER"))</f>
        <v>NA</v>
      </c>
      <c r="K62" s="7" t="str">
        <f t="shared" ref="K62" si="19">+IF(K61=0,"NA",IF(K61&lt;0,"OVER","UNDER"))</f>
        <v>NA</v>
      </c>
      <c r="L62" s="7" t="str">
        <f t="shared" ref="L62" si="20">+IF(L61=0,"NA",IF(L61&lt;0,"OVER","UNDER"))</f>
        <v>UNDER</v>
      </c>
      <c r="M62" s="7" t="str">
        <f t="shared" ref="M62" si="21">+IF(M61=0,"NA",IF(M61&lt;0,"OVER","UNDER"))</f>
        <v>UNDER</v>
      </c>
    </row>
    <row r="63" spans="1:13">
      <c r="D63" s="36"/>
      <c r="E63" s="36"/>
      <c r="F63" s="36"/>
      <c r="G63" s="37"/>
      <c r="H63" s="37"/>
      <c r="I63" s="37"/>
      <c r="J63" s="37"/>
      <c r="K63" s="37"/>
      <c r="L63" s="37"/>
      <c r="M63" s="37"/>
    </row>
    <row r="64" spans="1:13">
      <c r="A64" t="s">
        <v>37</v>
      </c>
    </row>
    <row r="65" spans="1:21">
      <c r="D65" s="28" t="s">
        <v>35</v>
      </c>
      <c r="E65" s="29"/>
      <c r="F65" s="29"/>
      <c r="G65" s="30">
        <f>+G29+G58</f>
        <v>318725</v>
      </c>
      <c r="H65" s="30">
        <f t="shared" ref="H65:L65" si="22">+H29+H58</f>
        <v>225411</v>
      </c>
      <c r="I65" s="30">
        <f t="shared" si="22"/>
        <v>95975</v>
      </c>
      <c r="J65" s="30">
        <f t="shared" si="22"/>
        <v>525400</v>
      </c>
      <c r="K65" s="30">
        <f t="shared" si="22"/>
        <v>515425</v>
      </c>
      <c r="L65" s="30">
        <f t="shared" si="22"/>
        <v>0</v>
      </c>
      <c r="M65" s="31">
        <f t="shared" ref="M65" si="23">+M29+M58</f>
        <v>1680936</v>
      </c>
    </row>
    <row r="66" spans="1:21">
      <c r="D66" s="42" t="s">
        <v>49</v>
      </c>
      <c r="E66" s="43"/>
      <c r="F66" s="43"/>
      <c r="G66" s="45">
        <f>+G65/G4</f>
        <v>1</v>
      </c>
      <c r="H66" s="45">
        <f t="shared" ref="H66:L66" si="24">+H65/H4</f>
        <v>0.6</v>
      </c>
      <c r="I66" s="45">
        <f t="shared" si="24"/>
        <v>0.2</v>
      </c>
      <c r="J66" s="45">
        <f t="shared" si="24"/>
        <v>1</v>
      </c>
      <c r="K66" s="45">
        <f t="shared" si="24"/>
        <v>1</v>
      </c>
      <c r="L66" s="45">
        <f t="shared" si="24"/>
        <v>0</v>
      </c>
      <c r="M66" s="44"/>
    </row>
    <row r="67" spans="1:21">
      <c r="D67" s="32" t="s">
        <v>2</v>
      </c>
      <c r="E67" s="33"/>
      <c r="F67" s="33"/>
      <c r="G67" s="34">
        <f>+IF(ISERR(IF(ISERR((G29*G30)+(G58*G59))/(G58+G29),G59,((G29*G30)+(G58*G59))/(G58+G29))),0,IF(ISERR((G29*G30)+(G58*G59))/(G58+G29),G59,((G29*G30)+(G58*G59))/(G58+G29)))</f>
        <v>3.5000000000000003E-2</v>
      </c>
      <c r="H67" s="34">
        <f t="shared" ref="H67:M67" si="25">+IF(ISERR(IF(ISERR((H29*H30)+(H58*H59))/(H58+H29),H59,((H29*H30)+(H58*H59))/(H58+H29))),0,IF(ISERR((H29*H30)+(H58*H59))/(H58+H29),H59,((H29*H30)+(H58*H59))/(H58+H29)))</f>
        <v>3.5000000000000003E-2</v>
      </c>
      <c r="I67" s="34">
        <f t="shared" si="25"/>
        <v>3.5000000000000003E-2</v>
      </c>
      <c r="J67" s="34">
        <f t="shared" si="25"/>
        <v>3.5000000000000003E-2</v>
      </c>
      <c r="K67" s="34">
        <f t="shared" si="25"/>
        <v>3.5000000000000003E-2</v>
      </c>
      <c r="L67" s="34">
        <f t="shared" si="25"/>
        <v>0</v>
      </c>
      <c r="M67" s="35">
        <f t="shared" si="25"/>
        <v>3.5000000000000003E-2</v>
      </c>
    </row>
    <row r="69" spans="1:21">
      <c r="A69" t="s">
        <v>38</v>
      </c>
    </row>
    <row r="70" spans="1:21" ht="30.75" outlineLevel="1">
      <c r="B70" s="16" t="s">
        <v>26</v>
      </c>
      <c r="C70" s="26" t="s">
        <v>39</v>
      </c>
      <c r="D70" s="16" t="s">
        <v>29</v>
      </c>
      <c r="E70" s="16" t="s">
        <v>41</v>
      </c>
      <c r="F70" s="38"/>
      <c r="G70" s="56" t="s">
        <v>73</v>
      </c>
      <c r="I70" s="38" t="s">
        <v>46</v>
      </c>
      <c r="J70" s="56" t="s">
        <v>72</v>
      </c>
      <c r="K70" s="56" t="s">
        <v>81</v>
      </c>
      <c r="L70" s="56" t="s">
        <v>82</v>
      </c>
      <c r="M70" s="56" t="s">
        <v>71</v>
      </c>
      <c r="N70" s="56" t="s">
        <v>80</v>
      </c>
      <c r="O70" s="56" t="s">
        <v>29</v>
      </c>
      <c r="P70" s="56" t="s">
        <v>26</v>
      </c>
      <c r="Q70" s="60"/>
      <c r="R70" s="56" t="s">
        <v>74</v>
      </c>
      <c r="S70" s="56" t="s">
        <v>71</v>
      </c>
      <c r="T70" s="56" t="s">
        <v>29</v>
      </c>
      <c r="U70" s="56" t="s">
        <v>26</v>
      </c>
    </row>
    <row r="71" spans="1:21" outlineLevel="1">
      <c r="B71">
        <f>+'bid input'!B2</f>
        <v>1104134</v>
      </c>
      <c r="C71" s="17" t="str">
        <f>+IF('bid input'!Q2=1,"Y","N")</f>
        <v>N</v>
      </c>
      <c r="D71" s="4">
        <f>+IF(C71="N",,'bid input'!K2)</f>
        <v>0</v>
      </c>
      <c r="E71" s="2">
        <f>+MIN('bid input'!D2,'bid input'!M2)</f>
        <v>187500</v>
      </c>
      <c r="F71" s="40">
        <f>+IF(D71&gt;0,E71,0)</f>
        <v>0</v>
      </c>
      <c r="G71" s="57">
        <f>+IF($F71&gt;0,RANK($D71,$D$71:$D$90,1),)</f>
        <v>0</v>
      </c>
      <c r="H71" s="3">
        <f t="shared" ref="H71" ca="1" si="26">+IF(ISERROR(VLOOKUP(B71,$J$96:$K$115,2,FALSE)),0,VLOOKUP(B71,$J$96:$K$115,2,FALSE))</f>
        <v>0</v>
      </c>
      <c r="I71" s="3">
        <f ca="1">+IF(ISERROR(VLOOKUP(B71,$J$96:$K$115,2,FALSE)),0,VLOOKUP(B71,$J$96:$K$115,2,FALSE))</f>
        <v>0</v>
      </c>
      <c r="J71" s="63">
        <f>VLOOKUP(B71,'bid input'!B:S,18,FALSE)</f>
        <v>40928.625</v>
      </c>
      <c r="K71" s="57" t="str">
        <f>IF(G71=0,"",G71)</f>
        <v/>
      </c>
      <c r="L71" s="57">
        <f>IF(ISERROR(RANK(K71,K$71:K$90,1)),0,RANK(K71,K$71:K$90,1))</f>
        <v>0</v>
      </c>
      <c r="M71" s="59">
        <f>VALUE(L71&amp;J71)</f>
        <v>40928.625</v>
      </c>
      <c r="N71" s="57">
        <f>IF(L71=0,0,COUNT(M$71:M$90)-(RANK(M71,M$71:M$90,0)+COUNTIF(M71:M$71,M71))+2)</f>
        <v>0</v>
      </c>
      <c r="O71" s="61">
        <f t="shared" ref="O71:O90" si="27">D71</f>
        <v>0</v>
      </c>
      <c r="P71" s="62">
        <f t="shared" ref="P71:P90" si="28">B71</f>
        <v>1104134</v>
      </c>
      <c r="Q71" s="65"/>
      <c r="R71" s="54">
        <f ca="1">OFFSET(N$71,MATCH(SMALL(N$71:N$90,ROW()-ROW(R$71)+1),N$71:N$90,0)-1,0)</f>
        <v>0</v>
      </c>
      <c r="S71" s="54">
        <f t="shared" ref="S71:S90" ca="1" si="29">OFFSET(M$71,MATCH(SMALL(N$71:N$90,ROW()-ROW(R$71)+1),N$71:N$90,0)-1,0)</f>
        <v>40928.625</v>
      </c>
      <c r="T71" s="61">
        <f t="shared" ref="T71:T90" ca="1" si="30">VLOOKUP(S71,M$71:O$90,3,FALSE)</f>
        <v>0</v>
      </c>
      <c r="U71" s="54">
        <f ca="1">VLOOKUP(S71,M$71:P$90,4,FALSE)</f>
        <v>1104134</v>
      </c>
    </row>
    <row r="72" spans="1:21" outlineLevel="1">
      <c r="B72">
        <f>+'bid input'!B3</f>
        <v>1104143</v>
      </c>
      <c r="C72" s="17" t="str">
        <f>+IF('bid input'!Q3=1,"Y","N")</f>
        <v>N</v>
      </c>
      <c r="D72" s="4">
        <f>+IF(C72="N",,'bid input'!K3)</f>
        <v>0</v>
      </c>
      <c r="E72" s="2">
        <f>+MIN('bid input'!D3,'bid input'!M3)</f>
        <v>500000</v>
      </c>
      <c r="F72" s="40">
        <f t="shared" ref="F72:F90" si="31">+IF(D72&gt;0,E72,0)</f>
        <v>0</v>
      </c>
      <c r="G72" s="57">
        <f t="shared" ref="G72:G90" si="32">+IF($F72&gt;0,RANK($D72,$D$71:$D$90,1),)</f>
        <v>0</v>
      </c>
      <c r="H72" s="3">
        <f ca="1">+IF(ISERROR(VLOOKUP(B72,$J$96:$K$115,2,FALSE)),0,VLOOKUP(B72,$J$96:$K$115,2,FALSE))</f>
        <v>0</v>
      </c>
      <c r="I72" s="3">
        <f t="shared" ref="I72:I91" ca="1" si="33">+IF(ISERROR(VLOOKUP(B72,$J$96:$K$115,2,FALSE)),0,VLOOKUP(B72,$J$96:$K$115,2,FALSE))</f>
        <v>0</v>
      </c>
      <c r="J72" s="63">
        <f>VLOOKUP(B72,'bid input'!B:S,18,FALSE)</f>
        <v>40928.625</v>
      </c>
      <c r="K72" s="57" t="str">
        <f t="shared" ref="K72:K90" si="34">IF(G72=0,"",G72)</f>
        <v/>
      </c>
      <c r="L72" s="57">
        <f t="shared" ref="L72:L90" si="35">IF(ISERROR(RANK(K72,K$71:K$90,1)),0,RANK(K72,K$71:K$90,1))</f>
        <v>0</v>
      </c>
      <c r="M72" s="59">
        <f t="shared" ref="M72:M90" si="36">VALUE(L72&amp;J72)</f>
        <v>40928.625</v>
      </c>
      <c r="N72" s="57">
        <f>IF(L72=0,0,COUNT(M$71:M$90)-(RANK(M72,M$71:M$90,0)+COUNTIF(M$71:M72,M72))+2)</f>
        <v>0</v>
      </c>
      <c r="O72" s="61">
        <f t="shared" si="27"/>
        <v>0</v>
      </c>
      <c r="P72" s="62">
        <f t="shared" si="28"/>
        <v>1104143</v>
      </c>
      <c r="Q72" s="65"/>
      <c r="R72" s="54">
        <f t="shared" ref="R72:R90" ca="1" si="37">OFFSET(N$71,MATCH(SMALL(N$71:N$90,ROW()-ROW(R$71)+1),N$71:N$90,0)-1,0)</f>
        <v>0</v>
      </c>
      <c r="S72" s="54">
        <f t="shared" ca="1" si="29"/>
        <v>40928.625</v>
      </c>
      <c r="T72" s="61">
        <f t="shared" ca="1" si="30"/>
        <v>0</v>
      </c>
      <c r="U72" s="54">
        <f t="shared" ref="U72:U90" ca="1" si="38">VLOOKUP(S72,M$71:P$90,4,FALSE)</f>
        <v>1104134</v>
      </c>
    </row>
    <row r="73" spans="1:21" outlineLevel="1">
      <c r="B73">
        <f>+'bid input'!B4</f>
        <v>1104154</v>
      </c>
      <c r="C73" s="17" t="str">
        <f>+IF('bid input'!Q4=1,"Y","N")</f>
        <v>N</v>
      </c>
      <c r="D73" s="4">
        <f>+IF(C73="N",,'bid input'!K4)</f>
        <v>0</v>
      </c>
      <c r="E73" s="2">
        <f>+MIN('bid input'!D4,'bid input'!M4)</f>
        <v>185000</v>
      </c>
      <c r="F73" s="40">
        <f t="shared" si="31"/>
        <v>0</v>
      </c>
      <c r="G73" s="57">
        <f t="shared" si="32"/>
        <v>0</v>
      </c>
      <c r="H73" s="3">
        <f t="shared" ref="H73:H90" ca="1" si="39">+IF(ISERROR(VLOOKUP(B73,$J$96:$K$115,2,FALSE)),0,VLOOKUP(B73,$J$96:$K$115,2,FALSE))</f>
        <v>0</v>
      </c>
      <c r="I73" s="3">
        <f t="shared" ca="1" si="33"/>
        <v>0</v>
      </c>
      <c r="J73" s="63">
        <f>VLOOKUP(B73,'bid input'!B:S,18,FALSE)</f>
        <v>40928.625</v>
      </c>
      <c r="K73" s="57" t="str">
        <f t="shared" si="34"/>
        <v/>
      </c>
      <c r="L73" s="57">
        <f t="shared" si="35"/>
        <v>0</v>
      </c>
      <c r="M73" s="59">
        <f t="shared" si="36"/>
        <v>40928.625</v>
      </c>
      <c r="N73" s="57">
        <f>IF(L73=0,0,COUNT(M$71:M$90)-(RANK(M73,M$71:M$90,0)+COUNTIF(M$71:M73,M73))+2)</f>
        <v>0</v>
      </c>
      <c r="O73" s="61">
        <f t="shared" si="27"/>
        <v>0</v>
      </c>
      <c r="P73" s="62">
        <f t="shared" si="28"/>
        <v>1104154</v>
      </c>
      <c r="Q73" s="65"/>
      <c r="R73" s="54">
        <f t="shared" ca="1" si="37"/>
        <v>0</v>
      </c>
      <c r="S73" s="54">
        <f t="shared" ca="1" si="29"/>
        <v>40928.625</v>
      </c>
      <c r="T73" s="61">
        <f t="shared" ca="1" si="30"/>
        <v>0</v>
      </c>
      <c r="U73" s="54">
        <f t="shared" ca="1" si="38"/>
        <v>1104134</v>
      </c>
    </row>
    <row r="74" spans="1:21" outlineLevel="1">
      <c r="B74">
        <f>+'bid input'!B5</f>
        <v>1104152</v>
      </c>
      <c r="C74" s="17" t="str">
        <f>+IF('bid input'!Q5=1,"Y","N")</f>
        <v>N</v>
      </c>
      <c r="D74" s="4">
        <f>+IF(C74="N",,'bid input'!K5)</f>
        <v>0</v>
      </c>
      <c r="E74" s="2">
        <f>+MIN('bid input'!D5,'bid input'!M5)</f>
        <v>1500000</v>
      </c>
      <c r="F74" s="40">
        <f t="shared" si="31"/>
        <v>0</v>
      </c>
      <c r="G74" s="57">
        <f t="shared" si="32"/>
        <v>0</v>
      </c>
      <c r="H74" s="3">
        <f t="shared" ca="1" si="39"/>
        <v>0</v>
      </c>
      <c r="I74" s="3">
        <f t="shared" ca="1" si="33"/>
        <v>0</v>
      </c>
      <c r="J74" s="63">
        <f>VLOOKUP(B74,'bid input'!B:S,18,FALSE)</f>
        <v>40928.625</v>
      </c>
      <c r="K74" s="57" t="str">
        <f t="shared" si="34"/>
        <v/>
      </c>
      <c r="L74" s="57">
        <f t="shared" si="35"/>
        <v>0</v>
      </c>
      <c r="M74" s="59">
        <f t="shared" si="36"/>
        <v>40928.625</v>
      </c>
      <c r="N74" s="57">
        <f>IF(L74=0,0,COUNT(M$71:M$90)-(RANK(M74,M$71:M$90,0)+COUNTIF(M$71:M74,M74))+2)</f>
        <v>0</v>
      </c>
      <c r="O74" s="61">
        <f t="shared" si="27"/>
        <v>0</v>
      </c>
      <c r="P74" s="62">
        <f t="shared" si="28"/>
        <v>1104152</v>
      </c>
      <c r="Q74" s="65"/>
      <c r="R74" s="54">
        <f t="shared" ca="1" si="37"/>
        <v>0</v>
      </c>
      <c r="S74" s="54">
        <f t="shared" ca="1" si="29"/>
        <v>40928.625</v>
      </c>
      <c r="T74" s="61">
        <f t="shared" ca="1" si="30"/>
        <v>0</v>
      </c>
      <c r="U74" s="54">
        <f t="shared" ca="1" si="38"/>
        <v>1104134</v>
      </c>
    </row>
    <row r="75" spans="1:21" outlineLevel="1">
      <c r="B75">
        <f>+'bid input'!B6</f>
        <v>1104136</v>
      </c>
      <c r="C75" s="17" t="str">
        <f>+IF('bid input'!Q6=1,"Y","N")</f>
        <v>N</v>
      </c>
      <c r="D75" s="4">
        <f>+IF(C75="N",,'bid input'!K6)</f>
        <v>0</v>
      </c>
      <c r="E75" s="2">
        <f>+MIN('bid input'!D6,'bid input'!M6)</f>
        <v>860000</v>
      </c>
      <c r="F75" s="40">
        <f t="shared" si="31"/>
        <v>0</v>
      </c>
      <c r="G75" s="57">
        <f t="shared" si="32"/>
        <v>0</v>
      </c>
      <c r="H75" s="3">
        <f t="shared" ca="1" si="39"/>
        <v>0</v>
      </c>
      <c r="I75" s="3">
        <f t="shared" ca="1" si="33"/>
        <v>0</v>
      </c>
      <c r="J75" s="63">
        <f>VLOOKUP(B75,'bid input'!B:S,18,FALSE)</f>
        <v>40928.712638888886</v>
      </c>
      <c r="K75" s="57" t="str">
        <f t="shared" si="34"/>
        <v/>
      </c>
      <c r="L75" s="57">
        <f t="shared" si="35"/>
        <v>0</v>
      </c>
      <c r="M75" s="59">
        <f t="shared" si="36"/>
        <v>40928.712638888901</v>
      </c>
      <c r="N75" s="57">
        <f>IF(L75=0,0,COUNT(M$71:M$90)-(RANK(M75,M$71:M$90,0)+COUNTIF(M$71:M75,M75))+2)</f>
        <v>0</v>
      </c>
      <c r="O75" s="61">
        <f t="shared" si="27"/>
        <v>0</v>
      </c>
      <c r="P75" s="62">
        <f t="shared" si="28"/>
        <v>1104136</v>
      </c>
      <c r="Q75" s="65"/>
      <c r="R75" s="54">
        <f t="shared" ca="1" si="37"/>
        <v>0</v>
      </c>
      <c r="S75" s="54">
        <f t="shared" ca="1" si="29"/>
        <v>40928.625</v>
      </c>
      <c r="T75" s="61">
        <f t="shared" ca="1" si="30"/>
        <v>0</v>
      </c>
      <c r="U75" s="54">
        <f t="shared" ca="1" si="38"/>
        <v>1104134</v>
      </c>
    </row>
    <row r="76" spans="1:21" outlineLevel="1">
      <c r="B76">
        <f>+'bid input'!B7</f>
        <v>1104138</v>
      </c>
      <c r="C76" s="17" t="str">
        <f>+IF('bid input'!Q7=1,"Y","N")</f>
        <v>N</v>
      </c>
      <c r="D76" s="4">
        <f>+IF(C76="N",,'bid input'!K7)</f>
        <v>0</v>
      </c>
      <c r="E76" s="2">
        <f>+MIN('bid input'!D7,'bid input'!M7)</f>
        <v>300000</v>
      </c>
      <c r="F76" s="40">
        <f t="shared" si="31"/>
        <v>0</v>
      </c>
      <c r="G76" s="57">
        <f t="shared" si="32"/>
        <v>0</v>
      </c>
      <c r="H76" s="3">
        <f t="shared" ca="1" si="39"/>
        <v>0</v>
      </c>
      <c r="I76" s="3">
        <f t="shared" ca="1" si="33"/>
        <v>0</v>
      </c>
      <c r="J76" s="63">
        <f>VLOOKUP(B76,'bid input'!B:S,18,FALSE)</f>
        <v>40928.772638888891</v>
      </c>
      <c r="K76" s="57" t="str">
        <f t="shared" si="34"/>
        <v/>
      </c>
      <c r="L76" s="57">
        <f t="shared" si="35"/>
        <v>0</v>
      </c>
      <c r="M76" s="59">
        <f t="shared" si="36"/>
        <v>40928.772638888899</v>
      </c>
      <c r="N76" s="57">
        <f>IF(L76=0,0,COUNT(M$71:M$90)-(RANK(M76,M$71:M$90,0)+COUNTIF(M$71:M76,M76))+2)</f>
        <v>0</v>
      </c>
      <c r="O76" s="61">
        <f t="shared" si="27"/>
        <v>0</v>
      </c>
      <c r="P76" s="62">
        <f t="shared" si="28"/>
        <v>1104138</v>
      </c>
      <c r="Q76" s="65"/>
      <c r="R76" s="54">
        <f t="shared" ca="1" si="37"/>
        <v>0</v>
      </c>
      <c r="S76" s="54">
        <f t="shared" ca="1" si="29"/>
        <v>40928.625</v>
      </c>
      <c r="T76" s="61">
        <f t="shared" ca="1" si="30"/>
        <v>0</v>
      </c>
      <c r="U76" s="54">
        <f t="shared" ca="1" si="38"/>
        <v>1104134</v>
      </c>
    </row>
    <row r="77" spans="1:21" outlineLevel="1">
      <c r="B77">
        <f>+'bid input'!B8</f>
        <v>1104139</v>
      </c>
      <c r="C77" s="17" t="str">
        <f>+IF('bid input'!Q8=1,"Y","N")</f>
        <v>N</v>
      </c>
      <c r="D77" s="4">
        <f>+IF(C77="N",,'bid input'!K8)</f>
        <v>0</v>
      </c>
      <c r="E77" s="2">
        <f>+MIN('bid input'!D8,'bid input'!M8)</f>
        <v>250000</v>
      </c>
      <c r="F77" s="40">
        <f t="shared" si="31"/>
        <v>0</v>
      </c>
      <c r="G77" s="57">
        <f t="shared" si="32"/>
        <v>0</v>
      </c>
      <c r="H77" s="3">
        <f t="shared" ca="1" si="39"/>
        <v>0</v>
      </c>
      <c r="I77" s="3">
        <f t="shared" ca="1" si="33"/>
        <v>0</v>
      </c>
      <c r="J77" s="63">
        <f>VLOOKUP(B77,'bid input'!B:S,18,FALSE)</f>
        <v>40928.80263888889</v>
      </c>
      <c r="K77" s="57" t="str">
        <f t="shared" si="34"/>
        <v/>
      </c>
      <c r="L77" s="57">
        <f t="shared" si="35"/>
        <v>0</v>
      </c>
      <c r="M77" s="59">
        <f t="shared" si="36"/>
        <v>40928.802638888897</v>
      </c>
      <c r="N77" s="57">
        <f>IF(L77=0,0,COUNT(M$71:M$90)-(RANK(M77,M$71:M$90,0)+COUNTIF(M$71:M77,M77))+2)</f>
        <v>0</v>
      </c>
      <c r="O77" s="61">
        <f t="shared" si="27"/>
        <v>0</v>
      </c>
      <c r="P77" s="62">
        <f t="shared" si="28"/>
        <v>1104139</v>
      </c>
      <c r="Q77" s="65"/>
      <c r="R77" s="54">
        <f t="shared" ca="1" si="37"/>
        <v>0</v>
      </c>
      <c r="S77" s="54">
        <f t="shared" ca="1" si="29"/>
        <v>40928.625</v>
      </c>
      <c r="T77" s="61">
        <f t="shared" ca="1" si="30"/>
        <v>0</v>
      </c>
      <c r="U77" s="54">
        <f t="shared" ca="1" si="38"/>
        <v>1104134</v>
      </c>
    </row>
    <row r="78" spans="1:21" outlineLevel="1">
      <c r="B78">
        <f>+'bid input'!B9</f>
        <v>1104140</v>
      </c>
      <c r="C78" s="17" t="str">
        <f>+IF('bid input'!Q9=1,"Y","N")</f>
        <v>N</v>
      </c>
      <c r="D78" s="4">
        <f>+IF(C78="N",,'bid input'!K9)</f>
        <v>0</v>
      </c>
      <c r="E78" s="2">
        <f>+MIN('bid input'!D9,'bid input'!M9)</f>
        <v>74000</v>
      </c>
      <c r="F78" s="40">
        <f t="shared" si="31"/>
        <v>0</v>
      </c>
      <c r="G78" s="57">
        <f t="shared" si="32"/>
        <v>0</v>
      </c>
      <c r="H78" s="3">
        <f t="shared" ca="1" si="39"/>
        <v>0</v>
      </c>
      <c r="I78" s="3">
        <f t="shared" ca="1" si="33"/>
        <v>0</v>
      </c>
      <c r="J78" s="63">
        <f>VLOOKUP(B78,'bid input'!B:S,18,FALSE)</f>
        <v>40928.832638888889</v>
      </c>
      <c r="K78" s="57" t="str">
        <f t="shared" si="34"/>
        <v/>
      </c>
      <c r="L78" s="57">
        <f t="shared" si="35"/>
        <v>0</v>
      </c>
      <c r="M78" s="59">
        <f t="shared" si="36"/>
        <v>40928.832638888904</v>
      </c>
      <c r="N78" s="57">
        <f>IF(L78=0,0,COUNT(M$71:M$90)-(RANK(M78,M$71:M$90,0)+COUNTIF(M$71:M78,M78))+2)</f>
        <v>0</v>
      </c>
      <c r="O78" s="61">
        <f t="shared" si="27"/>
        <v>0</v>
      </c>
      <c r="P78" s="62">
        <f t="shared" si="28"/>
        <v>1104140</v>
      </c>
      <c r="Q78" s="65"/>
      <c r="R78" s="54">
        <f t="shared" ca="1" si="37"/>
        <v>0</v>
      </c>
      <c r="S78" s="54">
        <f t="shared" ca="1" si="29"/>
        <v>40928.625</v>
      </c>
      <c r="T78" s="61">
        <f t="shared" ca="1" si="30"/>
        <v>0</v>
      </c>
      <c r="U78" s="54">
        <f t="shared" ca="1" si="38"/>
        <v>1104134</v>
      </c>
    </row>
    <row r="79" spans="1:21" outlineLevel="1">
      <c r="B79">
        <f>+'bid input'!B10</f>
        <v>1104141</v>
      </c>
      <c r="C79" s="17" t="str">
        <f>+IF('bid input'!Q10=1,"Y","N")</f>
        <v>N</v>
      </c>
      <c r="D79" s="4">
        <f>+IF(C79="N",,'bid input'!K10)</f>
        <v>0</v>
      </c>
      <c r="E79" s="2">
        <f>+MIN('bid input'!D10,'bid input'!M10)</f>
        <v>285000</v>
      </c>
      <c r="F79" s="40">
        <f t="shared" si="31"/>
        <v>0</v>
      </c>
      <c r="G79" s="57">
        <f t="shared" si="32"/>
        <v>0</v>
      </c>
      <c r="H79" s="3">
        <f t="shared" ca="1" si="39"/>
        <v>0</v>
      </c>
      <c r="I79" s="3">
        <f t="shared" ca="1" si="33"/>
        <v>0</v>
      </c>
      <c r="J79" s="63">
        <f>VLOOKUP(B79,'bid input'!B:S,18,FALSE)</f>
        <v>40928.862638888888</v>
      </c>
      <c r="K79" s="57" t="str">
        <f t="shared" si="34"/>
        <v/>
      </c>
      <c r="L79" s="57">
        <f t="shared" si="35"/>
        <v>0</v>
      </c>
      <c r="M79" s="59">
        <f t="shared" si="36"/>
        <v>40928.862638888902</v>
      </c>
      <c r="N79" s="57">
        <f>IF(L79=0,0,COUNT(M$71:M$90)-(RANK(M79,M$71:M$90,0)+COUNTIF(M$71:M79,M79))+2)</f>
        <v>0</v>
      </c>
      <c r="O79" s="61">
        <f t="shared" si="27"/>
        <v>0</v>
      </c>
      <c r="P79" s="62">
        <f t="shared" si="28"/>
        <v>1104141</v>
      </c>
      <c r="Q79" s="65"/>
      <c r="R79" s="54">
        <f t="shared" ca="1" si="37"/>
        <v>0</v>
      </c>
      <c r="S79" s="54">
        <f t="shared" ca="1" si="29"/>
        <v>40928.625</v>
      </c>
      <c r="T79" s="61">
        <f t="shared" ca="1" si="30"/>
        <v>0</v>
      </c>
      <c r="U79" s="54">
        <f t="shared" ca="1" si="38"/>
        <v>1104134</v>
      </c>
    </row>
    <row r="80" spans="1:21" outlineLevel="1">
      <c r="B80">
        <f>+'bid input'!B11</f>
        <v>1104159</v>
      </c>
      <c r="C80" s="17" t="str">
        <f>+IF('bid input'!Q11=1,"Y","N")</f>
        <v>N</v>
      </c>
      <c r="D80" s="4">
        <f>+IF(C80="N",,'bid input'!K11)</f>
        <v>0</v>
      </c>
      <c r="E80" s="2">
        <f>+MIN('bid input'!D11,'bid input'!M11)</f>
        <v>532000</v>
      </c>
      <c r="F80" s="40">
        <f t="shared" si="31"/>
        <v>0</v>
      </c>
      <c r="G80" s="57">
        <f t="shared" si="32"/>
        <v>0</v>
      </c>
      <c r="H80" s="3">
        <f t="shared" ca="1" si="39"/>
        <v>0</v>
      </c>
      <c r="I80" s="3">
        <f t="shared" ca="1" si="33"/>
        <v>0</v>
      </c>
      <c r="J80" s="63">
        <f>VLOOKUP(B80,'bid input'!B:S,18,FALSE)</f>
        <v>40928.902638888889</v>
      </c>
      <c r="K80" s="57" t="str">
        <f t="shared" si="34"/>
        <v/>
      </c>
      <c r="L80" s="57">
        <f t="shared" si="35"/>
        <v>0</v>
      </c>
      <c r="M80" s="59">
        <f t="shared" si="36"/>
        <v>40928.902638888903</v>
      </c>
      <c r="N80" s="57">
        <f>IF(L80=0,0,COUNT(M$71:M$90)-(RANK(M80,M$71:M$90,0)+COUNTIF(M$71:M80,M80))+2)</f>
        <v>0</v>
      </c>
      <c r="O80" s="61">
        <f t="shared" si="27"/>
        <v>0</v>
      </c>
      <c r="P80" s="62">
        <f t="shared" si="28"/>
        <v>1104159</v>
      </c>
      <c r="Q80" s="65"/>
      <c r="R80" s="54">
        <f t="shared" ca="1" si="37"/>
        <v>0</v>
      </c>
      <c r="S80" s="66">
        <f t="shared" ca="1" si="29"/>
        <v>40928.625</v>
      </c>
      <c r="T80" s="67">
        <f t="shared" ca="1" si="30"/>
        <v>0</v>
      </c>
      <c r="U80" s="66">
        <f t="shared" ca="1" si="38"/>
        <v>1104134</v>
      </c>
    </row>
    <row r="81" spans="2:21" outlineLevel="1">
      <c r="B81">
        <f>+'bid input'!B12</f>
        <v>1104161</v>
      </c>
      <c r="C81" s="17" t="str">
        <f>+IF('bid input'!Q12=1,"Y","N")</f>
        <v>N</v>
      </c>
      <c r="D81" s="4">
        <f>+IF(C81="N",,'bid input'!K12)</f>
        <v>0</v>
      </c>
      <c r="E81" s="2">
        <f>+MIN('bid input'!D12,'bid input'!M12)</f>
        <v>292000</v>
      </c>
      <c r="F81" s="40">
        <f t="shared" si="31"/>
        <v>0</v>
      </c>
      <c r="G81" s="57">
        <f t="shared" si="32"/>
        <v>0</v>
      </c>
      <c r="H81" s="3">
        <f t="shared" ca="1" si="39"/>
        <v>0</v>
      </c>
      <c r="I81" s="3">
        <f t="shared" ca="1" si="33"/>
        <v>0</v>
      </c>
      <c r="J81" s="63">
        <f>VLOOKUP(B81,'bid input'!B:S,18,FALSE)</f>
        <v>40928.962638888886</v>
      </c>
      <c r="K81" s="57" t="str">
        <f t="shared" si="34"/>
        <v/>
      </c>
      <c r="L81" s="57">
        <f t="shared" si="35"/>
        <v>0</v>
      </c>
      <c r="M81" s="59">
        <f t="shared" si="36"/>
        <v>40928.962638888901</v>
      </c>
      <c r="N81" s="57">
        <f>IF(L81=0,0,COUNT(M$71:M$90)-(RANK(M81,M$71:M$90,0)+COUNTIF(M$71:M81,M81))+2)</f>
        <v>0</v>
      </c>
      <c r="O81" s="61">
        <f t="shared" si="27"/>
        <v>0</v>
      </c>
      <c r="P81" s="62">
        <f t="shared" si="28"/>
        <v>1104161</v>
      </c>
      <c r="Q81" s="65"/>
      <c r="R81" s="54">
        <f t="shared" ca="1" si="37"/>
        <v>0</v>
      </c>
      <c r="S81" s="66">
        <f t="shared" ca="1" si="29"/>
        <v>40928.625</v>
      </c>
      <c r="T81" s="67">
        <f t="shared" ca="1" si="30"/>
        <v>0</v>
      </c>
      <c r="U81" s="66">
        <f t="shared" ca="1" si="38"/>
        <v>1104134</v>
      </c>
    </row>
    <row r="82" spans="2:21" outlineLevel="1">
      <c r="B82">
        <f>+'bid input'!B13</f>
        <v>1104145</v>
      </c>
      <c r="C82" s="17" t="str">
        <f>+IF('bid input'!Q13=1,"Y","N")</f>
        <v>N</v>
      </c>
      <c r="D82" s="4">
        <f>+IF(C82="N",,'bid input'!K13)</f>
        <v>0</v>
      </c>
      <c r="E82" s="2">
        <f>+MIN('bid input'!D13,'bid input'!M13)</f>
        <v>752000</v>
      </c>
      <c r="F82" s="40">
        <f t="shared" si="31"/>
        <v>0</v>
      </c>
      <c r="G82" s="57">
        <f t="shared" si="32"/>
        <v>0</v>
      </c>
      <c r="H82" s="3">
        <f t="shared" ca="1" si="39"/>
        <v>0</v>
      </c>
      <c r="I82" s="3">
        <f t="shared" ca="1" si="33"/>
        <v>0</v>
      </c>
      <c r="J82" s="63">
        <f>VLOOKUP(B82,'bid input'!B:S,18,FALSE)</f>
        <v>40928.982638888891</v>
      </c>
      <c r="K82" s="57" t="str">
        <f t="shared" si="34"/>
        <v/>
      </c>
      <c r="L82" s="57">
        <f t="shared" si="35"/>
        <v>0</v>
      </c>
      <c r="M82" s="59">
        <f t="shared" si="36"/>
        <v>40928.982638888898</v>
      </c>
      <c r="N82" s="57">
        <f>IF(L82=0,0,COUNT(M$71:M$90)-(RANK(M82,M$71:M$90,0)+COUNTIF(M$71:M82,M82))+2)</f>
        <v>0</v>
      </c>
      <c r="O82" s="61">
        <f t="shared" si="27"/>
        <v>0</v>
      </c>
      <c r="P82" s="62">
        <f t="shared" si="28"/>
        <v>1104145</v>
      </c>
      <c r="Q82" s="65"/>
      <c r="R82" s="54">
        <f t="shared" ca="1" si="37"/>
        <v>0</v>
      </c>
      <c r="S82" s="66">
        <f t="shared" ca="1" si="29"/>
        <v>40928.625</v>
      </c>
      <c r="T82" s="67">
        <f t="shared" ca="1" si="30"/>
        <v>0</v>
      </c>
      <c r="U82" s="66">
        <f t="shared" ca="1" si="38"/>
        <v>1104134</v>
      </c>
    </row>
    <row r="83" spans="2:21" outlineLevel="1">
      <c r="B83">
        <f>+'bid input'!B14</f>
        <v>1104133</v>
      </c>
      <c r="C83" s="17" t="str">
        <f>+IF('bid input'!Q14=1,"Y","N")</f>
        <v>N</v>
      </c>
      <c r="D83" s="4">
        <f>+IF(C83="N",,'bid input'!K14)</f>
        <v>0</v>
      </c>
      <c r="E83" s="2">
        <f>+MIN('bid input'!D14,'bid input'!M14)</f>
        <v>418000</v>
      </c>
      <c r="F83" s="40">
        <f t="shared" si="31"/>
        <v>0</v>
      </c>
      <c r="G83" s="57">
        <f t="shared" si="32"/>
        <v>0</v>
      </c>
      <c r="H83" s="3">
        <f t="shared" ca="1" si="39"/>
        <v>0</v>
      </c>
      <c r="I83" s="3">
        <f t="shared" ca="1" si="33"/>
        <v>0</v>
      </c>
      <c r="J83" s="63">
        <f>VLOOKUP(B83,'bid input'!B:S,18,FALSE)</f>
        <v>40929.099305555559</v>
      </c>
      <c r="K83" s="57" t="str">
        <f t="shared" si="34"/>
        <v/>
      </c>
      <c r="L83" s="57">
        <f t="shared" si="35"/>
        <v>0</v>
      </c>
      <c r="M83" s="59">
        <f t="shared" si="36"/>
        <v>40929.099305555603</v>
      </c>
      <c r="N83" s="57">
        <f>IF(L83=0,0,COUNT(M$71:M$90)-(RANK(M83,M$71:M$90,0)+COUNTIF(M$71:M83,M83))+2)</f>
        <v>0</v>
      </c>
      <c r="O83" s="61">
        <f t="shared" si="27"/>
        <v>0</v>
      </c>
      <c r="P83" s="62">
        <f t="shared" si="28"/>
        <v>1104133</v>
      </c>
      <c r="Q83" s="65"/>
      <c r="R83" s="54">
        <f t="shared" ca="1" si="37"/>
        <v>0</v>
      </c>
      <c r="S83" s="66">
        <f t="shared" ca="1" si="29"/>
        <v>40928.625</v>
      </c>
      <c r="T83" s="67">
        <f t="shared" ca="1" si="30"/>
        <v>0</v>
      </c>
      <c r="U83" s="66">
        <f t="shared" ca="1" si="38"/>
        <v>1104134</v>
      </c>
    </row>
    <row r="84" spans="2:21" outlineLevel="1">
      <c r="B84">
        <f>+'bid input'!B15</f>
        <v>1104149</v>
      </c>
      <c r="C84" s="17" t="str">
        <f>+IF('bid input'!Q15=1,"Y","N")</f>
        <v>N</v>
      </c>
      <c r="D84" s="4">
        <f>+IF(C84="N",,'bid input'!K15)</f>
        <v>0</v>
      </c>
      <c r="E84" s="2">
        <f>+MIN('bid input'!D15,'bid input'!M15)</f>
        <v>47000</v>
      </c>
      <c r="F84" s="40">
        <f t="shared" si="31"/>
        <v>0</v>
      </c>
      <c r="G84" s="57">
        <f t="shared" si="32"/>
        <v>0</v>
      </c>
      <c r="H84" s="3">
        <f t="shared" ca="1" si="39"/>
        <v>0</v>
      </c>
      <c r="I84" s="3">
        <f t="shared" ca="1" si="33"/>
        <v>0</v>
      </c>
      <c r="J84" s="63">
        <f>VLOOKUP(B84,'bid input'!B:S,18,FALSE)</f>
        <v>40929.102638888886</v>
      </c>
      <c r="K84" s="57" t="str">
        <f t="shared" si="34"/>
        <v/>
      </c>
      <c r="L84" s="57">
        <f t="shared" si="35"/>
        <v>0</v>
      </c>
      <c r="M84" s="59">
        <f t="shared" si="36"/>
        <v>40929.1026388889</v>
      </c>
      <c r="N84" s="57">
        <f>IF(L84=0,0,COUNT(M$71:M$90)-(RANK(M84,M$71:M$90,0)+COUNTIF(M$71:M84,M84))+2)</f>
        <v>0</v>
      </c>
      <c r="O84" s="61">
        <f t="shared" si="27"/>
        <v>0</v>
      </c>
      <c r="P84" s="62">
        <f t="shared" si="28"/>
        <v>1104149</v>
      </c>
      <c r="Q84" s="65"/>
      <c r="R84" s="54">
        <f t="shared" ca="1" si="37"/>
        <v>0</v>
      </c>
      <c r="S84" s="66">
        <f t="shared" ca="1" si="29"/>
        <v>40928.625</v>
      </c>
      <c r="T84" s="67">
        <f t="shared" ca="1" si="30"/>
        <v>0</v>
      </c>
      <c r="U84" s="66">
        <f t="shared" ca="1" si="38"/>
        <v>1104134</v>
      </c>
    </row>
    <row r="85" spans="2:21" outlineLevel="1">
      <c r="B85">
        <f>+'bid input'!B16</f>
        <v>1104151</v>
      </c>
      <c r="C85" s="17" t="str">
        <f>+IF('bid input'!Q16=1,"Y","N")</f>
        <v>N</v>
      </c>
      <c r="D85" s="4">
        <f>+IF(C85="N",,'bid input'!K16)</f>
        <v>0</v>
      </c>
      <c r="E85" s="2">
        <f>+MIN('bid input'!D16,'bid input'!M16)</f>
        <v>283000</v>
      </c>
      <c r="F85" s="40">
        <f t="shared" si="31"/>
        <v>0</v>
      </c>
      <c r="G85" s="57">
        <f t="shared" si="32"/>
        <v>0</v>
      </c>
      <c r="H85" s="3">
        <f t="shared" ca="1" si="39"/>
        <v>0</v>
      </c>
      <c r="I85" s="3">
        <f t="shared" ca="1" si="33"/>
        <v>0</v>
      </c>
      <c r="J85" s="63">
        <f>VLOOKUP(B85,'bid input'!B:S,18,FALSE)</f>
        <v>40929.162638888891</v>
      </c>
      <c r="K85" s="57" t="str">
        <f t="shared" si="34"/>
        <v/>
      </c>
      <c r="L85" s="57">
        <f t="shared" si="35"/>
        <v>0</v>
      </c>
      <c r="M85" s="59">
        <f t="shared" si="36"/>
        <v>40929.162638888898</v>
      </c>
      <c r="N85" s="57">
        <f>IF(L85=0,0,COUNT(M$71:M$90)-(RANK(M85,M$71:M$90,0)+COUNTIF(M$71:M85,M85))+2)</f>
        <v>0</v>
      </c>
      <c r="O85" s="61">
        <f t="shared" si="27"/>
        <v>0</v>
      </c>
      <c r="P85" s="62">
        <f t="shared" si="28"/>
        <v>1104151</v>
      </c>
      <c r="Q85" s="65"/>
      <c r="R85" s="54">
        <f t="shared" ca="1" si="37"/>
        <v>0</v>
      </c>
      <c r="S85" s="66">
        <f t="shared" ca="1" si="29"/>
        <v>40928.625</v>
      </c>
      <c r="T85" s="67">
        <f t="shared" ca="1" si="30"/>
        <v>0</v>
      </c>
      <c r="U85" s="66">
        <f t="shared" ca="1" si="38"/>
        <v>1104134</v>
      </c>
    </row>
    <row r="86" spans="2:21" outlineLevel="1">
      <c r="B86">
        <f>+'bid input'!B17</f>
        <v>1104131</v>
      </c>
      <c r="C86" s="17" t="str">
        <f>+IF('bid input'!Q17=1,"Y","N")</f>
        <v>N</v>
      </c>
      <c r="D86" s="4">
        <f>+IF(C86="N",,'bid input'!K17)</f>
        <v>0</v>
      </c>
      <c r="E86" s="2">
        <f>+MIN('bid input'!D17,'bid input'!M17)</f>
        <v>598000</v>
      </c>
      <c r="F86" s="40">
        <f t="shared" si="31"/>
        <v>0</v>
      </c>
      <c r="G86" s="57">
        <f t="shared" si="32"/>
        <v>0</v>
      </c>
      <c r="H86" s="3">
        <f t="shared" ca="1" si="39"/>
        <v>0</v>
      </c>
      <c r="I86" s="3">
        <f t="shared" ca="1" si="33"/>
        <v>0</v>
      </c>
      <c r="J86" s="63">
        <f>VLOOKUP(B86,'bid input'!B:S,18,FALSE)</f>
        <v>40929.19263888889</v>
      </c>
      <c r="K86" s="57" t="str">
        <f t="shared" si="34"/>
        <v/>
      </c>
      <c r="L86" s="57">
        <f t="shared" si="35"/>
        <v>0</v>
      </c>
      <c r="M86" s="59">
        <f t="shared" si="36"/>
        <v>40929.192638888897</v>
      </c>
      <c r="N86" s="57">
        <f>IF(L86=0,0,COUNT(M$71:M$90)-(RANK(M86,M$71:M$90,0)+COUNTIF(M$71:M86,M86))+2)</f>
        <v>0</v>
      </c>
      <c r="O86" s="61">
        <f t="shared" si="27"/>
        <v>0</v>
      </c>
      <c r="P86" s="62">
        <f t="shared" si="28"/>
        <v>1104131</v>
      </c>
      <c r="Q86" s="65"/>
      <c r="R86" s="54">
        <f t="shared" ca="1" si="37"/>
        <v>0</v>
      </c>
      <c r="S86" s="66">
        <f t="shared" ca="1" si="29"/>
        <v>40928.625</v>
      </c>
      <c r="T86" s="67">
        <f t="shared" ca="1" si="30"/>
        <v>0</v>
      </c>
      <c r="U86" s="66">
        <f t="shared" ca="1" si="38"/>
        <v>1104134</v>
      </c>
    </row>
    <row r="87" spans="2:21" outlineLevel="1">
      <c r="B87">
        <f>+'bid input'!B18</f>
        <v>1104155</v>
      </c>
      <c r="C87" s="17" t="str">
        <f>+IF('bid input'!Q18=1,"Y","N")</f>
        <v>N</v>
      </c>
      <c r="D87" s="4">
        <f>+IF(C87="N",,'bid input'!K18)</f>
        <v>0</v>
      </c>
      <c r="E87" s="2">
        <f>+MIN('bid input'!D18,'bid input'!M18)</f>
        <v>639000</v>
      </c>
      <c r="F87" s="40">
        <f t="shared" si="31"/>
        <v>0</v>
      </c>
      <c r="G87" s="57">
        <f t="shared" si="32"/>
        <v>0</v>
      </c>
      <c r="H87" s="3">
        <f t="shared" ca="1" si="39"/>
        <v>0</v>
      </c>
      <c r="I87" s="3">
        <f t="shared" ca="1" si="33"/>
        <v>0</v>
      </c>
      <c r="J87" s="63">
        <f>VLOOKUP(B87,'bid input'!B:S,18,FALSE)</f>
        <v>40929.282638888886</v>
      </c>
      <c r="K87" s="57" t="str">
        <f t="shared" si="34"/>
        <v/>
      </c>
      <c r="L87" s="57">
        <f t="shared" si="35"/>
        <v>0</v>
      </c>
      <c r="M87" s="59">
        <f t="shared" si="36"/>
        <v>40929.282638888901</v>
      </c>
      <c r="N87" s="57">
        <f>IF(L87=0,0,COUNT(M$71:M$90)-(RANK(M87,M$71:M$90,0)+COUNTIF(M$71:M87,M87))+2)</f>
        <v>0</v>
      </c>
      <c r="O87" s="61">
        <f t="shared" si="27"/>
        <v>0</v>
      </c>
      <c r="P87" s="62">
        <f t="shared" si="28"/>
        <v>1104155</v>
      </c>
      <c r="Q87" s="65"/>
      <c r="R87" s="54">
        <f t="shared" ca="1" si="37"/>
        <v>0</v>
      </c>
      <c r="S87" s="66">
        <f t="shared" ca="1" si="29"/>
        <v>40928.625</v>
      </c>
      <c r="T87" s="67">
        <f t="shared" ca="1" si="30"/>
        <v>0</v>
      </c>
      <c r="U87" s="66">
        <f t="shared" ca="1" si="38"/>
        <v>1104134</v>
      </c>
    </row>
    <row r="88" spans="2:21" outlineLevel="1">
      <c r="B88">
        <f>+'bid input'!B19</f>
        <v>1104156</v>
      </c>
      <c r="C88" s="17" t="str">
        <f>+IF('bid input'!Q19=1,"Y","N")</f>
        <v>N</v>
      </c>
      <c r="D88" s="4">
        <f>+IF(C88="N",,'bid input'!K19)</f>
        <v>0</v>
      </c>
      <c r="E88" s="2">
        <f>+MIN('bid input'!D19,'bid input'!M19)</f>
        <v>274000</v>
      </c>
      <c r="F88" s="40">
        <f t="shared" si="31"/>
        <v>0</v>
      </c>
      <c r="G88" s="57">
        <f t="shared" si="32"/>
        <v>0</v>
      </c>
      <c r="H88" s="3">
        <f t="shared" ca="1" si="39"/>
        <v>0</v>
      </c>
      <c r="I88" s="3">
        <f t="shared" ca="1" si="33"/>
        <v>0</v>
      </c>
      <c r="J88" s="63">
        <f>VLOOKUP(B88,'bid input'!B:S,18,FALSE)</f>
        <v>40929.312638888892</v>
      </c>
      <c r="K88" s="57" t="str">
        <f t="shared" si="34"/>
        <v/>
      </c>
      <c r="L88" s="57">
        <f t="shared" si="35"/>
        <v>0</v>
      </c>
      <c r="M88" s="59">
        <f t="shared" si="36"/>
        <v>40929.3126388889</v>
      </c>
      <c r="N88" s="57">
        <f>IF(L88=0,0,COUNT(M$71:M$90)-(RANK(M88,M$71:M$90,0)+COUNTIF(M$71:M88,M88))+2)</f>
        <v>0</v>
      </c>
      <c r="O88" s="61">
        <f t="shared" si="27"/>
        <v>0</v>
      </c>
      <c r="P88" s="62">
        <f t="shared" si="28"/>
        <v>1104156</v>
      </c>
      <c r="Q88" s="65"/>
      <c r="R88" s="54">
        <f t="shared" ca="1" si="37"/>
        <v>0</v>
      </c>
      <c r="S88" s="66">
        <f t="shared" ca="1" si="29"/>
        <v>40928.625</v>
      </c>
      <c r="T88" s="67">
        <f t="shared" ca="1" si="30"/>
        <v>0</v>
      </c>
      <c r="U88" s="66">
        <f t="shared" ca="1" si="38"/>
        <v>1104134</v>
      </c>
    </row>
    <row r="89" spans="2:21" outlineLevel="1">
      <c r="B89">
        <f>+'bid input'!B20</f>
        <v>1104157</v>
      </c>
      <c r="C89" s="17" t="str">
        <f>+IF('bid input'!Q20=1,"Y","N")</f>
        <v>N</v>
      </c>
      <c r="D89" s="4">
        <f>+IF(C89="N",,'bid input'!K20)</f>
        <v>0</v>
      </c>
      <c r="E89" s="2">
        <f>+MIN('bid input'!D20,'bid input'!M20)</f>
        <v>629000</v>
      </c>
      <c r="F89" s="40">
        <f t="shared" si="31"/>
        <v>0</v>
      </c>
      <c r="G89" s="57">
        <f t="shared" si="32"/>
        <v>0</v>
      </c>
      <c r="H89" s="3">
        <f t="shared" ca="1" si="39"/>
        <v>0</v>
      </c>
      <c r="I89" s="3">
        <f t="shared" ca="1" si="33"/>
        <v>0</v>
      </c>
      <c r="J89" s="63">
        <f>VLOOKUP(B89,'bid input'!B:S,18,FALSE)</f>
        <v>40929.342638888891</v>
      </c>
      <c r="K89" s="57" t="str">
        <f t="shared" si="34"/>
        <v/>
      </c>
      <c r="L89" s="57">
        <f t="shared" si="35"/>
        <v>0</v>
      </c>
      <c r="M89" s="59">
        <f t="shared" si="36"/>
        <v>40929.342638888898</v>
      </c>
      <c r="N89" s="57">
        <f>IF(L89=0,0,COUNT(M$71:M$90)-(RANK(M89,M$71:M$90,0)+COUNTIF(M$71:M89,M89))+2)</f>
        <v>0</v>
      </c>
      <c r="O89" s="61">
        <f t="shared" si="27"/>
        <v>0</v>
      </c>
      <c r="P89" s="62">
        <f t="shared" si="28"/>
        <v>1104157</v>
      </c>
      <c r="Q89" s="65"/>
      <c r="R89" s="54">
        <f t="shared" ca="1" si="37"/>
        <v>0</v>
      </c>
      <c r="S89" s="66">
        <f t="shared" ca="1" si="29"/>
        <v>40928.625</v>
      </c>
      <c r="T89" s="67">
        <f t="shared" ca="1" si="30"/>
        <v>0</v>
      </c>
      <c r="U89" s="66">
        <f t="shared" ca="1" si="38"/>
        <v>1104134</v>
      </c>
    </row>
    <row r="90" spans="2:21" outlineLevel="1">
      <c r="B90">
        <f>+'bid input'!B21</f>
        <v>1104158</v>
      </c>
      <c r="C90" s="17" t="str">
        <f>+IF('bid input'!Q21=1,"Y","N")</f>
        <v>N</v>
      </c>
      <c r="D90" s="4">
        <f>+IF(C90="N",,'bid input'!K21)</f>
        <v>0</v>
      </c>
      <c r="E90" s="2">
        <f>+MIN('bid input'!D21,'bid input'!M21)</f>
        <v>562000</v>
      </c>
      <c r="F90" s="40">
        <f t="shared" si="31"/>
        <v>0</v>
      </c>
      <c r="G90" s="57">
        <f t="shared" si="32"/>
        <v>0</v>
      </c>
      <c r="H90" s="3">
        <f t="shared" ca="1" si="39"/>
        <v>0</v>
      </c>
      <c r="I90" s="3">
        <f t="shared" ca="1" si="33"/>
        <v>0</v>
      </c>
      <c r="J90" s="63">
        <f>VLOOKUP(B90,'bid input'!B:S,18,FALSE)</f>
        <v>40929.37263888889</v>
      </c>
      <c r="K90" s="57" t="str">
        <f t="shared" si="34"/>
        <v/>
      </c>
      <c r="L90" s="57">
        <f t="shared" si="35"/>
        <v>0</v>
      </c>
      <c r="M90" s="59">
        <f t="shared" si="36"/>
        <v>40929.372638888803</v>
      </c>
      <c r="N90" s="57">
        <f>IF(L90=0,0,COUNT(M$71:M$90)-(RANK(M90,M$71:M$90,0)+COUNTIF(M$71:M90,M90))+2)</f>
        <v>0</v>
      </c>
      <c r="O90" s="61">
        <f t="shared" si="27"/>
        <v>0</v>
      </c>
      <c r="P90" s="62">
        <f t="shared" si="28"/>
        <v>1104158</v>
      </c>
      <c r="Q90" s="65"/>
      <c r="R90" s="54">
        <f t="shared" ca="1" si="37"/>
        <v>0</v>
      </c>
      <c r="S90" s="66">
        <f t="shared" ca="1" si="29"/>
        <v>40928.625</v>
      </c>
      <c r="T90" s="67">
        <f t="shared" ca="1" si="30"/>
        <v>0</v>
      </c>
      <c r="U90" s="66">
        <f t="shared" ca="1" si="38"/>
        <v>1104134</v>
      </c>
    </row>
    <row r="91" spans="2:21" outlineLevel="1">
      <c r="B91" t="s">
        <v>43</v>
      </c>
      <c r="C91">
        <f>+COUNTIF(C71:C90,"Y")</f>
        <v>0</v>
      </c>
      <c r="D91" s="4">
        <f>+IF(ISERROR(SUMPRODUCT(E71:E90,D71:D90)/E91),0,SUMPRODUCT(E71:E90,D71:D90)/E91)</f>
        <v>0</v>
      </c>
      <c r="E91" s="17">
        <f>+SUMIF(C71:C90,"Y",E71:E90)</f>
        <v>0</v>
      </c>
      <c r="F91" s="2"/>
      <c r="G91" s="2"/>
      <c r="H91" s="2"/>
      <c r="I91" s="3">
        <f t="shared" ca="1" si="33"/>
        <v>0</v>
      </c>
      <c r="J91" s="2"/>
      <c r="K91" s="2"/>
      <c r="L91" s="2"/>
      <c r="P91" s="64"/>
    </row>
    <row r="92" spans="2:21" outlineLevel="1">
      <c r="D92" s="39"/>
      <c r="I92" s="4">
        <f ca="1">+IF(ISERR(SUMPRODUCT(D71:D90,I71:I90)/I91),0,SUMPRODUCT(D71:D90,I71:I90)/I91)</f>
        <v>0</v>
      </c>
    </row>
    <row r="93" spans="2:21" outlineLevel="1">
      <c r="B93" t="s">
        <v>45</v>
      </c>
      <c r="E93" s="17">
        <f>IF(M62="UNDER",+M61,0)</f>
        <v>1019174</v>
      </c>
      <c r="Q93" s="66"/>
      <c r="R93" s="66"/>
    </row>
    <row r="94" spans="2:21" outlineLevel="1">
      <c r="B94" t="s">
        <v>44</v>
      </c>
      <c r="H94" s="54" t="s">
        <v>75</v>
      </c>
      <c r="I94" s="54" t="s">
        <v>77</v>
      </c>
      <c r="J94" s="54" t="s">
        <v>76</v>
      </c>
      <c r="Q94" s="66"/>
      <c r="R94" s="66"/>
    </row>
    <row r="95" spans="2:21" outlineLevel="1">
      <c r="E95" s="17"/>
      <c r="F95" s="2"/>
      <c r="H95" s="54"/>
      <c r="I95" s="68">
        <f>E93</f>
        <v>1019174</v>
      </c>
      <c r="J95" s="54"/>
      <c r="Q95" s="66"/>
      <c r="R95" s="66"/>
    </row>
    <row r="96" spans="2:21" outlineLevel="1">
      <c r="E96" s="3"/>
      <c r="F96" s="17"/>
      <c r="G96" s="54">
        <v>1</v>
      </c>
      <c r="H96" s="69">
        <f t="shared" ref="H96:H115" si="40">+IF(I95&gt;0,MIN(SUMIF($N$71:$N$90,G96,$E$71:$E$90),I95),0)</f>
        <v>0</v>
      </c>
      <c r="I96" s="68">
        <f>I95-H96</f>
        <v>1019174</v>
      </c>
      <c r="J96" s="54" t="str">
        <f ca="1">IF(ISERROR(VLOOKUP(G96,R$71:U$90,4,FALSE)),"",VLOOKUP(G96,R$71:U$90,4,FALSE))</f>
        <v/>
      </c>
      <c r="K96" s="2">
        <f>+H96</f>
        <v>0</v>
      </c>
      <c r="Q96" s="66"/>
      <c r="R96" s="66"/>
    </row>
    <row r="97" spans="5:18" outlineLevel="1">
      <c r="E97" s="3"/>
      <c r="F97" s="17"/>
      <c r="G97" s="54">
        <f>1+G96</f>
        <v>2</v>
      </c>
      <c r="H97" s="69">
        <f t="shared" si="40"/>
        <v>0</v>
      </c>
      <c r="I97" s="68">
        <f t="shared" ref="I97:I115" si="41">I96-H97</f>
        <v>1019174</v>
      </c>
      <c r="J97" s="54" t="str">
        <f t="shared" ref="J97:J115" ca="1" si="42">IF(ISERROR(VLOOKUP(G97,R$71:U$90,4,FALSE)),"",VLOOKUP(G97,R$71:U$90,4,FALSE))</f>
        <v/>
      </c>
      <c r="K97" s="2">
        <f t="shared" ref="K97:K115" si="43">+H97</f>
        <v>0</v>
      </c>
      <c r="Q97" s="66"/>
      <c r="R97" s="66"/>
    </row>
    <row r="98" spans="5:18" outlineLevel="1">
      <c r="E98" s="3"/>
      <c r="F98" s="17"/>
      <c r="G98" s="54">
        <f t="shared" ref="G98:G115" si="44">1+G97</f>
        <v>3</v>
      </c>
      <c r="H98" s="69">
        <f t="shared" si="40"/>
        <v>0</v>
      </c>
      <c r="I98" s="68">
        <f t="shared" si="41"/>
        <v>1019174</v>
      </c>
      <c r="J98" s="54" t="str">
        <f t="shared" ca="1" si="42"/>
        <v/>
      </c>
      <c r="K98" s="2">
        <f t="shared" si="43"/>
        <v>0</v>
      </c>
      <c r="Q98" s="66"/>
      <c r="R98" s="66"/>
    </row>
    <row r="99" spans="5:18" outlineLevel="1">
      <c r="E99" s="3"/>
      <c r="F99" s="17"/>
      <c r="G99" s="54">
        <f t="shared" si="44"/>
        <v>4</v>
      </c>
      <c r="H99" s="69">
        <f t="shared" si="40"/>
        <v>0</v>
      </c>
      <c r="I99" s="68">
        <f t="shared" si="41"/>
        <v>1019174</v>
      </c>
      <c r="J99" s="54" t="str">
        <f t="shared" ca="1" si="42"/>
        <v/>
      </c>
      <c r="K99" s="2">
        <f t="shared" si="43"/>
        <v>0</v>
      </c>
      <c r="Q99" s="66"/>
      <c r="R99" s="66"/>
    </row>
    <row r="100" spans="5:18" outlineLevel="1">
      <c r="E100" s="3"/>
      <c r="F100" s="17"/>
      <c r="G100" s="54">
        <f t="shared" si="44"/>
        <v>5</v>
      </c>
      <c r="H100" s="69">
        <f t="shared" si="40"/>
        <v>0</v>
      </c>
      <c r="I100" s="68">
        <f t="shared" si="41"/>
        <v>1019174</v>
      </c>
      <c r="J100" s="54" t="str">
        <f t="shared" ca="1" si="42"/>
        <v/>
      </c>
      <c r="K100" s="2">
        <f t="shared" si="43"/>
        <v>0</v>
      </c>
      <c r="Q100" s="66"/>
      <c r="R100" s="66"/>
    </row>
    <row r="101" spans="5:18" outlineLevel="1">
      <c r="E101" s="3"/>
      <c r="F101" s="17"/>
      <c r="G101" s="54">
        <f t="shared" si="44"/>
        <v>6</v>
      </c>
      <c r="H101" s="69">
        <f t="shared" si="40"/>
        <v>0</v>
      </c>
      <c r="I101" s="68">
        <f t="shared" si="41"/>
        <v>1019174</v>
      </c>
      <c r="J101" s="54" t="str">
        <f t="shared" ca="1" si="42"/>
        <v/>
      </c>
      <c r="K101" s="2">
        <f t="shared" si="43"/>
        <v>0</v>
      </c>
      <c r="Q101" s="66"/>
      <c r="R101" s="66"/>
    </row>
    <row r="102" spans="5:18" outlineLevel="1">
      <c r="E102" s="3"/>
      <c r="F102" s="17"/>
      <c r="G102" s="54">
        <f t="shared" si="44"/>
        <v>7</v>
      </c>
      <c r="H102" s="69">
        <f t="shared" si="40"/>
        <v>0</v>
      </c>
      <c r="I102" s="68">
        <f t="shared" si="41"/>
        <v>1019174</v>
      </c>
      <c r="J102" s="54" t="str">
        <f t="shared" ca="1" si="42"/>
        <v/>
      </c>
      <c r="K102" s="2">
        <f t="shared" si="43"/>
        <v>0</v>
      </c>
      <c r="Q102" s="66"/>
      <c r="R102" s="66"/>
    </row>
    <row r="103" spans="5:18" outlineLevel="1">
      <c r="E103" s="3"/>
      <c r="F103" s="17"/>
      <c r="G103" s="54">
        <f t="shared" si="44"/>
        <v>8</v>
      </c>
      <c r="H103" s="69">
        <f t="shared" si="40"/>
        <v>0</v>
      </c>
      <c r="I103" s="68">
        <f t="shared" si="41"/>
        <v>1019174</v>
      </c>
      <c r="J103" s="54" t="str">
        <f t="shared" ca="1" si="42"/>
        <v/>
      </c>
      <c r="K103" s="2">
        <f t="shared" si="43"/>
        <v>0</v>
      </c>
      <c r="Q103" s="66"/>
      <c r="R103" s="66"/>
    </row>
    <row r="104" spans="5:18" outlineLevel="1">
      <c r="E104" s="3"/>
      <c r="F104" s="17"/>
      <c r="G104" s="54">
        <f t="shared" si="44"/>
        <v>9</v>
      </c>
      <c r="H104" s="69">
        <f t="shared" si="40"/>
        <v>0</v>
      </c>
      <c r="I104" s="68">
        <f t="shared" si="41"/>
        <v>1019174</v>
      </c>
      <c r="J104" s="54" t="str">
        <f t="shared" ca="1" si="42"/>
        <v/>
      </c>
      <c r="K104" s="2">
        <f t="shared" si="43"/>
        <v>0</v>
      </c>
    </row>
    <row r="105" spans="5:18" outlineLevel="1">
      <c r="E105" s="3"/>
      <c r="F105" s="17"/>
      <c r="G105" s="54">
        <f t="shared" si="44"/>
        <v>10</v>
      </c>
      <c r="H105" s="69">
        <f t="shared" si="40"/>
        <v>0</v>
      </c>
      <c r="I105" s="68">
        <f t="shared" si="41"/>
        <v>1019174</v>
      </c>
      <c r="J105" s="54" t="str">
        <f t="shared" ca="1" si="42"/>
        <v/>
      </c>
      <c r="K105" s="2">
        <f t="shared" si="43"/>
        <v>0</v>
      </c>
    </row>
    <row r="106" spans="5:18" outlineLevel="1">
      <c r="E106" s="3"/>
      <c r="F106" s="17"/>
      <c r="G106" s="54">
        <f t="shared" si="44"/>
        <v>11</v>
      </c>
      <c r="H106" s="69">
        <f t="shared" si="40"/>
        <v>0</v>
      </c>
      <c r="I106" s="68">
        <f t="shared" si="41"/>
        <v>1019174</v>
      </c>
      <c r="J106" s="54" t="str">
        <f t="shared" ca="1" si="42"/>
        <v/>
      </c>
      <c r="K106" s="2">
        <f t="shared" si="43"/>
        <v>0</v>
      </c>
    </row>
    <row r="107" spans="5:18" outlineLevel="1">
      <c r="E107" s="3"/>
      <c r="F107" s="17"/>
      <c r="G107" s="54">
        <f t="shared" si="44"/>
        <v>12</v>
      </c>
      <c r="H107" s="69">
        <f t="shared" si="40"/>
        <v>0</v>
      </c>
      <c r="I107" s="68">
        <f t="shared" si="41"/>
        <v>1019174</v>
      </c>
      <c r="J107" s="54" t="str">
        <f t="shared" ca="1" si="42"/>
        <v/>
      </c>
      <c r="K107" s="2">
        <f t="shared" si="43"/>
        <v>0</v>
      </c>
    </row>
    <row r="108" spans="5:18" outlineLevel="1">
      <c r="E108" s="3"/>
      <c r="F108" s="17"/>
      <c r="G108" s="54">
        <f t="shared" si="44"/>
        <v>13</v>
      </c>
      <c r="H108" s="69">
        <f t="shared" si="40"/>
        <v>0</v>
      </c>
      <c r="I108" s="68">
        <f t="shared" si="41"/>
        <v>1019174</v>
      </c>
      <c r="J108" s="54" t="str">
        <f t="shared" ca="1" si="42"/>
        <v/>
      </c>
      <c r="K108" s="2">
        <f t="shared" si="43"/>
        <v>0</v>
      </c>
    </row>
    <row r="109" spans="5:18" outlineLevel="1">
      <c r="E109" s="3"/>
      <c r="F109" s="17"/>
      <c r="G109" s="54">
        <f t="shared" si="44"/>
        <v>14</v>
      </c>
      <c r="H109" s="69">
        <f t="shared" si="40"/>
        <v>0</v>
      </c>
      <c r="I109" s="68">
        <f t="shared" si="41"/>
        <v>1019174</v>
      </c>
      <c r="J109" s="54" t="str">
        <f t="shared" ca="1" si="42"/>
        <v/>
      </c>
      <c r="K109" s="2">
        <f t="shared" si="43"/>
        <v>0</v>
      </c>
    </row>
    <row r="110" spans="5:18" outlineLevel="1">
      <c r="E110" s="3"/>
      <c r="F110" s="17"/>
      <c r="G110" s="54">
        <f t="shared" si="44"/>
        <v>15</v>
      </c>
      <c r="H110" s="69">
        <f t="shared" si="40"/>
        <v>0</v>
      </c>
      <c r="I110" s="68">
        <f t="shared" si="41"/>
        <v>1019174</v>
      </c>
      <c r="J110" s="54" t="str">
        <f t="shared" ca="1" si="42"/>
        <v/>
      </c>
      <c r="K110" s="2">
        <f t="shared" si="43"/>
        <v>0</v>
      </c>
    </row>
    <row r="111" spans="5:18" outlineLevel="1">
      <c r="E111" s="3"/>
      <c r="F111" s="17"/>
      <c r="G111" s="54">
        <f t="shared" si="44"/>
        <v>16</v>
      </c>
      <c r="H111" s="69">
        <f t="shared" si="40"/>
        <v>0</v>
      </c>
      <c r="I111" s="68">
        <f t="shared" si="41"/>
        <v>1019174</v>
      </c>
      <c r="J111" s="54" t="str">
        <f t="shared" ca="1" si="42"/>
        <v/>
      </c>
      <c r="K111" s="2">
        <f t="shared" si="43"/>
        <v>0</v>
      </c>
    </row>
    <row r="112" spans="5:18" outlineLevel="1">
      <c r="E112" s="3"/>
      <c r="F112" s="17"/>
      <c r="G112" s="54">
        <f t="shared" si="44"/>
        <v>17</v>
      </c>
      <c r="H112" s="69">
        <f t="shared" si="40"/>
        <v>0</v>
      </c>
      <c r="I112" s="68">
        <f t="shared" si="41"/>
        <v>1019174</v>
      </c>
      <c r="J112" s="54" t="str">
        <f t="shared" ca="1" si="42"/>
        <v/>
      </c>
      <c r="K112" s="2">
        <f t="shared" si="43"/>
        <v>0</v>
      </c>
    </row>
    <row r="113" spans="2:13" outlineLevel="1">
      <c r="E113" s="3"/>
      <c r="F113" s="17"/>
      <c r="G113" s="54">
        <f t="shared" si="44"/>
        <v>18</v>
      </c>
      <c r="H113" s="69">
        <f t="shared" si="40"/>
        <v>0</v>
      </c>
      <c r="I113" s="68">
        <f t="shared" si="41"/>
        <v>1019174</v>
      </c>
      <c r="J113" s="54" t="str">
        <f t="shared" ca="1" si="42"/>
        <v/>
      </c>
      <c r="K113" s="2">
        <f t="shared" si="43"/>
        <v>0</v>
      </c>
    </row>
    <row r="114" spans="2:13" outlineLevel="1">
      <c r="E114" s="3"/>
      <c r="F114" s="17"/>
      <c r="G114" s="54">
        <f t="shared" si="44"/>
        <v>19</v>
      </c>
      <c r="H114" s="69">
        <f t="shared" si="40"/>
        <v>0</v>
      </c>
      <c r="I114" s="68">
        <f t="shared" si="41"/>
        <v>1019174</v>
      </c>
      <c r="J114" s="54" t="str">
        <f t="shared" ca="1" si="42"/>
        <v/>
      </c>
      <c r="K114" s="2">
        <f t="shared" si="43"/>
        <v>0</v>
      </c>
    </row>
    <row r="115" spans="2:13" outlineLevel="1">
      <c r="E115" s="3"/>
      <c r="F115" s="17"/>
      <c r="G115" s="54">
        <f t="shared" si="44"/>
        <v>20</v>
      </c>
      <c r="H115" s="69">
        <f t="shared" si="40"/>
        <v>0</v>
      </c>
      <c r="I115" s="68">
        <f t="shared" si="41"/>
        <v>1019174</v>
      </c>
      <c r="J115" s="54" t="str">
        <f t="shared" ca="1" si="42"/>
        <v/>
      </c>
      <c r="K115" s="2">
        <f t="shared" si="43"/>
        <v>0</v>
      </c>
    </row>
    <row r="116" spans="2:13" outlineLevel="1" collapsed="1">
      <c r="E116" s="17"/>
    </row>
    <row r="117" spans="2:13" outlineLevel="1">
      <c r="E117" s="17"/>
      <c r="G117" s="2">
        <f>+G61</f>
        <v>0</v>
      </c>
      <c r="H117" s="2">
        <f t="shared" ref="H117:M117" si="45">+H61</f>
        <v>150274</v>
      </c>
      <c r="I117" s="2">
        <f t="shared" si="45"/>
        <v>383900</v>
      </c>
      <c r="J117" s="2">
        <f t="shared" si="45"/>
        <v>0</v>
      </c>
      <c r="K117" s="2">
        <f t="shared" si="45"/>
        <v>0</v>
      </c>
      <c r="L117" s="2">
        <f t="shared" si="45"/>
        <v>485000</v>
      </c>
      <c r="M117" s="2">
        <f t="shared" si="45"/>
        <v>1019174</v>
      </c>
    </row>
    <row r="118" spans="2:13" outlineLevel="1">
      <c r="B118" s="16" t="s">
        <v>26</v>
      </c>
      <c r="C118" s="16" t="s">
        <v>29</v>
      </c>
      <c r="D118" s="16" t="s">
        <v>47</v>
      </c>
      <c r="E118" s="16" t="s">
        <v>67</v>
      </c>
    </row>
    <row r="119" spans="2:13" outlineLevel="1">
      <c r="B119">
        <f>+B71</f>
        <v>1104134</v>
      </c>
      <c r="C119" s="5">
        <f>+D71</f>
        <v>0</v>
      </c>
      <c r="D119" s="2">
        <f ca="1">+I71</f>
        <v>0</v>
      </c>
      <c r="E119" s="5">
        <f t="shared" ref="E119:E120" ca="1" si="46">+IF(D119&gt;0,C119+(SUMPRODUCT($G119:$L119,$G$141:$L$141)/$M119),0)</f>
        <v>0</v>
      </c>
      <c r="G119" s="3">
        <f ca="1">+G$117/$M$117*$D119</f>
        <v>0</v>
      </c>
      <c r="H119" s="3">
        <f t="shared" ref="H119:L119" ca="1" si="47">+H$117/$M$117*$D119</f>
        <v>0</v>
      </c>
      <c r="I119" s="3">
        <f t="shared" ca="1" si="47"/>
        <v>0</v>
      </c>
      <c r="J119" s="3">
        <f t="shared" ca="1" si="47"/>
        <v>0</v>
      </c>
      <c r="K119" s="3">
        <f t="shared" ca="1" si="47"/>
        <v>0</v>
      </c>
      <c r="L119" s="3">
        <f t="shared" ca="1" si="47"/>
        <v>0</v>
      </c>
      <c r="M119" s="2">
        <f ca="1">SUM(G119:L119)</f>
        <v>0</v>
      </c>
    </row>
    <row r="120" spans="2:13" outlineLevel="1">
      <c r="B120">
        <f t="shared" ref="B120:B138" si="48">+B72</f>
        <v>1104143</v>
      </c>
      <c r="C120" s="5">
        <f t="shared" ref="C120:C138" si="49">+D72</f>
        <v>0</v>
      </c>
      <c r="D120" s="2">
        <f t="shared" ref="D120:D138" ca="1" si="50">+I72</f>
        <v>0</v>
      </c>
      <c r="E120" s="5">
        <f t="shared" ca="1" si="46"/>
        <v>0</v>
      </c>
      <c r="G120" s="3">
        <f t="shared" ref="G120:L138" ca="1" si="51">+G$117/$M$117*$D120</f>
        <v>0</v>
      </c>
      <c r="H120" s="3">
        <f t="shared" ca="1" si="51"/>
        <v>0</v>
      </c>
      <c r="I120" s="3">
        <f t="shared" ca="1" si="51"/>
        <v>0</v>
      </c>
      <c r="J120" s="3">
        <f t="shared" ca="1" si="51"/>
        <v>0</v>
      </c>
      <c r="K120" s="3">
        <f t="shared" ca="1" si="51"/>
        <v>0</v>
      </c>
      <c r="L120" s="3">
        <f t="shared" ca="1" si="51"/>
        <v>0</v>
      </c>
      <c r="M120" s="2">
        <f t="shared" ref="M120:M138" ca="1" si="52">SUM(G120:L120)</f>
        <v>0</v>
      </c>
    </row>
    <row r="121" spans="2:13" outlineLevel="1">
      <c r="B121">
        <f t="shared" si="48"/>
        <v>1104154</v>
      </c>
      <c r="C121" s="5">
        <f t="shared" si="49"/>
        <v>0</v>
      </c>
      <c r="D121" s="2">
        <f t="shared" ca="1" si="50"/>
        <v>0</v>
      </c>
      <c r="E121" s="5">
        <f ca="1">+IF(D121&gt;0,C121+(SUMPRODUCT($G121:$L121,$G$141:$L$141)/$M121),0)</f>
        <v>0</v>
      </c>
      <c r="G121" s="3">
        <f t="shared" ca="1" si="51"/>
        <v>0</v>
      </c>
      <c r="H121" s="3">
        <f t="shared" ca="1" si="51"/>
        <v>0</v>
      </c>
      <c r="I121" s="3">
        <f t="shared" ca="1" si="51"/>
        <v>0</v>
      </c>
      <c r="J121" s="3">
        <f t="shared" ca="1" si="51"/>
        <v>0</v>
      </c>
      <c r="K121" s="3">
        <f t="shared" ca="1" si="51"/>
        <v>0</v>
      </c>
      <c r="L121" s="3">
        <f t="shared" ca="1" si="51"/>
        <v>0</v>
      </c>
      <c r="M121" s="2">
        <f t="shared" ca="1" si="52"/>
        <v>0</v>
      </c>
    </row>
    <row r="122" spans="2:13" outlineLevel="1">
      <c r="B122">
        <f t="shared" si="48"/>
        <v>1104152</v>
      </c>
      <c r="C122" s="5">
        <f t="shared" si="49"/>
        <v>0</v>
      </c>
      <c r="D122" s="2">
        <f t="shared" ca="1" si="50"/>
        <v>0</v>
      </c>
      <c r="E122" s="5">
        <f t="shared" ref="E122:E138" ca="1" si="53">+IF(D122&gt;0,C122+(SUMPRODUCT($G122:$L122,$G$141:$L$141)/$M122),0)</f>
        <v>0</v>
      </c>
      <c r="G122" s="3">
        <f t="shared" ca="1" si="51"/>
        <v>0</v>
      </c>
      <c r="H122" s="3">
        <f t="shared" ca="1" si="51"/>
        <v>0</v>
      </c>
      <c r="I122" s="3">
        <f t="shared" ca="1" si="51"/>
        <v>0</v>
      </c>
      <c r="J122" s="3">
        <f t="shared" ca="1" si="51"/>
        <v>0</v>
      </c>
      <c r="K122" s="3">
        <f t="shared" ca="1" si="51"/>
        <v>0</v>
      </c>
      <c r="L122" s="3">
        <f t="shared" ca="1" si="51"/>
        <v>0</v>
      </c>
      <c r="M122" s="2">
        <f t="shared" ca="1" si="52"/>
        <v>0</v>
      </c>
    </row>
    <row r="123" spans="2:13" outlineLevel="1">
      <c r="B123">
        <f t="shared" si="48"/>
        <v>1104136</v>
      </c>
      <c r="C123" s="5">
        <f t="shared" si="49"/>
        <v>0</v>
      </c>
      <c r="D123" s="2">
        <f t="shared" ca="1" si="50"/>
        <v>0</v>
      </c>
      <c r="E123" s="5">
        <f t="shared" ca="1" si="53"/>
        <v>0</v>
      </c>
      <c r="G123" s="3">
        <f t="shared" ca="1" si="51"/>
        <v>0</v>
      </c>
      <c r="H123" s="3">
        <f t="shared" ca="1" si="51"/>
        <v>0</v>
      </c>
      <c r="I123" s="3">
        <f t="shared" ca="1" si="51"/>
        <v>0</v>
      </c>
      <c r="J123" s="3">
        <f t="shared" ca="1" si="51"/>
        <v>0</v>
      </c>
      <c r="K123" s="3">
        <f t="shared" ca="1" si="51"/>
        <v>0</v>
      </c>
      <c r="L123" s="3">
        <f t="shared" ca="1" si="51"/>
        <v>0</v>
      </c>
      <c r="M123" s="2">
        <f t="shared" ca="1" si="52"/>
        <v>0</v>
      </c>
    </row>
    <row r="124" spans="2:13" outlineLevel="1">
      <c r="B124">
        <f t="shared" si="48"/>
        <v>1104138</v>
      </c>
      <c r="C124" s="5">
        <f t="shared" si="49"/>
        <v>0</v>
      </c>
      <c r="D124" s="2">
        <f t="shared" ca="1" si="50"/>
        <v>0</v>
      </c>
      <c r="E124" s="5">
        <f t="shared" ca="1" si="53"/>
        <v>0</v>
      </c>
      <c r="G124" s="3">
        <f t="shared" ca="1" si="51"/>
        <v>0</v>
      </c>
      <c r="H124" s="3">
        <f t="shared" ca="1" si="51"/>
        <v>0</v>
      </c>
      <c r="I124" s="3">
        <f t="shared" ca="1" si="51"/>
        <v>0</v>
      </c>
      <c r="J124" s="3">
        <f t="shared" ca="1" si="51"/>
        <v>0</v>
      </c>
      <c r="K124" s="3">
        <f t="shared" ca="1" si="51"/>
        <v>0</v>
      </c>
      <c r="L124" s="3">
        <f t="shared" ca="1" si="51"/>
        <v>0</v>
      </c>
      <c r="M124" s="2">
        <f t="shared" ca="1" si="52"/>
        <v>0</v>
      </c>
    </row>
    <row r="125" spans="2:13" outlineLevel="1">
      <c r="B125">
        <f t="shared" si="48"/>
        <v>1104139</v>
      </c>
      <c r="C125" s="5">
        <f t="shared" si="49"/>
        <v>0</v>
      </c>
      <c r="D125" s="2">
        <f t="shared" ca="1" si="50"/>
        <v>0</v>
      </c>
      <c r="E125" s="5">
        <f t="shared" ca="1" si="53"/>
        <v>0</v>
      </c>
      <c r="G125" s="3">
        <f t="shared" ca="1" si="51"/>
        <v>0</v>
      </c>
      <c r="H125" s="3">
        <f t="shared" ca="1" si="51"/>
        <v>0</v>
      </c>
      <c r="I125" s="3">
        <f t="shared" ca="1" si="51"/>
        <v>0</v>
      </c>
      <c r="J125" s="3">
        <f t="shared" ca="1" si="51"/>
        <v>0</v>
      </c>
      <c r="K125" s="3">
        <f t="shared" ca="1" si="51"/>
        <v>0</v>
      </c>
      <c r="L125" s="3">
        <f t="shared" ca="1" si="51"/>
        <v>0</v>
      </c>
      <c r="M125" s="2">
        <f t="shared" ca="1" si="52"/>
        <v>0</v>
      </c>
    </row>
    <row r="126" spans="2:13" outlineLevel="1">
      <c r="B126">
        <f t="shared" si="48"/>
        <v>1104140</v>
      </c>
      <c r="C126" s="5">
        <f t="shared" si="49"/>
        <v>0</v>
      </c>
      <c r="D126" s="2">
        <f t="shared" ca="1" si="50"/>
        <v>0</v>
      </c>
      <c r="E126" s="5">
        <f t="shared" ca="1" si="53"/>
        <v>0</v>
      </c>
      <c r="G126" s="3">
        <f t="shared" ca="1" si="51"/>
        <v>0</v>
      </c>
      <c r="H126" s="3">
        <f t="shared" ca="1" si="51"/>
        <v>0</v>
      </c>
      <c r="I126" s="3">
        <f t="shared" ca="1" si="51"/>
        <v>0</v>
      </c>
      <c r="J126" s="3">
        <f t="shared" ca="1" si="51"/>
        <v>0</v>
      </c>
      <c r="K126" s="3">
        <f t="shared" ca="1" si="51"/>
        <v>0</v>
      </c>
      <c r="L126" s="3">
        <f t="shared" ca="1" si="51"/>
        <v>0</v>
      </c>
      <c r="M126" s="2">
        <f t="shared" ca="1" si="52"/>
        <v>0</v>
      </c>
    </row>
    <row r="127" spans="2:13" outlineLevel="1">
      <c r="B127">
        <f t="shared" si="48"/>
        <v>1104141</v>
      </c>
      <c r="C127" s="5">
        <f t="shared" si="49"/>
        <v>0</v>
      </c>
      <c r="D127" s="2">
        <f t="shared" ca="1" si="50"/>
        <v>0</v>
      </c>
      <c r="E127" s="5">
        <f t="shared" ca="1" si="53"/>
        <v>0</v>
      </c>
      <c r="G127" s="3">
        <f t="shared" ca="1" si="51"/>
        <v>0</v>
      </c>
      <c r="H127" s="3">
        <f t="shared" ca="1" si="51"/>
        <v>0</v>
      </c>
      <c r="I127" s="3">
        <f t="shared" ca="1" si="51"/>
        <v>0</v>
      </c>
      <c r="J127" s="3">
        <f t="shared" ca="1" si="51"/>
        <v>0</v>
      </c>
      <c r="K127" s="3">
        <f t="shared" ca="1" si="51"/>
        <v>0</v>
      </c>
      <c r="L127" s="3">
        <f t="shared" ca="1" si="51"/>
        <v>0</v>
      </c>
      <c r="M127" s="2">
        <f t="shared" ca="1" si="52"/>
        <v>0</v>
      </c>
    </row>
    <row r="128" spans="2:13" outlineLevel="1">
      <c r="B128">
        <f t="shared" si="48"/>
        <v>1104159</v>
      </c>
      <c r="C128" s="5">
        <f t="shared" si="49"/>
        <v>0</v>
      </c>
      <c r="D128" s="2">
        <f t="shared" ca="1" si="50"/>
        <v>0</v>
      </c>
      <c r="E128" s="5">
        <f t="shared" ca="1" si="53"/>
        <v>0</v>
      </c>
      <c r="G128" s="3">
        <f t="shared" ca="1" si="51"/>
        <v>0</v>
      </c>
      <c r="H128" s="3">
        <f t="shared" ca="1" si="51"/>
        <v>0</v>
      </c>
      <c r="I128" s="3">
        <f t="shared" ca="1" si="51"/>
        <v>0</v>
      </c>
      <c r="J128" s="3">
        <f t="shared" ca="1" si="51"/>
        <v>0</v>
      </c>
      <c r="K128" s="3">
        <f t="shared" ca="1" si="51"/>
        <v>0</v>
      </c>
      <c r="L128" s="3">
        <f t="shared" ca="1" si="51"/>
        <v>0</v>
      </c>
      <c r="M128" s="2">
        <f t="shared" ca="1" si="52"/>
        <v>0</v>
      </c>
    </row>
    <row r="129" spans="2:13" outlineLevel="1">
      <c r="B129">
        <f t="shared" si="48"/>
        <v>1104161</v>
      </c>
      <c r="C129" s="5">
        <f t="shared" si="49"/>
        <v>0</v>
      </c>
      <c r="D129" s="2">
        <f t="shared" ca="1" si="50"/>
        <v>0</v>
      </c>
      <c r="E129" s="5">
        <f t="shared" ca="1" si="53"/>
        <v>0</v>
      </c>
      <c r="G129" s="3">
        <f t="shared" ca="1" si="51"/>
        <v>0</v>
      </c>
      <c r="H129" s="3">
        <f t="shared" ca="1" si="51"/>
        <v>0</v>
      </c>
      <c r="I129" s="3">
        <f t="shared" ca="1" si="51"/>
        <v>0</v>
      </c>
      <c r="J129" s="3">
        <f t="shared" ca="1" si="51"/>
        <v>0</v>
      </c>
      <c r="K129" s="3">
        <f t="shared" ca="1" si="51"/>
        <v>0</v>
      </c>
      <c r="L129" s="3">
        <f t="shared" ca="1" si="51"/>
        <v>0</v>
      </c>
      <c r="M129" s="2">
        <f t="shared" ca="1" si="52"/>
        <v>0</v>
      </c>
    </row>
    <row r="130" spans="2:13" outlineLevel="1">
      <c r="B130">
        <f t="shared" si="48"/>
        <v>1104145</v>
      </c>
      <c r="C130" s="5">
        <f t="shared" si="49"/>
        <v>0</v>
      </c>
      <c r="D130" s="2">
        <f t="shared" ca="1" si="50"/>
        <v>0</v>
      </c>
      <c r="E130" s="5">
        <f t="shared" ca="1" si="53"/>
        <v>0</v>
      </c>
      <c r="G130" s="3">
        <f t="shared" ca="1" si="51"/>
        <v>0</v>
      </c>
      <c r="H130" s="3">
        <f t="shared" ca="1" si="51"/>
        <v>0</v>
      </c>
      <c r="I130" s="3">
        <f t="shared" ca="1" si="51"/>
        <v>0</v>
      </c>
      <c r="J130" s="3">
        <f t="shared" ca="1" si="51"/>
        <v>0</v>
      </c>
      <c r="K130" s="3">
        <f t="shared" ca="1" si="51"/>
        <v>0</v>
      </c>
      <c r="L130" s="3">
        <f t="shared" ca="1" si="51"/>
        <v>0</v>
      </c>
      <c r="M130" s="2">
        <f t="shared" ca="1" si="52"/>
        <v>0</v>
      </c>
    </row>
    <row r="131" spans="2:13" outlineLevel="1">
      <c r="B131">
        <f t="shared" si="48"/>
        <v>1104133</v>
      </c>
      <c r="C131" s="5">
        <f t="shared" si="49"/>
        <v>0</v>
      </c>
      <c r="D131" s="2">
        <f t="shared" ca="1" si="50"/>
        <v>0</v>
      </c>
      <c r="E131" s="5">
        <f t="shared" ca="1" si="53"/>
        <v>0</v>
      </c>
      <c r="G131" s="3">
        <f t="shared" ca="1" si="51"/>
        <v>0</v>
      </c>
      <c r="H131" s="3">
        <f t="shared" ca="1" si="51"/>
        <v>0</v>
      </c>
      <c r="I131" s="3">
        <f t="shared" ca="1" si="51"/>
        <v>0</v>
      </c>
      <c r="J131" s="3">
        <f t="shared" ca="1" si="51"/>
        <v>0</v>
      </c>
      <c r="K131" s="3">
        <f t="shared" ca="1" si="51"/>
        <v>0</v>
      </c>
      <c r="L131" s="3">
        <f t="shared" ca="1" si="51"/>
        <v>0</v>
      </c>
      <c r="M131" s="2">
        <f t="shared" ca="1" si="52"/>
        <v>0</v>
      </c>
    </row>
    <row r="132" spans="2:13" outlineLevel="1">
      <c r="B132">
        <f t="shared" si="48"/>
        <v>1104149</v>
      </c>
      <c r="C132" s="5">
        <f t="shared" si="49"/>
        <v>0</v>
      </c>
      <c r="D132" s="2">
        <f t="shared" ca="1" si="50"/>
        <v>0</v>
      </c>
      <c r="E132" s="5">
        <f t="shared" ca="1" si="53"/>
        <v>0</v>
      </c>
      <c r="G132" s="3">
        <f t="shared" ca="1" si="51"/>
        <v>0</v>
      </c>
      <c r="H132" s="3">
        <f t="shared" ca="1" si="51"/>
        <v>0</v>
      </c>
      <c r="I132" s="3">
        <f t="shared" ca="1" si="51"/>
        <v>0</v>
      </c>
      <c r="J132" s="3">
        <f t="shared" ca="1" si="51"/>
        <v>0</v>
      </c>
      <c r="K132" s="3">
        <f t="shared" ca="1" si="51"/>
        <v>0</v>
      </c>
      <c r="L132" s="3">
        <f t="shared" ca="1" si="51"/>
        <v>0</v>
      </c>
      <c r="M132" s="2">
        <f t="shared" ca="1" si="52"/>
        <v>0</v>
      </c>
    </row>
    <row r="133" spans="2:13" outlineLevel="1">
      <c r="B133">
        <f t="shared" si="48"/>
        <v>1104151</v>
      </c>
      <c r="C133" s="5">
        <f t="shared" si="49"/>
        <v>0</v>
      </c>
      <c r="D133" s="2">
        <f t="shared" ca="1" si="50"/>
        <v>0</v>
      </c>
      <c r="E133" s="5">
        <f t="shared" ca="1" si="53"/>
        <v>0</v>
      </c>
      <c r="G133" s="3">
        <f t="shared" ca="1" si="51"/>
        <v>0</v>
      </c>
      <c r="H133" s="3">
        <f t="shared" ca="1" si="51"/>
        <v>0</v>
      </c>
      <c r="I133" s="3">
        <f t="shared" ca="1" si="51"/>
        <v>0</v>
      </c>
      <c r="J133" s="3">
        <f t="shared" ca="1" si="51"/>
        <v>0</v>
      </c>
      <c r="K133" s="3">
        <f t="shared" ca="1" si="51"/>
        <v>0</v>
      </c>
      <c r="L133" s="3">
        <f t="shared" ca="1" si="51"/>
        <v>0</v>
      </c>
      <c r="M133" s="2">
        <f t="shared" ca="1" si="52"/>
        <v>0</v>
      </c>
    </row>
    <row r="134" spans="2:13" outlineLevel="1">
      <c r="B134">
        <f t="shared" si="48"/>
        <v>1104131</v>
      </c>
      <c r="C134" s="5">
        <f t="shared" si="49"/>
        <v>0</v>
      </c>
      <c r="D134" s="2">
        <f t="shared" ca="1" si="50"/>
        <v>0</v>
      </c>
      <c r="E134" s="5">
        <f t="shared" ca="1" si="53"/>
        <v>0</v>
      </c>
      <c r="G134" s="3">
        <f t="shared" ca="1" si="51"/>
        <v>0</v>
      </c>
      <c r="H134" s="3">
        <f t="shared" ca="1" si="51"/>
        <v>0</v>
      </c>
      <c r="I134" s="3">
        <f t="shared" ca="1" si="51"/>
        <v>0</v>
      </c>
      <c r="J134" s="3">
        <f t="shared" ca="1" si="51"/>
        <v>0</v>
      </c>
      <c r="K134" s="3">
        <f t="shared" ca="1" si="51"/>
        <v>0</v>
      </c>
      <c r="L134" s="3">
        <f t="shared" ca="1" si="51"/>
        <v>0</v>
      </c>
      <c r="M134" s="2">
        <f t="shared" ca="1" si="52"/>
        <v>0</v>
      </c>
    </row>
    <row r="135" spans="2:13" outlineLevel="1">
      <c r="B135">
        <f t="shared" si="48"/>
        <v>1104155</v>
      </c>
      <c r="C135" s="5">
        <f t="shared" si="49"/>
        <v>0</v>
      </c>
      <c r="D135" s="2">
        <f t="shared" ca="1" si="50"/>
        <v>0</v>
      </c>
      <c r="E135" s="5">
        <f t="shared" ca="1" si="53"/>
        <v>0</v>
      </c>
      <c r="G135" s="3">
        <f t="shared" ca="1" si="51"/>
        <v>0</v>
      </c>
      <c r="H135" s="3">
        <f t="shared" ca="1" si="51"/>
        <v>0</v>
      </c>
      <c r="I135" s="3">
        <f t="shared" ca="1" si="51"/>
        <v>0</v>
      </c>
      <c r="J135" s="3">
        <f t="shared" ca="1" si="51"/>
        <v>0</v>
      </c>
      <c r="K135" s="3">
        <f t="shared" ca="1" si="51"/>
        <v>0</v>
      </c>
      <c r="L135" s="3">
        <f t="shared" ca="1" si="51"/>
        <v>0</v>
      </c>
      <c r="M135" s="2">
        <f t="shared" ca="1" si="52"/>
        <v>0</v>
      </c>
    </row>
    <row r="136" spans="2:13" outlineLevel="1">
      <c r="B136">
        <f t="shared" si="48"/>
        <v>1104156</v>
      </c>
      <c r="C136" s="5">
        <f t="shared" si="49"/>
        <v>0</v>
      </c>
      <c r="D136" s="2">
        <f t="shared" ca="1" si="50"/>
        <v>0</v>
      </c>
      <c r="E136" s="5">
        <f t="shared" ca="1" si="53"/>
        <v>0</v>
      </c>
      <c r="G136" s="3">
        <f t="shared" ca="1" si="51"/>
        <v>0</v>
      </c>
      <c r="H136" s="3">
        <f t="shared" ca="1" si="51"/>
        <v>0</v>
      </c>
      <c r="I136" s="3">
        <f t="shared" ca="1" si="51"/>
        <v>0</v>
      </c>
      <c r="J136" s="3">
        <f t="shared" ca="1" si="51"/>
        <v>0</v>
      </c>
      <c r="K136" s="3">
        <f t="shared" ca="1" si="51"/>
        <v>0</v>
      </c>
      <c r="L136" s="3">
        <f t="shared" ca="1" si="51"/>
        <v>0</v>
      </c>
      <c r="M136" s="2">
        <f t="shared" ca="1" si="52"/>
        <v>0</v>
      </c>
    </row>
    <row r="137" spans="2:13" outlineLevel="1">
      <c r="B137">
        <f t="shared" si="48"/>
        <v>1104157</v>
      </c>
      <c r="C137" s="5">
        <f t="shared" si="49"/>
        <v>0</v>
      </c>
      <c r="D137" s="2">
        <f t="shared" ca="1" si="50"/>
        <v>0</v>
      </c>
      <c r="E137" s="5">
        <f t="shared" ca="1" si="53"/>
        <v>0</v>
      </c>
      <c r="G137" s="3">
        <f t="shared" ca="1" si="51"/>
        <v>0</v>
      </c>
      <c r="H137" s="3">
        <f t="shared" ca="1" si="51"/>
        <v>0</v>
      </c>
      <c r="I137" s="3">
        <f t="shared" ca="1" si="51"/>
        <v>0</v>
      </c>
      <c r="J137" s="3">
        <f t="shared" ca="1" si="51"/>
        <v>0</v>
      </c>
      <c r="K137" s="3">
        <f t="shared" ca="1" si="51"/>
        <v>0</v>
      </c>
      <c r="L137" s="3">
        <f t="shared" ca="1" si="51"/>
        <v>0</v>
      </c>
      <c r="M137" s="2">
        <f t="shared" ca="1" si="52"/>
        <v>0</v>
      </c>
    </row>
    <row r="138" spans="2:13" outlineLevel="1">
      <c r="B138">
        <f t="shared" si="48"/>
        <v>1104158</v>
      </c>
      <c r="C138" s="5">
        <f t="shared" si="49"/>
        <v>0</v>
      </c>
      <c r="D138" s="2">
        <f t="shared" ca="1" si="50"/>
        <v>0</v>
      </c>
      <c r="E138" s="5">
        <f t="shared" ca="1" si="53"/>
        <v>0</v>
      </c>
      <c r="G138" s="3">
        <f t="shared" ca="1" si="51"/>
        <v>0</v>
      </c>
      <c r="H138" s="3">
        <f t="shared" ca="1" si="51"/>
        <v>0</v>
      </c>
      <c r="I138" s="3">
        <f t="shared" ca="1" si="51"/>
        <v>0</v>
      </c>
      <c r="J138" s="3">
        <f t="shared" ca="1" si="51"/>
        <v>0</v>
      </c>
      <c r="K138" s="3">
        <f t="shared" ca="1" si="51"/>
        <v>0</v>
      </c>
      <c r="L138" s="3">
        <f t="shared" ca="1" si="51"/>
        <v>0</v>
      </c>
      <c r="M138" s="2">
        <f t="shared" ca="1" si="52"/>
        <v>0</v>
      </c>
    </row>
    <row r="139" spans="2:13" outlineLevel="1" collapsed="1">
      <c r="D139" s="2">
        <f ca="1">SUM(D119:D138)</f>
        <v>0</v>
      </c>
      <c r="E139" s="5" t="e">
        <f ca="1">+SUMPRODUCT(D119:D138,E119:E138)/D139</f>
        <v>#DIV/0!</v>
      </c>
      <c r="G139" s="2">
        <f t="shared" ref="G139:M139" ca="1" si="54">SUM(G119:G138)</f>
        <v>0</v>
      </c>
      <c r="H139" s="2">
        <f t="shared" ca="1" si="54"/>
        <v>0</v>
      </c>
      <c r="I139" s="2">
        <f t="shared" ca="1" si="54"/>
        <v>0</v>
      </c>
      <c r="J139" s="2">
        <f t="shared" ca="1" si="54"/>
        <v>0</v>
      </c>
      <c r="K139" s="2">
        <f t="shared" ca="1" si="54"/>
        <v>0</v>
      </c>
      <c r="L139" s="2">
        <f t="shared" ca="1" si="54"/>
        <v>0</v>
      </c>
      <c r="M139" s="2">
        <f t="shared" ca="1" si="54"/>
        <v>0</v>
      </c>
    </row>
    <row r="140" spans="2:13" outlineLevel="1">
      <c r="E140" s="49" t="e">
        <f ca="1">+E139-M148</f>
        <v>#DIV/0!</v>
      </c>
      <c r="G140" s="4">
        <f ca="1">IF(ISERR(+SUMPRODUCT($C$119:$C$138,G$119:G$138)/G$139),0,+SUMPRODUCT($C$119:$C$138,G$119:G$138)/G$139)</f>
        <v>0</v>
      </c>
      <c r="H140" s="4">
        <f t="shared" ref="H140:M140" ca="1" si="55">IF(ISERR(+SUMPRODUCT($C$119:$C$138,H$119:H$138)/H$139),0,+SUMPRODUCT($C$119:$C$138,H$119:H$138)/H$139)</f>
        <v>0</v>
      </c>
      <c r="I140" s="4">
        <f t="shared" ca="1" si="55"/>
        <v>0</v>
      </c>
      <c r="J140" s="4">
        <f t="shared" ca="1" si="55"/>
        <v>0</v>
      </c>
      <c r="K140" s="4">
        <f t="shared" ca="1" si="55"/>
        <v>0</v>
      </c>
      <c r="L140" s="4">
        <f t="shared" ca="1" si="55"/>
        <v>0</v>
      </c>
      <c r="M140" s="4">
        <f t="shared" ca="1" si="55"/>
        <v>0</v>
      </c>
    </row>
    <row r="141" spans="2:13" outlineLevel="1">
      <c r="E141" s="17"/>
      <c r="G141" s="50">
        <f ca="1">+G148-G140</f>
        <v>0</v>
      </c>
      <c r="H141" s="50">
        <f t="shared" ref="H141:L141" ca="1" si="56">+H148-H140</f>
        <v>0</v>
      </c>
      <c r="I141" s="50">
        <f t="shared" ca="1" si="56"/>
        <v>0</v>
      </c>
      <c r="J141" s="50">
        <f t="shared" ca="1" si="56"/>
        <v>0</v>
      </c>
      <c r="K141" s="50">
        <f t="shared" ca="1" si="56"/>
        <v>0</v>
      </c>
      <c r="L141" s="50">
        <f t="shared" ca="1" si="56"/>
        <v>0</v>
      </c>
      <c r="M141" s="50">
        <f ca="1">+M148-M140</f>
        <v>0</v>
      </c>
    </row>
    <row r="142" spans="2:13" outlineLevel="1">
      <c r="B142" t="s">
        <v>51</v>
      </c>
      <c r="D142" s="5">
        <f>+MAX(F8:F27,G36:L36)</f>
        <v>3.5000000000000003E-2</v>
      </c>
      <c r="E142" s="17"/>
      <c r="G142" s="4"/>
      <c r="H142" s="4"/>
      <c r="I142" s="4"/>
      <c r="J142" s="4"/>
      <c r="K142" s="4"/>
      <c r="L142" s="4"/>
      <c r="M142" s="4"/>
    </row>
    <row r="143" spans="2:13" outlineLevel="1">
      <c r="B143" t="s">
        <v>52</v>
      </c>
      <c r="D143" s="47">
        <f>+M67</f>
        <v>3.5000000000000003E-2</v>
      </c>
      <c r="E143" s="17"/>
      <c r="G143" s="4"/>
      <c r="H143" s="4"/>
      <c r="I143" s="4"/>
      <c r="J143" s="4"/>
      <c r="K143" s="4"/>
      <c r="L143" s="4"/>
      <c r="M143" s="4"/>
    </row>
    <row r="144" spans="2:13" outlineLevel="1">
      <c r="B144" t="s">
        <v>50</v>
      </c>
      <c r="D144" s="46">
        <f>+D142-D143</f>
        <v>0</v>
      </c>
      <c r="E144" s="17"/>
      <c r="G144" s="4"/>
      <c r="H144" s="4"/>
      <c r="I144" s="4"/>
      <c r="J144" s="4"/>
      <c r="K144" s="4"/>
      <c r="L144" s="4"/>
      <c r="M144" s="4"/>
    </row>
    <row r="145" spans="1:13" outlineLevel="1">
      <c r="B145" t="s">
        <v>48</v>
      </c>
      <c r="E145" s="41"/>
      <c r="G145" s="4">
        <f>+(1-G66)*$D$144</f>
        <v>0</v>
      </c>
      <c r="H145" s="4">
        <f t="shared" ref="H145:L145" si="57">+(1-H66)*$D$144</f>
        <v>0</v>
      </c>
      <c r="I145" s="4">
        <f t="shared" si="57"/>
        <v>0</v>
      </c>
      <c r="J145" s="4">
        <f t="shared" si="57"/>
        <v>0</v>
      </c>
      <c r="K145" s="4">
        <f t="shared" si="57"/>
        <v>0</v>
      </c>
      <c r="L145" s="4">
        <f t="shared" si="57"/>
        <v>0</v>
      </c>
      <c r="M145" s="4"/>
    </row>
    <row r="146" spans="1:13" outlineLevel="1">
      <c r="E146" s="17"/>
      <c r="G146" s="4">
        <f ca="1">+IF(G65&gt;0,IF(G140&lt;G67,G140+G145,G140),G140+G145)</f>
        <v>0</v>
      </c>
      <c r="H146" s="4">
        <f t="shared" ref="H146:L146" ca="1" si="58">+IF(H65&gt;0,IF(H140&lt;H67,H140+H145,H140),H140+H145)</f>
        <v>0</v>
      </c>
      <c r="I146" s="4">
        <f t="shared" ca="1" si="58"/>
        <v>0</v>
      </c>
      <c r="J146" s="4">
        <f t="shared" ca="1" si="58"/>
        <v>0</v>
      </c>
      <c r="K146" s="4">
        <f t="shared" ca="1" si="58"/>
        <v>0</v>
      </c>
      <c r="L146" s="4">
        <f t="shared" ca="1" si="58"/>
        <v>0</v>
      </c>
      <c r="M146" s="4"/>
    </row>
    <row r="147" spans="1:13">
      <c r="D147" s="18" t="s">
        <v>61</v>
      </c>
      <c r="E147" s="19"/>
      <c r="F147" s="19"/>
      <c r="G147" s="20">
        <f ca="1">+G139</f>
        <v>0</v>
      </c>
      <c r="H147" s="20">
        <f t="shared" ref="H147:M147" ca="1" si="59">+H139</f>
        <v>0</v>
      </c>
      <c r="I147" s="20">
        <f t="shared" ca="1" si="59"/>
        <v>0</v>
      </c>
      <c r="J147" s="20">
        <f t="shared" ca="1" si="59"/>
        <v>0</v>
      </c>
      <c r="K147" s="20">
        <f t="shared" ca="1" si="59"/>
        <v>0</v>
      </c>
      <c r="L147" s="20">
        <f t="shared" ca="1" si="59"/>
        <v>0</v>
      </c>
      <c r="M147" s="21">
        <f t="shared" ca="1" si="59"/>
        <v>0</v>
      </c>
    </row>
    <row r="148" spans="1:13">
      <c r="D148" s="22" t="s">
        <v>2</v>
      </c>
      <c r="E148" s="23"/>
      <c r="F148" s="23"/>
      <c r="G148" s="48">
        <f ca="1">+G146</f>
        <v>0</v>
      </c>
      <c r="H148" s="48">
        <f t="shared" ref="H148:L148" ca="1" si="60">+H146</f>
        <v>0</v>
      </c>
      <c r="I148" s="48">
        <f t="shared" ca="1" si="60"/>
        <v>0</v>
      </c>
      <c r="J148" s="48">
        <f t="shared" ca="1" si="60"/>
        <v>0</v>
      </c>
      <c r="K148" s="48">
        <f t="shared" ca="1" si="60"/>
        <v>0</v>
      </c>
      <c r="L148" s="48">
        <f t="shared" ca="1" si="60"/>
        <v>0</v>
      </c>
      <c r="M148" s="25">
        <f ca="1">+IF(M147=0,0,SUMPRODUCT(G147:L147,G148:L148/M147))</f>
        <v>0</v>
      </c>
    </row>
    <row r="149" spans="1:13">
      <c r="E149" s="17"/>
    </row>
    <row r="150" spans="1:13">
      <c r="E150" s="17"/>
    </row>
    <row r="151" spans="1:13">
      <c r="D151" s="28" t="s">
        <v>35</v>
      </c>
      <c r="E151" s="29"/>
      <c r="F151" s="29"/>
      <c r="G151" s="30">
        <f ca="1">+G65+G139</f>
        <v>318725</v>
      </c>
      <c r="H151" s="30">
        <f t="shared" ref="H151:M151" ca="1" si="61">+H65+H139</f>
        <v>225411</v>
      </c>
      <c r="I151" s="30">
        <f t="shared" ca="1" si="61"/>
        <v>95975</v>
      </c>
      <c r="J151" s="30">
        <f t="shared" ca="1" si="61"/>
        <v>525400</v>
      </c>
      <c r="K151" s="30">
        <f t="shared" ca="1" si="61"/>
        <v>515425</v>
      </c>
      <c r="L151" s="30">
        <f t="shared" ca="1" si="61"/>
        <v>0</v>
      </c>
      <c r="M151" s="31">
        <f t="shared" ca="1" si="61"/>
        <v>1680936</v>
      </c>
    </row>
    <row r="152" spans="1:13">
      <c r="D152" s="32" t="s">
        <v>2</v>
      </c>
      <c r="E152" s="33"/>
      <c r="F152" s="33"/>
      <c r="G152" s="34">
        <f ca="1">+IF(ISERR(+IF(ISERR(G67),G146,((G139*G146)+(G65*G67))/G151)),0,+IF(ISERR(G67),G146,((G139*G146)+(G65*G67))/G151))</f>
        <v>3.5000000000000003E-2</v>
      </c>
      <c r="H152" s="34">
        <f t="shared" ref="H152:L152" ca="1" si="62">+IF(ISERR(+IF(ISERR(H67),H146,((H139*H146)+(H65*H67))/H151)),0,+IF(ISERR(H67),H146,((H139*H146)+(H65*H67))/H151))</f>
        <v>3.5000000000000003E-2</v>
      </c>
      <c r="I152" s="34">
        <f t="shared" ca="1" si="62"/>
        <v>3.5000000000000003E-2</v>
      </c>
      <c r="J152" s="34">
        <f t="shared" ca="1" si="62"/>
        <v>3.5000000000000003E-2</v>
      </c>
      <c r="K152" s="34">
        <f t="shared" ca="1" si="62"/>
        <v>3.5000000000000003E-2</v>
      </c>
      <c r="L152" s="34">
        <f t="shared" ca="1" si="62"/>
        <v>0</v>
      </c>
      <c r="M152" s="35">
        <f ca="1">+SUMPRODUCT(G151:L151,G152:L152)/M151</f>
        <v>3.5000000000000003E-2</v>
      </c>
    </row>
    <row r="153" spans="1:13">
      <c r="E153" s="17"/>
    </row>
    <row r="154" spans="1:13">
      <c r="D154" t="s">
        <v>30</v>
      </c>
      <c r="G154" s="2">
        <f t="shared" ref="G154:M154" ca="1" si="63">+G4-G151</f>
        <v>0</v>
      </c>
      <c r="H154" s="2">
        <f t="shared" ca="1" si="63"/>
        <v>150274</v>
      </c>
      <c r="I154" s="2">
        <f t="shared" ca="1" si="63"/>
        <v>383900</v>
      </c>
      <c r="J154" s="2">
        <f t="shared" ca="1" si="63"/>
        <v>0</v>
      </c>
      <c r="K154" s="2">
        <f t="shared" ca="1" si="63"/>
        <v>0</v>
      </c>
      <c r="L154" s="2">
        <f t="shared" ca="1" si="63"/>
        <v>485000</v>
      </c>
      <c r="M154" s="2">
        <f t="shared" ca="1" si="63"/>
        <v>1019174</v>
      </c>
    </row>
    <row r="155" spans="1:13">
      <c r="D155" t="s">
        <v>31</v>
      </c>
      <c r="G155" s="7" t="str">
        <f ca="1">+IF(G154=0,"NA",IF(G154&lt;0,"OVER","UNDER"))</f>
        <v>NA</v>
      </c>
      <c r="H155" s="7" t="str">
        <f t="shared" ref="H155" ca="1" si="64">+IF(H154=0,"NA",IF(H154&lt;0,"OVER","UNDER"))</f>
        <v>UNDER</v>
      </c>
      <c r="I155" s="7" t="str">
        <f t="shared" ref="I155" ca="1" si="65">+IF(I154=0,"NA",IF(I154&lt;0,"OVER","UNDER"))</f>
        <v>UNDER</v>
      </c>
      <c r="J155" s="7" t="str">
        <f t="shared" ref="J155" ca="1" si="66">+IF(J154=0,"NA",IF(J154&lt;0,"OVER","UNDER"))</f>
        <v>NA</v>
      </c>
      <c r="K155" s="7" t="str">
        <f t="shared" ref="K155" ca="1" si="67">+IF(K154=0,"NA",IF(K154&lt;0,"OVER","UNDER"))</f>
        <v>NA</v>
      </c>
      <c r="L155" s="7" t="str">
        <f t="shared" ref="L155" ca="1" si="68">+IF(L154=0,"NA",IF(L154&lt;0,"OVER","UNDER"))</f>
        <v>UNDER</v>
      </c>
      <c r="M155" s="7" t="str">
        <f t="shared" ref="M155" ca="1" si="69">+IF(M154=0,"NA",IF(M154&lt;0,"OVER","UNDER"))</f>
        <v>UNDER</v>
      </c>
    </row>
    <row r="156" spans="1:13">
      <c r="D156" s="36"/>
      <c r="E156" s="36"/>
      <c r="F156" s="36"/>
      <c r="G156" s="37"/>
      <c r="H156" s="37"/>
      <c r="I156" s="37"/>
      <c r="J156" s="37"/>
      <c r="K156" s="37"/>
      <c r="L156" s="37"/>
      <c r="M156" s="37"/>
    </row>
    <row r="157" spans="1:13">
      <c r="A157" t="s">
        <v>53</v>
      </c>
      <c r="E157" s="17"/>
      <c r="M157" s="2"/>
    </row>
    <row r="158" spans="1:13" ht="45" hidden="1" outlineLevel="1">
      <c r="B158" s="16" t="s">
        <v>26</v>
      </c>
      <c r="C158" s="26" t="s">
        <v>54</v>
      </c>
      <c r="D158" s="16" t="s">
        <v>56</v>
      </c>
      <c r="E158" s="16" t="s">
        <v>60</v>
      </c>
    </row>
    <row r="159" spans="1:13" hidden="1" outlineLevel="1">
      <c r="B159">
        <f>+'bid input'!B2</f>
        <v>1104134</v>
      </c>
      <c r="C159" s="17" t="str">
        <f>+IF('bid input'!R2=1,"Y","N")</f>
        <v>N</v>
      </c>
      <c r="D159" s="2">
        <f>+IF(C159="Y",+'bid input'!M2,0)</f>
        <v>0</v>
      </c>
      <c r="E159" s="17">
        <f ca="1">+D159*$D$181</f>
        <v>0</v>
      </c>
      <c r="G159" s="3">
        <f ca="1">+IF(ISERR(+$E159/$E$179*G$154),0,+$E159/$E$179*G$154)</f>
        <v>0</v>
      </c>
      <c r="H159" s="3">
        <f t="shared" ref="H159:L159" ca="1" si="70">+IF(ISERR(+$E159/$E$179*H$154),0,+$E159/$E$179*H$154)</f>
        <v>0</v>
      </c>
      <c r="I159" s="3">
        <f t="shared" ca="1" si="70"/>
        <v>0</v>
      </c>
      <c r="J159" s="3">
        <f t="shared" ca="1" si="70"/>
        <v>0</v>
      </c>
      <c r="K159" s="3">
        <f t="shared" ca="1" si="70"/>
        <v>0</v>
      </c>
      <c r="L159" s="3">
        <f t="shared" ca="1" si="70"/>
        <v>0</v>
      </c>
      <c r="M159" s="2">
        <f ca="1">IF(ISERR(SUM(G159:L159)),0,SUM(G159:L159))</f>
        <v>0</v>
      </c>
    </row>
    <row r="160" spans="1:13" hidden="1" outlineLevel="1">
      <c r="B160">
        <f>+'bid input'!B3</f>
        <v>1104143</v>
      </c>
      <c r="C160" s="17" t="str">
        <f>+IF('bid input'!R3=1,"Y","N")</f>
        <v>N</v>
      </c>
      <c r="D160" s="2">
        <f>+IF(C160="Y",+'bid input'!M3,0)</f>
        <v>0</v>
      </c>
      <c r="E160" s="17">
        <f t="shared" ref="E160:E178" ca="1" si="71">+D160*$D$181</f>
        <v>0</v>
      </c>
      <c r="G160" s="3">
        <f t="shared" ref="G160:L178" ca="1" si="72">+IF(ISERR(+$E160/$E$179*G$154),0,+$E160/$E$179*G$154)</f>
        <v>0</v>
      </c>
      <c r="H160" s="3">
        <f t="shared" ca="1" si="72"/>
        <v>0</v>
      </c>
      <c r="I160" s="3">
        <f t="shared" ca="1" si="72"/>
        <v>0</v>
      </c>
      <c r="J160" s="3">
        <f t="shared" ca="1" si="72"/>
        <v>0</v>
      </c>
      <c r="K160" s="3">
        <f t="shared" ca="1" si="72"/>
        <v>0</v>
      </c>
      <c r="L160" s="3">
        <f t="shared" ca="1" si="72"/>
        <v>0</v>
      </c>
      <c r="M160" s="2">
        <f t="shared" ref="M160:M178" ca="1" si="73">IF(ISERR(SUM(G160:L160)),0,SUM(G160:L160))</f>
        <v>0</v>
      </c>
    </row>
    <row r="161" spans="2:13" hidden="1" outlineLevel="1">
      <c r="B161">
        <f>+'bid input'!B4</f>
        <v>1104154</v>
      </c>
      <c r="C161" s="17" t="str">
        <f>+IF('bid input'!R4=1,"Y","N")</f>
        <v>N</v>
      </c>
      <c r="D161" s="2">
        <f>+IF(C161="Y",+'bid input'!M4,0)</f>
        <v>0</v>
      </c>
      <c r="E161" s="17">
        <f t="shared" ca="1" si="71"/>
        <v>0</v>
      </c>
      <c r="G161" s="3">
        <f t="shared" ca="1" si="72"/>
        <v>0</v>
      </c>
      <c r="H161" s="3">
        <f t="shared" ca="1" si="72"/>
        <v>0</v>
      </c>
      <c r="I161" s="3">
        <f t="shared" ca="1" si="72"/>
        <v>0</v>
      </c>
      <c r="J161" s="3">
        <f t="shared" ca="1" si="72"/>
        <v>0</v>
      </c>
      <c r="K161" s="3">
        <f t="shared" ca="1" si="72"/>
        <v>0</v>
      </c>
      <c r="L161" s="3">
        <f t="shared" ca="1" si="72"/>
        <v>0</v>
      </c>
      <c r="M161" s="2">
        <f t="shared" ca="1" si="73"/>
        <v>0</v>
      </c>
    </row>
    <row r="162" spans="2:13" hidden="1" outlineLevel="1">
      <c r="B162">
        <f>+'bid input'!B5</f>
        <v>1104152</v>
      </c>
      <c r="C162" s="17" t="str">
        <f>+IF('bid input'!R5=1,"Y","N")</f>
        <v>N</v>
      </c>
      <c r="D162" s="2">
        <f>+IF(C162="Y",+'bid input'!M5,0)</f>
        <v>0</v>
      </c>
      <c r="E162" s="17">
        <f t="shared" ca="1" si="71"/>
        <v>0</v>
      </c>
      <c r="G162" s="3">
        <f t="shared" ca="1" si="72"/>
        <v>0</v>
      </c>
      <c r="H162" s="3">
        <f t="shared" ca="1" si="72"/>
        <v>0</v>
      </c>
      <c r="I162" s="3">
        <f t="shared" ca="1" si="72"/>
        <v>0</v>
      </c>
      <c r="J162" s="3">
        <f t="shared" ca="1" si="72"/>
        <v>0</v>
      </c>
      <c r="K162" s="3">
        <f t="shared" ca="1" si="72"/>
        <v>0</v>
      </c>
      <c r="L162" s="3">
        <f t="shared" ca="1" si="72"/>
        <v>0</v>
      </c>
      <c r="M162" s="2">
        <f t="shared" ca="1" si="73"/>
        <v>0</v>
      </c>
    </row>
    <row r="163" spans="2:13" hidden="1" outlineLevel="1">
      <c r="B163">
        <f>+'bid input'!B6</f>
        <v>1104136</v>
      </c>
      <c r="C163" s="17" t="str">
        <f>+IF('bid input'!R6=1,"Y","N")</f>
        <v>N</v>
      </c>
      <c r="D163" s="2">
        <f>+IF(C163="Y",+'bid input'!M6,0)</f>
        <v>0</v>
      </c>
      <c r="E163" s="17">
        <f t="shared" ca="1" si="71"/>
        <v>0</v>
      </c>
      <c r="G163" s="3">
        <f t="shared" ca="1" si="72"/>
        <v>0</v>
      </c>
      <c r="H163" s="3">
        <f t="shared" ca="1" si="72"/>
        <v>0</v>
      </c>
      <c r="I163" s="3">
        <f t="shared" ca="1" si="72"/>
        <v>0</v>
      </c>
      <c r="J163" s="3">
        <f t="shared" ca="1" si="72"/>
        <v>0</v>
      </c>
      <c r="K163" s="3">
        <f t="shared" ca="1" si="72"/>
        <v>0</v>
      </c>
      <c r="L163" s="3">
        <f t="shared" ca="1" si="72"/>
        <v>0</v>
      </c>
      <c r="M163" s="2">
        <f t="shared" ca="1" si="73"/>
        <v>0</v>
      </c>
    </row>
    <row r="164" spans="2:13" hidden="1" outlineLevel="1">
      <c r="B164">
        <f>+'bid input'!B7</f>
        <v>1104138</v>
      </c>
      <c r="C164" s="17" t="str">
        <f>+IF('bid input'!R7=1,"Y","N")</f>
        <v>N</v>
      </c>
      <c r="D164" s="2">
        <f>+IF(C164="Y",+'bid input'!M7,0)</f>
        <v>0</v>
      </c>
      <c r="E164" s="17">
        <f t="shared" ca="1" si="71"/>
        <v>0</v>
      </c>
      <c r="G164" s="3">
        <f t="shared" ca="1" si="72"/>
        <v>0</v>
      </c>
      <c r="H164" s="3">
        <f t="shared" ca="1" si="72"/>
        <v>0</v>
      </c>
      <c r="I164" s="3">
        <f t="shared" ca="1" si="72"/>
        <v>0</v>
      </c>
      <c r="J164" s="3">
        <f t="shared" ca="1" si="72"/>
        <v>0</v>
      </c>
      <c r="K164" s="3">
        <f t="shared" ca="1" si="72"/>
        <v>0</v>
      </c>
      <c r="L164" s="3">
        <f t="shared" ca="1" si="72"/>
        <v>0</v>
      </c>
      <c r="M164" s="2">
        <f t="shared" ca="1" si="73"/>
        <v>0</v>
      </c>
    </row>
    <row r="165" spans="2:13" hidden="1" outlineLevel="1">
      <c r="B165">
        <f>+'bid input'!B8</f>
        <v>1104139</v>
      </c>
      <c r="C165" s="17" t="str">
        <f>+IF('bid input'!R8=1,"Y","N")</f>
        <v>N</v>
      </c>
      <c r="D165" s="2">
        <f>+IF(C165="Y",+'bid input'!M8,0)</f>
        <v>0</v>
      </c>
      <c r="E165" s="17">
        <f t="shared" ca="1" si="71"/>
        <v>0</v>
      </c>
      <c r="G165" s="3">
        <f t="shared" ca="1" si="72"/>
        <v>0</v>
      </c>
      <c r="H165" s="3">
        <f t="shared" ca="1" si="72"/>
        <v>0</v>
      </c>
      <c r="I165" s="3">
        <f t="shared" ca="1" si="72"/>
        <v>0</v>
      </c>
      <c r="J165" s="3">
        <f t="shared" ca="1" si="72"/>
        <v>0</v>
      </c>
      <c r="K165" s="3">
        <f t="shared" ca="1" si="72"/>
        <v>0</v>
      </c>
      <c r="L165" s="3">
        <f t="shared" ca="1" si="72"/>
        <v>0</v>
      </c>
      <c r="M165" s="2">
        <f t="shared" ca="1" si="73"/>
        <v>0</v>
      </c>
    </row>
    <row r="166" spans="2:13" hidden="1" outlineLevel="1">
      <c r="B166">
        <f>+'bid input'!B9</f>
        <v>1104140</v>
      </c>
      <c r="C166" s="17" t="str">
        <f>+IF('bid input'!R9=1,"Y","N")</f>
        <v>N</v>
      </c>
      <c r="D166" s="2">
        <f>+IF(C166="Y",+'bid input'!M9,0)</f>
        <v>0</v>
      </c>
      <c r="E166" s="17">
        <f t="shared" ca="1" si="71"/>
        <v>0</v>
      </c>
      <c r="G166" s="3">
        <f t="shared" ca="1" si="72"/>
        <v>0</v>
      </c>
      <c r="H166" s="3">
        <f t="shared" ca="1" si="72"/>
        <v>0</v>
      </c>
      <c r="I166" s="3">
        <f t="shared" ca="1" si="72"/>
        <v>0</v>
      </c>
      <c r="J166" s="3">
        <f t="shared" ca="1" si="72"/>
        <v>0</v>
      </c>
      <c r="K166" s="3">
        <f t="shared" ca="1" si="72"/>
        <v>0</v>
      </c>
      <c r="L166" s="3">
        <f t="shared" ca="1" si="72"/>
        <v>0</v>
      </c>
      <c r="M166" s="2">
        <f t="shared" ca="1" si="73"/>
        <v>0</v>
      </c>
    </row>
    <row r="167" spans="2:13" hidden="1" outlineLevel="1">
      <c r="B167">
        <f>+'bid input'!B10</f>
        <v>1104141</v>
      </c>
      <c r="C167" s="17" t="str">
        <f>+IF('bid input'!R10=1,"Y","N")</f>
        <v>N</v>
      </c>
      <c r="D167" s="2">
        <f>+IF(C167="Y",+'bid input'!M10,0)</f>
        <v>0</v>
      </c>
      <c r="E167" s="17">
        <f t="shared" ca="1" si="71"/>
        <v>0</v>
      </c>
      <c r="G167" s="3">
        <f t="shared" ca="1" si="72"/>
        <v>0</v>
      </c>
      <c r="H167" s="3">
        <f t="shared" ca="1" si="72"/>
        <v>0</v>
      </c>
      <c r="I167" s="3">
        <f t="shared" ca="1" si="72"/>
        <v>0</v>
      </c>
      <c r="J167" s="3">
        <f t="shared" ca="1" si="72"/>
        <v>0</v>
      </c>
      <c r="K167" s="3">
        <f t="shared" ca="1" si="72"/>
        <v>0</v>
      </c>
      <c r="L167" s="3">
        <f t="shared" ca="1" si="72"/>
        <v>0</v>
      </c>
      <c r="M167" s="2">
        <f t="shared" ca="1" si="73"/>
        <v>0</v>
      </c>
    </row>
    <row r="168" spans="2:13" hidden="1" outlineLevel="1">
      <c r="B168">
        <f>+'bid input'!B11</f>
        <v>1104159</v>
      </c>
      <c r="C168" s="17" t="str">
        <f>+IF('bid input'!R11=1,"Y","N")</f>
        <v>N</v>
      </c>
      <c r="D168" s="2">
        <f>+IF(C168="Y",+'bid input'!M11,0)</f>
        <v>0</v>
      </c>
      <c r="E168" s="17">
        <f t="shared" ca="1" si="71"/>
        <v>0</v>
      </c>
      <c r="G168" s="3">
        <f t="shared" ca="1" si="72"/>
        <v>0</v>
      </c>
      <c r="H168" s="3">
        <f t="shared" ca="1" si="72"/>
        <v>0</v>
      </c>
      <c r="I168" s="3">
        <f t="shared" ca="1" si="72"/>
        <v>0</v>
      </c>
      <c r="J168" s="3">
        <f t="shared" ca="1" si="72"/>
        <v>0</v>
      </c>
      <c r="K168" s="3">
        <f t="shared" ca="1" si="72"/>
        <v>0</v>
      </c>
      <c r="L168" s="3">
        <f t="shared" ca="1" si="72"/>
        <v>0</v>
      </c>
      <c r="M168" s="2">
        <f t="shared" ca="1" si="73"/>
        <v>0</v>
      </c>
    </row>
    <row r="169" spans="2:13" hidden="1" outlineLevel="1">
      <c r="B169">
        <f>+'bid input'!B12</f>
        <v>1104161</v>
      </c>
      <c r="C169" s="17" t="str">
        <f>+IF('bid input'!R12=1,"Y","N")</f>
        <v>N</v>
      </c>
      <c r="D169" s="2">
        <f>+IF(C169="Y",+'bid input'!M12,0)</f>
        <v>0</v>
      </c>
      <c r="E169" s="17">
        <f t="shared" ca="1" si="71"/>
        <v>0</v>
      </c>
      <c r="G169" s="3">
        <f t="shared" ca="1" si="72"/>
        <v>0</v>
      </c>
      <c r="H169" s="3">
        <f t="shared" ca="1" si="72"/>
        <v>0</v>
      </c>
      <c r="I169" s="3">
        <f t="shared" ca="1" si="72"/>
        <v>0</v>
      </c>
      <c r="J169" s="3">
        <f t="shared" ca="1" si="72"/>
        <v>0</v>
      </c>
      <c r="K169" s="3">
        <f t="shared" ca="1" si="72"/>
        <v>0</v>
      </c>
      <c r="L169" s="3">
        <f t="shared" ca="1" si="72"/>
        <v>0</v>
      </c>
      <c r="M169" s="2">
        <f t="shared" ca="1" si="73"/>
        <v>0</v>
      </c>
    </row>
    <row r="170" spans="2:13" hidden="1" outlineLevel="1">
      <c r="B170">
        <f>+'bid input'!B13</f>
        <v>1104145</v>
      </c>
      <c r="C170" s="17" t="str">
        <f>+IF('bid input'!R13=1,"Y","N")</f>
        <v>N</v>
      </c>
      <c r="D170" s="2">
        <f>+IF(C170="Y",+'bid input'!M13,0)</f>
        <v>0</v>
      </c>
      <c r="E170" s="17">
        <f t="shared" ca="1" si="71"/>
        <v>0</v>
      </c>
      <c r="G170" s="3">
        <f t="shared" ca="1" si="72"/>
        <v>0</v>
      </c>
      <c r="H170" s="3">
        <f t="shared" ca="1" si="72"/>
        <v>0</v>
      </c>
      <c r="I170" s="3">
        <f t="shared" ca="1" si="72"/>
        <v>0</v>
      </c>
      <c r="J170" s="3">
        <f t="shared" ca="1" si="72"/>
        <v>0</v>
      </c>
      <c r="K170" s="3">
        <f t="shared" ca="1" si="72"/>
        <v>0</v>
      </c>
      <c r="L170" s="3">
        <f t="shared" ca="1" si="72"/>
        <v>0</v>
      </c>
      <c r="M170" s="2">
        <f t="shared" ca="1" si="73"/>
        <v>0</v>
      </c>
    </row>
    <row r="171" spans="2:13" hidden="1" outlineLevel="1">
      <c r="B171">
        <f>+'bid input'!B14</f>
        <v>1104133</v>
      </c>
      <c r="C171" s="17" t="str">
        <f>+IF('bid input'!R14=1,"Y","N")</f>
        <v>N</v>
      </c>
      <c r="D171" s="2">
        <f>+IF(C171="Y",+'bid input'!M14,0)</f>
        <v>0</v>
      </c>
      <c r="E171" s="17">
        <f t="shared" ca="1" si="71"/>
        <v>0</v>
      </c>
      <c r="G171" s="3">
        <f t="shared" ca="1" si="72"/>
        <v>0</v>
      </c>
      <c r="H171" s="3">
        <f t="shared" ca="1" si="72"/>
        <v>0</v>
      </c>
      <c r="I171" s="3">
        <f t="shared" ca="1" si="72"/>
        <v>0</v>
      </c>
      <c r="J171" s="3">
        <f t="shared" ca="1" si="72"/>
        <v>0</v>
      </c>
      <c r="K171" s="3">
        <f t="shared" ca="1" si="72"/>
        <v>0</v>
      </c>
      <c r="L171" s="3">
        <f t="shared" ca="1" si="72"/>
        <v>0</v>
      </c>
      <c r="M171" s="2">
        <f t="shared" ca="1" si="73"/>
        <v>0</v>
      </c>
    </row>
    <row r="172" spans="2:13" hidden="1" outlineLevel="1">
      <c r="B172">
        <f>+'bid input'!B15</f>
        <v>1104149</v>
      </c>
      <c r="C172" s="17" t="str">
        <f>+IF('bid input'!R15=1,"Y","N")</f>
        <v>N</v>
      </c>
      <c r="D172" s="2">
        <f>+IF(C172="Y",+'bid input'!M15,0)</f>
        <v>0</v>
      </c>
      <c r="E172" s="17">
        <f t="shared" ca="1" si="71"/>
        <v>0</v>
      </c>
      <c r="G172" s="3">
        <f t="shared" ca="1" si="72"/>
        <v>0</v>
      </c>
      <c r="H172" s="3">
        <f t="shared" ca="1" si="72"/>
        <v>0</v>
      </c>
      <c r="I172" s="3">
        <f t="shared" ca="1" si="72"/>
        <v>0</v>
      </c>
      <c r="J172" s="3">
        <f t="shared" ca="1" si="72"/>
        <v>0</v>
      </c>
      <c r="K172" s="3">
        <f t="shared" ca="1" si="72"/>
        <v>0</v>
      </c>
      <c r="L172" s="3">
        <f t="shared" ca="1" si="72"/>
        <v>0</v>
      </c>
      <c r="M172" s="2">
        <f t="shared" ca="1" si="73"/>
        <v>0</v>
      </c>
    </row>
    <row r="173" spans="2:13" hidden="1" outlineLevel="1">
      <c r="B173">
        <f>+'bid input'!B16</f>
        <v>1104151</v>
      </c>
      <c r="C173" s="17" t="str">
        <f>+IF('bid input'!R16=1,"Y","N")</f>
        <v>N</v>
      </c>
      <c r="D173" s="2">
        <f>+IF(C173="Y",+'bid input'!M16,0)</f>
        <v>0</v>
      </c>
      <c r="E173" s="17">
        <f t="shared" ca="1" si="71"/>
        <v>0</v>
      </c>
      <c r="G173" s="3">
        <f t="shared" ca="1" si="72"/>
        <v>0</v>
      </c>
      <c r="H173" s="3">
        <f t="shared" ca="1" si="72"/>
        <v>0</v>
      </c>
      <c r="I173" s="3">
        <f t="shared" ca="1" si="72"/>
        <v>0</v>
      </c>
      <c r="J173" s="3">
        <f t="shared" ca="1" si="72"/>
        <v>0</v>
      </c>
      <c r="K173" s="3">
        <f t="shared" ca="1" si="72"/>
        <v>0</v>
      </c>
      <c r="L173" s="3">
        <f t="shared" ca="1" si="72"/>
        <v>0</v>
      </c>
      <c r="M173" s="2">
        <f t="shared" ca="1" si="73"/>
        <v>0</v>
      </c>
    </row>
    <row r="174" spans="2:13" hidden="1" outlineLevel="1">
      <c r="B174">
        <f>+'bid input'!B17</f>
        <v>1104131</v>
      </c>
      <c r="C174" s="17" t="str">
        <f>+IF('bid input'!R17=1,"Y","N")</f>
        <v>N</v>
      </c>
      <c r="D174" s="2">
        <f>+IF(C174="Y",+'bid input'!M17,0)</f>
        <v>0</v>
      </c>
      <c r="E174" s="17">
        <f t="shared" ca="1" si="71"/>
        <v>0</v>
      </c>
      <c r="G174" s="3">
        <f t="shared" ca="1" si="72"/>
        <v>0</v>
      </c>
      <c r="H174" s="3">
        <f t="shared" ca="1" si="72"/>
        <v>0</v>
      </c>
      <c r="I174" s="3">
        <f t="shared" ca="1" si="72"/>
        <v>0</v>
      </c>
      <c r="J174" s="3">
        <f t="shared" ca="1" si="72"/>
        <v>0</v>
      </c>
      <c r="K174" s="3">
        <f t="shared" ca="1" si="72"/>
        <v>0</v>
      </c>
      <c r="L174" s="3">
        <f t="shared" ca="1" si="72"/>
        <v>0</v>
      </c>
      <c r="M174" s="2">
        <f t="shared" ca="1" si="73"/>
        <v>0</v>
      </c>
    </row>
    <row r="175" spans="2:13" hidden="1" outlineLevel="1">
      <c r="B175">
        <f>+'bid input'!B18</f>
        <v>1104155</v>
      </c>
      <c r="C175" s="17" t="str">
        <f>+IF('bid input'!R18=1,"Y","N")</f>
        <v>N</v>
      </c>
      <c r="D175" s="2">
        <f>+IF(C175="Y",+'bid input'!M18,0)</f>
        <v>0</v>
      </c>
      <c r="E175" s="17">
        <f t="shared" ca="1" si="71"/>
        <v>0</v>
      </c>
      <c r="G175" s="3">
        <f t="shared" ca="1" si="72"/>
        <v>0</v>
      </c>
      <c r="H175" s="3">
        <f t="shared" ca="1" si="72"/>
        <v>0</v>
      </c>
      <c r="I175" s="3">
        <f t="shared" ca="1" si="72"/>
        <v>0</v>
      </c>
      <c r="J175" s="3">
        <f t="shared" ca="1" si="72"/>
        <v>0</v>
      </c>
      <c r="K175" s="3">
        <f t="shared" ca="1" si="72"/>
        <v>0</v>
      </c>
      <c r="L175" s="3">
        <f t="shared" ca="1" si="72"/>
        <v>0</v>
      </c>
      <c r="M175" s="2">
        <f t="shared" ca="1" si="73"/>
        <v>0</v>
      </c>
    </row>
    <row r="176" spans="2:13" hidden="1" outlineLevel="1">
      <c r="B176">
        <f>+'bid input'!B19</f>
        <v>1104156</v>
      </c>
      <c r="C176" s="17" t="str">
        <f>+IF('bid input'!R19=1,"Y","N")</f>
        <v>N</v>
      </c>
      <c r="D176" s="2">
        <f>+IF(C176="Y",+'bid input'!M19,0)</f>
        <v>0</v>
      </c>
      <c r="E176" s="17">
        <f t="shared" ca="1" si="71"/>
        <v>0</v>
      </c>
      <c r="G176" s="3">
        <f t="shared" ca="1" si="72"/>
        <v>0</v>
      </c>
      <c r="H176" s="3">
        <f t="shared" ca="1" si="72"/>
        <v>0</v>
      </c>
      <c r="I176" s="3">
        <f t="shared" ca="1" si="72"/>
        <v>0</v>
      </c>
      <c r="J176" s="3">
        <f t="shared" ca="1" si="72"/>
        <v>0</v>
      </c>
      <c r="K176" s="3">
        <f t="shared" ca="1" si="72"/>
        <v>0</v>
      </c>
      <c r="L176" s="3">
        <f t="shared" ca="1" si="72"/>
        <v>0</v>
      </c>
      <c r="M176" s="2">
        <f t="shared" ca="1" si="73"/>
        <v>0</v>
      </c>
    </row>
    <row r="177" spans="1:13" hidden="1" outlineLevel="1">
      <c r="B177">
        <f>+'bid input'!B20</f>
        <v>1104157</v>
      </c>
      <c r="C177" s="17" t="str">
        <f>+IF('bid input'!R20=1,"Y","N")</f>
        <v>N</v>
      </c>
      <c r="D177" s="2">
        <f>+IF(C177="Y",+'bid input'!M20,0)</f>
        <v>0</v>
      </c>
      <c r="E177" s="17">
        <f t="shared" ca="1" si="71"/>
        <v>0</v>
      </c>
      <c r="G177" s="3">
        <f t="shared" ca="1" si="72"/>
        <v>0</v>
      </c>
      <c r="H177" s="3">
        <f t="shared" ca="1" si="72"/>
        <v>0</v>
      </c>
      <c r="I177" s="3">
        <f t="shared" ca="1" si="72"/>
        <v>0</v>
      </c>
      <c r="J177" s="3">
        <f t="shared" ca="1" si="72"/>
        <v>0</v>
      </c>
      <c r="K177" s="3">
        <f t="shared" ca="1" si="72"/>
        <v>0</v>
      </c>
      <c r="L177" s="3">
        <f t="shared" ca="1" si="72"/>
        <v>0</v>
      </c>
      <c r="M177" s="2">
        <f t="shared" ca="1" si="73"/>
        <v>0</v>
      </c>
    </row>
    <row r="178" spans="1:13" hidden="1" outlineLevel="1">
      <c r="B178">
        <f>+'bid input'!B21</f>
        <v>1104158</v>
      </c>
      <c r="C178" s="17" t="str">
        <f>+IF('bid input'!R21=1,"Y","N")</f>
        <v>N</v>
      </c>
      <c r="D178" s="2">
        <f>+IF(C178="Y",+'bid input'!M21,0)</f>
        <v>0</v>
      </c>
      <c r="E178" s="17">
        <f t="shared" ca="1" si="71"/>
        <v>0</v>
      </c>
      <c r="G178" s="3">
        <f t="shared" ca="1" si="72"/>
        <v>0</v>
      </c>
      <c r="H178" s="3">
        <f t="shared" ca="1" si="72"/>
        <v>0</v>
      </c>
      <c r="I178" s="3">
        <f t="shared" ca="1" si="72"/>
        <v>0</v>
      </c>
      <c r="J178" s="3">
        <f t="shared" ca="1" si="72"/>
        <v>0</v>
      </c>
      <c r="K178" s="3">
        <f t="shared" ca="1" si="72"/>
        <v>0</v>
      </c>
      <c r="L178" s="3">
        <f t="shared" ca="1" si="72"/>
        <v>0</v>
      </c>
      <c r="M178" s="2">
        <f t="shared" ca="1" si="73"/>
        <v>0</v>
      </c>
    </row>
    <row r="179" spans="1:13" hidden="1" outlineLevel="1">
      <c r="B179" t="s">
        <v>57</v>
      </c>
      <c r="C179">
        <f>+COUNTIF(C159:C178,"Y")</f>
        <v>0</v>
      </c>
      <c r="D179" s="2">
        <f>SUM(D159:D178)</f>
        <v>0</v>
      </c>
      <c r="E179" s="2">
        <f ca="1">SUM(E159:E178)</f>
        <v>0</v>
      </c>
      <c r="H179" s="2"/>
      <c r="I179" s="2"/>
      <c r="J179" s="2"/>
      <c r="K179" s="2"/>
      <c r="L179" s="2"/>
      <c r="M179" s="2"/>
    </row>
    <row r="180" spans="1:13" hidden="1" outlineLevel="1">
      <c r="B180" t="s">
        <v>58</v>
      </c>
      <c r="D180" s="2">
        <f ca="1">+M154</f>
        <v>1019174</v>
      </c>
      <c r="E180" s="17"/>
    </row>
    <row r="181" spans="1:13" hidden="1" outlineLevel="1">
      <c r="B181" t="s">
        <v>59</v>
      </c>
      <c r="D181" s="8">
        <f ca="1">+IF(ISERR(D180/D179),0,D180/D179)</f>
        <v>0</v>
      </c>
      <c r="E181" s="17"/>
    </row>
    <row r="182" spans="1:13" hidden="1" outlineLevel="1">
      <c r="E182" s="17"/>
      <c r="H182" s="5"/>
      <c r="I182" s="5"/>
      <c r="J182" s="5"/>
      <c r="K182" s="5"/>
      <c r="L182" s="5"/>
      <c r="M182" s="5"/>
    </row>
    <row r="183" spans="1:13" collapsed="1">
      <c r="D183" s="18" t="s">
        <v>61</v>
      </c>
      <c r="E183" s="19"/>
      <c r="F183" s="19"/>
      <c r="G183" s="20">
        <f ca="1">IF(ISERR(SUM(G159:G178)),0,SUM(G159:G178))</f>
        <v>0</v>
      </c>
      <c r="H183" s="20">
        <f t="shared" ref="H183:L183" ca="1" si="74">IF(ISERR(SUM(H159:H178)),0,SUM(H159:H178))</f>
        <v>0</v>
      </c>
      <c r="I183" s="20">
        <f t="shared" ca="1" si="74"/>
        <v>0</v>
      </c>
      <c r="J183" s="20">
        <f t="shared" ca="1" si="74"/>
        <v>0</v>
      </c>
      <c r="K183" s="20">
        <f t="shared" ca="1" si="74"/>
        <v>0</v>
      </c>
      <c r="L183" s="20">
        <f t="shared" ca="1" si="74"/>
        <v>0</v>
      </c>
      <c r="M183" s="21">
        <f ca="1">SUM(G183:L183)</f>
        <v>0</v>
      </c>
    </row>
    <row r="184" spans="1:13">
      <c r="D184" s="22" t="s">
        <v>2</v>
      </c>
      <c r="E184" s="23"/>
      <c r="F184" s="23"/>
      <c r="G184" s="48">
        <f ca="1">+IF(ISERROR(G67),G146,MAX(G67,G146))</f>
        <v>3.5000000000000003E-2</v>
      </c>
      <c r="H184" s="48">
        <f t="shared" ref="H184:M184" ca="1" si="75">+IF(ISERROR(H67),H146,MAX(H67,H146))</f>
        <v>3.5000000000000003E-2</v>
      </c>
      <c r="I184" s="48">
        <f t="shared" ca="1" si="75"/>
        <v>3.5000000000000003E-2</v>
      </c>
      <c r="J184" s="48">
        <f t="shared" ca="1" si="75"/>
        <v>3.5000000000000003E-2</v>
      </c>
      <c r="K184" s="48">
        <f t="shared" ca="1" si="75"/>
        <v>3.5000000000000003E-2</v>
      </c>
      <c r="L184" s="48">
        <f t="shared" ca="1" si="75"/>
        <v>0</v>
      </c>
      <c r="M184" s="25">
        <f t="shared" si="75"/>
        <v>3.5000000000000003E-2</v>
      </c>
    </row>
    <row r="185" spans="1:13">
      <c r="E185" s="17"/>
    </row>
    <row r="186" spans="1:13">
      <c r="D186" s="28" t="s">
        <v>35</v>
      </c>
      <c r="E186" s="29"/>
      <c r="F186" s="29"/>
      <c r="G186" s="30">
        <f ca="1">+G151+G183</f>
        <v>318725</v>
      </c>
      <c r="H186" s="30">
        <f t="shared" ref="H186:M186" ca="1" si="76">+H151+H183</f>
        <v>225411</v>
      </c>
      <c r="I186" s="30">
        <f t="shared" ca="1" si="76"/>
        <v>95975</v>
      </c>
      <c r="J186" s="30">
        <f t="shared" ca="1" si="76"/>
        <v>525400</v>
      </c>
      <c r="K186" s="30">
        <f t="shared" ca="1" si="76"/>
        <v>515425</v>
      </c>
      <c r="L186" s="30">
        <f t="shared" ca="1" si="76"/>
        <v>0</v>
      </c>
      <c r="M186" s="31">
        <f t="shared" ca="1" si="76"/>
        <v>1680936</v>
      </c>
    </row>
    <row r="187" spans="1:13">
      <c r="D187" s="32" t="s">
        <v>2</v>
      </c>
      <c r="E187" s="33"/>
      <c r="F187" s="33"/>
      <c r="G187" s="34">
        <f t="shared" ref="G187:K187" ca="1" si="77">+IF(G186=0,0,IF(ISERR(G152),G184,((G183*G184)+(G151*G152))/G186))</f>
        <v>3.5000000000000003E-2</v>
      </c>
      <c r="H187" s="34">
        <f t="shared" ca="1" si="77"/>
        <v>3.5000000000000003E-2</v>
      </c>
      <c r="I187" s="34">
        <f t="shared" ca="1" si="77"/>
        <v>3.5000000000000003E-2</v>
      </c>
      <c r="J187" s="34">
        <f t="shared" ca="1" si="77"/>
        <v>3.5000000000000003E-2</v>
      </c>
      <c r="K187" s="34">
        <f t="shared" ca="1" si="77"/>
        <v>3.5000000000000003E-2</v>
      </c>
      <c r="L187" s="34">
        <f ca="1">+IF(L186=0,0,IF(ISERR(L152),L184,((L183*L184)+(L151*L152))/L186))</f>
        <v>0</v>
      </c>
      <c r="M187" s="35">
        <f ca="1">+SUMPRODUCT(G187:L187*G186:L186)/M186</f>
        <v>3.5000000000000003E-2</v>
      </c>
    </row>
    <row r="188" spans="1:13">
      <c r="E188" s="17"/>
    </row>
    <row r="189" spans="1:13">
      <c r="D189" t="s">
        <v>30</v>
      </c>
      <c r="G189" s="2">
        <f ca="1">+G4-G186</f>
        <v>0</v>
      </c>
      <c r="H189" s="2">
        <f t="shared" ref="H189:M189" ca="1" si="78">+H4-H186</f>
        <v>150274</v>
      </c>
      <c r="I189" s="2">
        <f t="shared" ca="1" si="78"/>
        <v>383900</v>
      </c>
      <c r="J189" s="2">
        <f t="shared" ca="1" si="78"/>
        <v>0</v>
      </c>
      <c r="K189" s="2">
        <f t="shared" ca="1" si="78"/>
        <v>0</v>
      </c>
      <c r="L189" s="2">
        <f t="shared" ca="1" si="78"/>
        <v>485000</v>
      </c>
      <c r="M189" s="2">
        <f t="shared" ca="1" si="78"/>
        <v>1019174</v>
      </c>
    </row>
    <row r="190" spans="1:13">
      <c r="D190" t="s">
        <v>31</v>
      </c>
      <c r="G190" s="7" t="str">
        <f ca="1">+IF(G189=0,"NA",IF(G189&lt;0,"OVER","UNDER"))</f>
        <v>NA</v>
      </c>
      <c r="H190" s="7" t="str">
        <f t="shared" ref="H190:M190" ca="1" si="79">+IF(H189=0,"NA",IF(H189&lt;0,"OVER","UNDER"))</f>
        <v>UNDER</v>
      </c>
      <c r="I190" s="7" t="str">
        <f t="shared" ca="1" si="79"/>
        <v>UNDER</v>
      </c>
      <c r="J190" s="7" t="str">
        <f t="shared" ca="1" si="79"/>
        <v>NA</v>
      </c>
      <c r="K190" s="7" t="str">
        <f t="shared" ca="1" si="79"/>
        <v>NA</v>
      </c>
      <c r="L190" s="7" t="str">
        <f t="shared" ca="1" si="79"/>
        <v>UNDER</v>
      </c>
      <c r="M190" s="7" t="str">
        <f t="shared" ca="1" si="79"/>
        <v>UNDER</v>
      </c>
    </row>
    <row r="191" spans="1:13">
      <c r="E191" s="17"/>
    </row>
    <row r="192" spans="1:13">
      <c r="A192" t="s">
        <v>66</v>
      </c>
      <c r="E192" s="17"/>
    </row>
    <row r="193" spans="2:13" outlineLevel="1">
      <c r="E193" s="17"/>
    </row>
    <row r="194" spans="2:13" outlineLevel="1">
      <c r="B194" s="16" t="s">
        <v>26</v>
      </c>
      <c r="C194" s="16" t="s">
        <v>29</v>
      </c>
      <c r="D194" s="16" t="s">
        <v>3</v>
      </c>
      <c r="E194" s="17"/>
    </row>
    <row r="195" spans="2:13" outlineLevel="1">
      <c r="B195">
        <f>+'bid input'!B2</f>
        <v>1104134</v>
      </c>
      <c r="C195" s="5">
        <f t="shared" ref="C195:C214" ca="1" si="80">+IF(D195&gt;0,IF(M8&gt;0,F8,0)+IF(M37&gt;0,SUMPRODUCT(G$36:L$36,G37:L37)/M37,0)+E119+IF(M159&gt;0,M$184,0),0)</f>
        <v>3.5000000000000003E-2</v>
      </c>
      <c r="D195" s="2">
        <f ca="1">+M195</f>
        <v>63745</v>
      </c>
      <c r="E195" s="17"/>
      <c r="G195" s="2">
        <f t="shared" ref="G195:G214" ca="1" si="81">+IF(G$190="NA",+G159+G119+G37+G8,0)</f>
        <v>63745</v>
      </c>
      <c r="H195" s="2">
        <f t="shared" ref="H195:L195" ca="1" si="82">+IF(H$190="NA",+H159+H119+H37+H8,0)</f>
        <v>0</v>
      </c>
      <c r="I195" s="2">
        <f t="shared" ca="1" si="82"/>
        <v>0</v>
      </c>
      <c r="J195" s="2">
        <f t="shared" ca="1" si="82"/>
        <v>0</v>
      </c>
      <c r="K195" s="2">
        <f t="shared" ca="1" si="82"/>
        <v>0</v>
      </c>
      <c r="L195" s="2">
        <f t="shared" ca="1" si="82"/>
        <v>0</v>
      </c>
      <c r="M195" s="2">
        <f ca="1">SUM(G195:L195)</f>
        <v>63745</v>
      </c>
    </row>
    <row r="196" spans="2:13" outlineLevel="1">
      <c r="B196">
        <f>+'bid input'!B3</f>
        <v>1104143</v>
      </c>
      <c r="C196" s="5">
        <f t="shared" ca="1" si="80"/>
        <v>3.5000000000000003E-2</v>
      </c>
      <c r="D196" s="2">
        <f t="shared" ref="D196:D214" ca="1" si="83">+M196</f>
        <v>63745</v>
      </c>
      <c r="E196" s="17"/>
      <c r="G196" s="2">
        <f t="shared" ca="1" si="81"/>
        <v>63745</v>
      </c>
      <c r="H196" s="2">
        <f t="shared" ref="H196:L205" ca="1" si="84">+IF(H$190="NA",+H160+H120+H38+H9,0)</f>
        <v>0</v>
      </c>
      <c r="I196" s="2">
        <f t="shared" ca="1" si="84"/>
        <v>0</v>
      </c>
      <c r="J196" s="2">
        <f t="shared" ca="1" si="84"/>
        <v>0</v>
      </c>
      <c r="K196" s="2">
        <f t="shared" ca="1" si="84"/>
        <v>0</v>
      </c>
      <c r="L196" s="2">
        <f t="shared" ca="1" si="84"/>
        <v>0</v>
      </c>
      <c r="M196" s="2">
        <f t="shared" ref="M196:M215" ca="1" si="85">SUM(G196:L196)</f>
        <v>63745</v>
      </c>
    </row>
    <row r="197" spans="2:13" outlineLevel="1">
      <c r="B197">
        <f>+'bid input'!B4</f>
        <v>1104154</v>
      </c>
      <c r="C197" s="5">
        <f t="shared" ca="1" si="80"/>
        <v>0</v>
      </c>
      <c r="D197" s="2">
        <f t="shared" ca="1" si="83"/>
        <v>0</v>
      </c>
      <c r="E197" s="17"/>
      <c r="G197" s="2">
        <f t="shared" ca="1" si="81"/>
        <v>0</v>
      </c>
      <c r="H197" s="2">
        <f t="shared" ca="1" si="84"/>
        <v>0</v>
      </c>
      <c r="I197" s="2">
        <f t="shared" ca="1" si="84"/>
        <v>0</v>
      </c>
      <c r="J197" s="2">
        <f t="shared" ca="1" si="84"/>
        <v>0</v>
      </c>
      <c r="K197" s="2">
        <f t="shared" ca="1" si="84"/>
        <v>0</v>
      </c>
      <c r="L197" s="2">
        <f t="shared" ca="1" si="84"/>
        <v>0</v>
      </c>
      <c r="M197" s="2">
        <f t="shared" ca="1" si="85"/>
        <v>0</v>
      </c>
    </row>
    <row r="198" spans="2:13" outlineLevel="1">
      <c r="B198">
        <f>+'bid input'!B5</f>
        <v>1104152</v>
      </c>
      <c r="C198" s="5">
        <f t="shared" ca="1" si="80"/>
        <v>3.5000000000000003E-2</v>
      </c>
      <c r="D198" s="2">
        <f t="shared" ca="1" si="83"/>
        <v>105080</v>
      </c>
      <c r="E198" s="17"/>
      <c r="G198" s="2">
        <f t="shared" ca="1" si="81"/>
        <v>0</v>
      </c>
      <c r="H198" s="2">
        <f t="shared" ca="1" si="84"/>
        <v>0</v>
      </c>
      <c r="I198" s="2">
        <f t="shared" ca="1" si="84"/>
        <v>0</v>
      </c>
      <c r="J198" s="2">
        <f t="shared" ca="1" si="84"/>
        <v>105080</v>
      </c>
      <c r="K198" s="2">
        <f t="shared" ca="1" si="84"/>
        <v>0</v>
      </c>
      <c r="L198" s="2">
        <f t="shared" ca="1" si="84"/>
        <v>0</v>
      </c>
      <c r="M198" s="2">
        <f t="shared" ca="1" si="85"/>
        <v>105080</v>
      </c>
    </row>
    <row r="199" spans="2:13" outlineLevel="1">
      <c r="B199">
        <f>+'bid input'!B6</f>
        <v>1104136</v>
      </c>
      <c r="C199" s="5">
        <f t="shared" ca="1" si="80"/>
        <v>3.5000000000000003E-2</v>
      </c>
      <c r="D199" s="2">
        <f t="shared" ca="1" si="83"/>
        <v>105080</v>
      </c>
      <c r="E199" s="17"/>
      <c r="G199" s="2">
        <f t="shared" ca="1" si="81"/>
        <v>0</v>
      </c>
      <c r="H199" s="2">
        <f t="shared" ca="1" si="84"/>
        <v>0</v>
      </c>
      <c r="I199" s="2">
        <f t="shared" ca="1" si="84"/>
        <v>0</v>
      </c>
      <c r="J199" s="2">
        <f t="shared" ca="1" si="84"/>
        <v>105080</v>
      </c>
      <c r="K199" s="2">
        <f t="shared" ca="1" si="84"/>
        <v>0</v>
      </c>
      <c r="L199" s="2">
        <f t="shared" ca="1" si="84"/>
        <v>0</v>
      </c>
      <c r="M199" s="2">
        <f t="shared" ca="1" si="85"/>
        <v>105080</v>
      </c>
    </row>
    <row r="200" spans="2:13" outlineLevel="1">
      <c r="B200">
        <f>+'bid input'!B7</f>
        <v>1104138</v>
      </c>
      <c r="C200" s="5">
        <f t="shared" ca="1" si="80"/>
        <v>3.5000000000000003E-2</v>
      </c>
      <c r="D200" s="2">
        <f t="shared" ca="1" si="83"/>
        <v>103085</v>
      </c>
      <c r="E200" s="17"/>
      <c r="G200" s="2">
        <f t="shared" ca="1" si="81"/>
        <v>0</v>
      </c>
      <c r="H200" s="2">
        <f t="shared" ca="1" si="84"/>
        <v>0</v>
      </c>
      <c r="I200" s="2">
        <f t="shared" ca="1" si="84"/>
        <v>0</v>
      </c>
      <c r="J200" s="2">
        <f t="shared" ca="1" si="84"/>
        <v>0</v>
      </c>
      <c r="K200" s="2">
        <f t="shared" ca="1" si="84"/>
        <v>103085</v>
      </c>
      <c r="L200" s="2">
        <f t="shared" ca="1" si="84"/>
        <v>0</v>
      </c>
      <c r="M200" s="2">
        <f t="shared" ca="1" si="85"/>
        <v>103085</v>
      </c>
    </row>
    <row r="201" spans="2:13" outlineLevel="1">
      <c r="B201">
        <f>+'bid input'!B8</f>
        <v>1104139</v>
      </c>
      <c r="C201" s="5">
        <f t="shared" ca="1" si="80"/>
        <v>3.5000000000000003E-2</v>
      </c>
      <c r="D201" s="2">
        <f t="shared" ca="1" si="83"/>
        <v>63745</v>
      </c>
      <c r="E201" s="17"/>
      <c r="G201" s="2">
        <f t="shared" ca="1" si="81"/>
        <v>63745</v>
      </c>
      <c r="H201" s="2">
        <f t="shared" ca="1" si="84"/>
        <v>0</v>
      </c>
      <c r="I201" s="2">
        <f t="shared" ca="1" si="84"/>
        <v>0</v>
      </c>
      <c r="J201" s="2">
        <f t="shared" ca="1" si="84"/>
        <v>0</v>
      </c>
      <c r="K201" s="2">
        <f t="shared" ca="1" si="84"/>
        <v>0</v>
      </c>
      <c r="L201" s="2">
        <f t="shared" ca="1" si="84"/>
        <v>0</v>
      </c>
      <c r="M201" s="2">
        <f t="shared" ca="1" si="85"/>
        <v>63745</v>
      </c>
    </row>
    <row r="202" spans="2:13" outlineLevel="1">
      <c r="B202">
        <f>+'bid input'!B9</f>
        <v>1104140</v>
      </c>
      <c r="C202" s="5">
        <f t="shared" ca="1" si="80"/>
        <v>3.5000000000000003E-2</v>
      </c>
      <c r="D202" s="2">
        <f t="shared" ca="1" si="83"/>
        <v>103085</v>
      </c>
      <c r="E202" s="17"/>
      <c r="G202" s="2">
        <f t="shared" ca="1" si="81"/>
        <v>0</v>
      </c>
      <c r="H202" s="2">
        <f t="shared" ca="1" si="84"/>
        <v>0</v>
      </c>
      <c r="I202" s="2">
        <f t="shared" ca="1" si="84"/>
        <v>0</v>
      </c>
      <c r="J202" s="2">
        <f t="shared" ca="1" si="84"/>
        <v>0</v>
      </c>
      <c r="K202" s="2">
        <f t="shared" ca="1" si="84"/>
        <v>103085</v>
      </c>
      <c r="L202" s="2">
        <f t="shared" ca="1" si="84"/>
        <v>0</v>
      </c>
      <c r="M202" s="2">
        <f t="shared" ca="1" si="85"/>
        <v>103085</v>
      </c>
    </row>
    <row r="203" spans="2:13" outlineLevel="1">
      <c r="B203">
        <f>+'bid input'!B10</f>
        <v>1104141</v>
      </c>
      <c r="C203" s="5">
        <f t="shared" ca="1" si="80"/>
        <v>3.5000000000000003E-2</v>
      </c>
      <c r="D203" s="2">
        <f t="shared" ca="1" si="83"/>
        <v>103085</v>
      </c>
      <c r="G203" s="2">
        <f t="shared" ca="1" si="81"/>
        <v>0</v>
      </c>
      <c r="H203" s="2">
        <f t="shared" ca="1" si="84"/>
        <v>0</v>
      </c>
      <c r="I203" s="2">
        <f t="shared" ca="1" si="84"/>
        <v>0</v>
      </c>
      <c r="J203" s="2">
        <f t="shared" ca="1" si="84"/>
        <v>0</v>
      </c>
      <c r="K203" s="2">
        <f t="shared" ca="1" si="84"/>
        <v>103085</v>
      </c>
      <c r="L203" s="2">
        <f t="shared" ca="1" si="84"/>
        <v>0</v>
      </c>
      <c r="M203" s="2">
        <f t="shared" ca="1" si="85"/>
        <v>103085</v>
      </c>
    </row>
    <row r="204" spans="2:13" outlineLevel="1">
      <c r="B204">
        <f>+'bid input'!B11</f>
        <v>1104159</v>
      </c>
      <c r="C204" s="5">
        <f t="shared" ca="1" si="80"/>
        <v>3.5000000000000003E-2</v>
      </c>
      <c r="D204" s="2">
        <f t="shared" ca="1" si="83"/>
        <v>63745</v>
      </c>
      <c r="G204" s="2">
        <f t="shared" ca="1" si="81"/>
        <v>63745</v>
      </c>
      <c r="H204" s="2">
        <f t="shared" ca="1" si="84"/>
        <v>0</v>
      </c>
      <c r="I204" s="2">
        <f t="shared" ca="1" si="84"/>
        <v>0</v>
      </c>
      <c r="J204" s="2">
        <f t="shared" ca="1" si="84"/>
        <v>0</v>
      </c>
      <c r="K204" s="2">
        <f t="shared" ca="1" si="84"/>
        <v>0</v>
      </c>
      <c r="L204" s="2">
        <f t="shared" ca="1" si="84"/>
        <v>0</v>
      </c>
      <c r="M204" s="2">
        <f t="shared" ca="1" si="85"/>
        <v>63745</v>
      </c>
    </row>
    <row r="205" spans="2:13" outlineLevel="1">
      <c r="B205">
        <f>+'bid input'!B12</f>
        <v>1104161</v>
      </c>
      <c r="C205" s="5">
        <f t="shared" ca="1" si="80"/>
        <v>3.5000000000000003E-2</v>
      </c>
      <c r="D205" s="2">
        <f t="shared" ca="1" si="83"/>
        <v>105080</v>
      </c>
      <c r="G205" s="2">
        <f t="shared" ca="1" si="81"/>
        <v>0</v>
      </c>
      <c r="H205" s="2">
        <f t="shared" ca="1" si="84"/>
        <v>0</v>
      </c>
      <c r="I205" s="2">
        <f t="shared" ca="1" si="84"/>
        <v>0</v>
      </c>
      <c r="J205" s="2">
        <f t="shared" ca="1" si="84"/>
        <v>105080</v>
      </c>
      <c r="K205" s="2">
        <f t="shared" ca="1" si="84"/>
        <v>0</v>
      </c>
      <c r="L205" s="2">
        <f t="shared" ca="1" si="84"/>
        <v>0</v>
      </c>
      <c r="M205" s="2">
        <f t="shared" ca="1" si="85"/>
        <v>105080</v>
      </c>
    </row>
    <row r="206" spans="2:13" outlineLevel="1">
      <c r="B206">
        <f>+'bid input'!B13</f>
        <v>1104145</v>
      </c>
      <c r="C206" s="5">
        <f t="shared" ca="1" si="80"/>
        <v>3.5000000000000003E-2</v>
      </c>
      <c r="D206" s="2">
        <f t="shared" ca="1" si="83"/>
        <v>31872.5</v>
      </c>
      <c r="G206" s="2">
        <f t="shared" ca="1" si="81"/>
        <v>31872.5</v>
      </c>
      <c r="H206" s="2">
        <f t="shared" ref="H206:L214" ca="1" si="86">+IF(H$190="NA",+H170+H130+H48+H19,0)</f>
        <v>0</v>
      </c>
      <c r="I206" s="2">
        <f t="shared" ca="1" si="86"/>
        <v>0</v>
      </c>
      <c r="J206" s="2">
        <f t="shared" ca="1" si="86"/>
        <v>0</v>
      </c>
      <c r="K206" s="2">
        <f t="shared" ca="1" si="86"/>
        <v>0</v>
      </c>
      <c r="L206" s="2">
        <f t="shared" ca="1" si="86"/>
        <v>0</v>
      </c>
      <c r="M206" s="2">
        <f t="shared" ca="1" si="85"/>
        <v>31872.5</v>
      </c>
    </row>
    <row r="207" spans="2:13" outlineLevel="1">
      <c r="B207">
        <f>+'bid input'!B14</f>
        <v>1104133</v>
      </c>
      <c r="C207" s="5">
        <f t="shared" ca="1" si="80"/>
        <v>3.5000000000000003E-2</v>
      </c>
      <c r="D207" s="2">
        <f t="shared" ca="1" si="83"/>
        <v>105080</v>
      </c>
      <c r="G207" s="2">
        <f t="shared" ca="1" si="81"/>
        <v>0</v>
      </c>
      <c r="H207" s="2">
        <f t="shared" ca="1" si="86"/>
        <v>0</v>
      </c>
      <c r="I207" s="2">
        <f t="shared" ca="1" si="86"/>
        <v>0</v>
      </c>
      <c r="J207" s="2">
        <f t="shared" ca="1" si="86"/>
        <v>105080</v>
      </c>
      <c r="K207" s="2">
        <f t="shared" ca="1" si="86"/>
        <v>0</v>
      </c>
      <c r="L207" s="2">
        <f t="shared" ca="1" si="86"/>
        <v>0</v>
      </c>
      <c r="M207" s="2">
        <f t="shared" ca="1" si="85"/>
        <v>105080</v>
      </c>
    </row>
    <row r="208" spans="2:13" outlineLevel="1">
      <c r="B208">
        <f>+'bid input'!B15</f>
        <v>1104149</v>
      </c>
      <c r="C208" s="5">
        <f t="shared" ca="1" si="80"/>
        <v>3.5000000000000003E-2</v>
      </c>
      <c r="D208" s="2">
        <f t="shared" ca="1" si="83"/>
        <v>103085</v>
      </c>
      <c r="G208" s="2">
        <f t="shared" ca="1" si="81"/>
        <v>0</v>
      </c>
      <c r="H208" s="2">
        <f t="shared" ca="1" si="86"/>
        <v>0</v>
      </c>
      <c r="I208" s="2">
        <f t="shared" ca="1" si="86"/>
        <v>0</v>
      </c>
      <c r="J208" s="2">
        <f t="shared" ca="1" si="86"/>
        <v>0</v>
      </c>
      <c r="K208" s="2">
        <f t="shared" ca="1" si="86"/>
        <v>103085</v>
      </c>
      <c r="L208" s="2">
        <f t="shared" ca="1" si="86"/>
        <v>0</v>
      </c>
      <c r="M208" s="2">
        <f t="shared" ca="1" si="85"/>
        <v>103085</v>
      </c>
    </row>
    <row r="209" spans="2:13" outlineLevel="1">
      <c r="B209">
        <f>+'bid input'!B16</f>
        <v>1104151</v>
      </c>
      <c r="C209" s="5">
        <f t="shared" ca="1" si="80"/>
        <v>3.5000000000000003E-2</v>
      </c>
      <c r="D209" s="2">
        <f t="shared" ca="1" si="83"/>
        <v>31872.5</v>
      </c>
      <c r="G209" s="2">
        <f t="shared" ca="1" si="81"/>
        <v>31872.5</v>
      </c>
      <c r="H209" s="2">
        <f t="shared" ca="1" si="86"/>
        <v>0</v>
      </c>
      <c r="I209" s="2">
        <f t="shared" ca="1" si="86"/>
        <v>0</v>
      </c>
      <c r="J209" s="2">
        <f t="shared" ca="1" si="86"/>
        <v>0</v>
      </c>
      <c r="K209" s="2">
        <f t="shared" ca="1" si="86"/>
        <v>0</v>
      </c>
      <c r="L209" s="2">
        <f t="shared" ca="1" si="86"/>
        <v>0</v>
      </c>
      <c r="M209" s="2">
        <f t="shared" ca="1" si="85"/>
        <v>31872.5</v>
      </c>
    </row>
    <row r="210" spans="2:13" outlineLevel="1">
      <c r="B210">
        <f>+'bid input'!B17</f>
        <v>1104131</v>
      </c>
      <c r="C210" s="5">
        <f t="shared" ca="1" si="80"/>
        <v>3.5000000000000003E-2</v>
      </c>
      <c r="D210" s="2">
        <f t="shared" ca="1" si="83"/>
        <v>105080</v>
      </c>
      <c r="G210" s="2">
        <f t="shared" ca="1" si="81"/>
        <v>0</v>
      </c>
      <c r="H210" s="2">
        <f t="shared" ca="1" si="86"/>
        <v>0</v>
      </c>
      <c r="I210" s="2">
        <f t="shared" ca="1" si="86"/>
        <v>0</v>
      </c>
      <c r="J210" s="2">
        <f t="shared" ca="1" si="86"/>
        <v>105080</v>
      </c>
      <c r="K210" s="2">
        <f t="shared" ca="1" si="86"/>
        <v>0</v>
      </c>
      <c r="L210" s="2">
        <f t="shared" ca="1" si="86"/>
        <v>0</v>
      </c>
      <c r="M210" s="2">
        <f t="shared" ca="1" si="85"/>
        <v>105080</v>
      </c>
    </row>
    <row r="211" spans="2:13" outlineLevel="1">
      <c r="B211">
        <f>+'bid input'!B18</f>
        <v>1104155</v>
      </c>
      <c r="C211" s="5">
        <f t="shared" ca="1" si="80"/>
        <v>3.5000000000000003E-2</v>
      </c>
      <c r="D211" s="2">
        <f t="shared" ca="1" si="83"/>
        <v>103085</v>
      </c>
      <c r="G211" s="2">
        <f t="shared" ca="1" si="81"/>
        <v>0</v>
      </c>
      <c r="H211" s="2">
        <f t="shared" ca="1" si="86"/>
        <v>0</v>
      </c>
      <c r="I211" s="2">
        <f t="shared" ca="1" si="86"/>
        <v>0</v>
      </c>
      <c r="J211" s="2">
        <f t="shared" ca="1" si="86"/>
        <v>0</v>
      </c>
      <c r="K211" s="2">
        <f t="shared" ca="1" si="86"/>
        <v>103085</v>
      </c>
      <c r="L211" s="2">
        <f t="shared" ca="1" si="86"/>
        <v>0</v>
      </c>
      <c r="M211" s="2">
        <f t="shared" ca="1" si="85"/>
        <v>103085</v>
      </c>
    </row>
    <row r="212" spans="2:13" outlineLevel="1">
      <c r="B212">
        <f>+'bid input'!B19</f>
        <v>1104156</v>
      </c>
      <c r="C212" s="5">
        <f t="shared" ca="1" si="80"/>
        <v>0</v>
      </c>
      <c r="D212" s="2">
        <f t="shared" ca="1" si="83"/>
        <v>0</v>
      </c>
      <c r="G212" s="2">
        <f t="shared" ca="1" si="81"/>
        <v>0</v>
      </c>
      <c r="H212" s="2">
        <f t="shared" ca="1" si="86"/>
        <v>0</v>
      </c>
      <c r="I212" s="2">
        <f t="shared" ca="1" si="86"/>
        <v>0</v>
      </c>
      <c r="J212" s="2">
        <f t="shared" ca="1" si="86"/>
        <v>0</v>
      </c>
      <c r="K212" s="2">
        <f t="shared" ca="1" si="86"/>
        <v>0</v>
      </c>
      <c r="L212" s="2">
        <f t="shared" ca="1" si="86"/>
        <v>0</v>
      </c>
      <c r="M212" s="2">
        <f t="shared" ca="1" si="85"/>
        <v>0</v>
      </c>
    </row>
    <row r="213" spans="2:13" outlineLevel="1">
      <c r="B213">
        <f>+'bid input'!B20</f>
        <v>1104157</v>
      </c>
      <c r="C213" s="5">
        <f t="shared" ca="1" si="80"/>
        <v>0</v>
      </c>
      <c r="D213" s="2">
        <f t="shared" ca="1" si="83"/>
        <v>0</v>
      </c>
      <c r="G213" s="2">
        <f t="shared" ca="1" si="81"/>
        <v>0</v>
      </c>
      <c r="H213" s="2">
        <f t="shared" ca="1" si="86"/>
        <v>0</v>
      </c>
      <c r="I213" s="2">
        <f t="shared" ca="1" si="86"/>
        <v>0</v>
      </c>
      <c r="J213" s="2">
        <f t="shared" ca="1" si="86"/>
        <v>0</v>
      </c>
      <c r="K213" s="2">
        <f t="shared" ca="1" si="86"/>
        <v>0</v>
      </c>
      <c r="L213" s="2">
        <f t="shared" ca="1" si="86"/>
        <v>0</v>
      </c>
      <c r="M213" s="2">
        <f t="shared" ca="1" si="85"/>
        <v>0</v>
      </c>
    </row>
    <row r="214" spans="2:13" outlineLevel="1">
      <c r="B214">
        <f>+'bid input'!B21</f>
        <v>1104158</v>
      </c>
      <c r="C214" s="5">
        <f t="shared" ca="1" si="80"/>
        <v>0</v>
      </c>
      <c r="D214" s="2">
        <f t="shared" ca="1" si="83"/>
        <v>0</v>
      </c>
      <c r="G214" s="2">
        <f t="shared" ca="1" si="81"/>
        <v>0</v>
      </c>
      <c r="H214" s="2">
        <f t="shared" ca="1" si="86"/>
        <v>0</v>
      </c>
      <c r="I214" s="2">
        <f t="shared" ca="1" si="86"/>
        <v>0</v>
      </c>
      <c r="J214" s="2">
        <f t="shared" ca="1" si="86"/>
        <v>0</v>
      </c>
      <c r="K214" s="2">
        <f t="shared" ca="1" si="86"/>
        <v>0</v>
      </c>
      <c r="L214" s="2">
        <f t="shared" ca="1" si="86"/>
        <v>0</v>
      </c>
      <c r="M214" s="2">
        <f t="shared" ca="1" si="85"/>
        <v>0</v>
      </c>
    </row>
    <row r="215" spans="2:13">
      <c r="B215" s="6" t="s">
        <v>68</v>
      </c>
      <c r="C215" s="5">
        <f ca="1">+SUMPRODUCT(C195:C214,M195:M214)/M215</f>
        <v>3.5000000000000003E-2</v>
      </c>
      <c r="D215" s="2">
        <f ca="1">SUM(D195:D214)</f>
        <v>1359550</v>
      </c>
      <c r="G215" s="2">
        <f ca="1">SUM(G195:G214)</f>
        <v>318725</v>
      </c>
      <c r="H215" s="2">
        <f t="shared" ref="H215:L215" ca="1" si="87">SUM(H195:H214)</f>
        <v>0</v>
      </c>
      <c r="I215" s="2">
        <f t="shared" ca="1" si="87"/>
        <v>0</v>
      </c>
      <c r="J215" s="2">
        <f t="shared" ca="1" si="87"/>
        <v>525400</v>
      </c>
      <c r="K215" s="2">
        <f t="shared" ca="1" si="87"/>
        <v>515425</v>
      </c>
      <c r="L215" s="2">
        <f t="shared" ca="1" si="87"/>
        <v>0</v>
      </c>
      <c r="M215" s="2">
        <f t="shared" ca="1" si="85"/>
        <v>1359550</v>
      </c>
    </row>
    <row r="216" spans="2:13">
      <c r="C216" s="5"/>
    </row>
    <row r="217" spans="2:13">
      <c r="B217" t="s">
        <v>69</v>
      </c>
      <c r="C217" s="4">
        <v>0.01</v>
      </c>
    </row>
    <row r="219" spans="2:13">
      <c r="B219" t="s">
        <v>70</v>
      </c>
      <c r="C219" s="4">
        <f ca="1">+C217+C215</f>
        <v>4.5000000000000005E-2</v>
      </c>
      <c r="G219" s="5">
        <f ca="1">+IF(G190="NA",G187+$C$217,0)</f>
        <v>4.5000000000000005E-2</v>
      </c>
      <c r="H219" s="5">
        <f t="shared" ref="H219:L219" ca="1" si="88">+IF(H190="NA",H187+$C$217,0)</f>
        <v>0</v>
      </c>
      <c r="I219" s="5">
        <f t="shared" ca="1" si="88"/>
        <v>0</v>
      </c>
      <c r="J219" s="5">
        <f t="shared" ca="1" si="88"/>
        <v>4.5000000000000005E-2</v>
      </c>
      <c r="K219" s="5">
        <f t="shared" ca="1" si="88"/>
        <v>4.5000000000000005E-2</v>
      </c>
      <c r="L219" s="5">
        <f t="shared" ca="1" si="88"/>
        <v>0</v>
      </c>
      <c r="M219" s="5">
        <f ca="1">+SUMPRODUCT(G215:L215,G219:L219)/M215</f>
        <v>4.5000000000000012E-2</v>
      </c>
    </row>
    <row r="220" spans="2:13">
      <c r="G220" s="53" t="str">
        <f ca="1">+IF(G219=0, "NOT FUNDED","")</f>
        <v/>
      </c>
      <c r="H220" s="53" t="str">
        <f t="shared" ref="H220:L220" ca="1" si="89">+IF(H219=0, "NOT FUNDED","")</f>
        <v>NOT FUNDED</v>
      </c>
      <c r="I220" s="53" t="str">
        <f t="shared" ca="1" si="89"/>
        <v>NOT FUNDED</v>
      </c>
      <c r="J220" s="53" t="str">
        <f t="shared" ca="1" si="89"/>
        <v/>
      </c>
      <c r="K220" s="53" t="str">
        <f t="shared" ca="1" si="89"/>
        <v/>
      </c>
      <c r="L220" s="53" t="str">
        <f t="shared" ca="1" si="89"/>
        <v>NOT FUNDED</v>
      </c>
    </row>
  </sheetData>
  <pageMargins left="0.7" right="0.7" top="0.75" bottom="0.75" header="0.3" footer="0.3"/>
  <pageSetup orientation="portrait" horizontalDpi="4294967292" verticalDpi="4294967292"/>
  <legacy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bid input</vt:lpstr>
      <vt:lpstr>assets available for bid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duHadway</dc:creator>
  <cp:lastModifiedBy>duHadway</cp:lastModifiedBy>
  <dcterms:created xsi:type="dcterms:W3CDTF">2011-05-06T19:30:48Z</dcterms:created>
  <dcterms:modified xsi:type="dcterms:W3CDTF">2012-01-20T22:09:44Z</dcterms:modified>
</cp:coreProperties>
</file>