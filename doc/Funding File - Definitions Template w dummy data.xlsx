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808" windowHeight="8192" windowWidth="16384" xWindow="0" yWindow="0"/>
  </bookViews>
  <sheets>
    <sheet name="funding file" sheetId="1" state="visible" r:id="rId2"/>
    <sheet name="Import Field Definitions" sheetId="2" state="visible" r:id="rId3"/>
    <sheet name="Product_Code" sheetId="3" state="visible" r:id="rId4"/>
    <sheet name="ARMIndex" sheetId="4" state="visible" r:id="rId5"/>
    <sheet name="Property_Type_Code" sheetId="5" state="visible" r:id="rId6"/>
    <sheet name="Purpose_Code" sheetId="6" state="visible" r:id="rId7"/>
    <sheet name="Occupany_Code" sheetId="7" state="visible" r:id="rId8"/>
    <sheet name="Doc_Level_Code" sheetId="8" state="visible" r:id="rId9"/>
    <sheet name="Mortgage Ins Provider" sheetId="9" state="visible" r:id="rId10"/>
    <sheet name="Approved Investors" sheetId="10" state="visible" r:id="rId11"/>
    <sheet name="Market value cap" sheetId="11" state="visible" r:id="rId12"/>
    <sheet name="Sheet1" sheetId="12" state="visible" r:id="rId13"/>
  </sheets>
  <definedNames>
    <definedName function="false" hidden="true" localSheetId="0" name="_xlnm._FilterDatabase" vbProcedure="false">'funding file'!$A$1:$EM$101</definedName>
    <definedName function="false" hidden="false" localSheetId="1" name="_xlnm.Print_Titles" vbProcedure="false"/>
    <definedName function="false" hidden="false" localSheetId="2" name="_xlnm.Print_Area" vbProcedure="false"/>
    <definedName function="false" hidden="false" name="_xlnm.Print_Area" vbProcedure="false">Product_Code!$A$1:$C$161</definedName>
    <definedName function="false" hidden="false" name="_xlnm.Print_Titles" vbProcedure="false">'Import Field Definitions'!$1:$1</definedName>
    <definedName function="false" hidden="false" name="_xlnm._FilterDatabase" vbProcedure="false">'funding file'!$A$1:$EM$101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<sst xmlns="http://schemas.openxmlformats.org/spreadsheetml/2006/main" count="3897" uniqueCount="1207">
  <si>
    <t>customer_account_key</t>
  </si>
  <si>
    <t>collateral_key</t>
  </si>
  <si>
    <t>borr_1_last_name</t>
  </si>
  <si>
    <t>borr_1_first_name</t>
  </si>
  <si>
    <t>borr_2_last_name</t>
  </si>
  <si>
    <t>borr_2_first_name</t>
  </si>
  <si>
    <t>address</t>
  </si>
  <si>
    <t>city</t>
  </si>
  <si>
    <t>state</t>
  </si>
  <si>
    <t>zip</t>
  </si>
  <si>
    <t>ss_number</t>
  </si>
  <si>
    <t>ss_number_2</t>
  </si>
  <si>
    <t>citizenship_flag</t>
  </si>
  <si>
    <t>product_code</t>
  </si>
  <si>
    <t>orig_upb</t>
  </si>
  <si>
    <t>curr_upb</t>
  </si>
  <si>
    <t>orig_p_i</t>
  </si>
  <si>
    <t>orig_rate</t>
  </si>
  <si>
    <t>origination_date</t>
  </si>
  <si>
    <t>effective_date</t>
  </si>
  <si>
    <t>firstdue</t>
  </si>
  <si>
    <t>maturity</t>
  </si>
  <si>
    <t>is_adjustable</t>
  </si>
  <si>
    <t>advance_amt</t>
  </si>
  <si>
    <t>funding_amount</t>
  </si>
  <si>
    <t>funding_method_code</t>
  </si>
  <si>
    <t>funding_id</t>
  </si>
  <si>
    <t>payee1_name</t>
  </si>
  <si>
    <t>payee1_address</t>
  </si>
  <si>
    <t>payee1_city</t>
  </si>
  <si>
    <t>payee1_state</t>
  </si>
  <si>
    <t>payee1_zip</t>
  </si>
  <si>
    <t>payee1_accountnum</t>
  </si>
  <si>
    <t>payee1_abanum</t>
  </si>
  <si>
    <t>payee1_instruction1</t>
  </si>
  <si>
    <t>payee1_instruction2</t>
  </si>
  <si>
    <t>payee2_name</t>
  </si>
  <si>
    <t>payee2_address</t>
  </si>
  <si>
    <t>payee2_city</t>
  </si>
  <si>
    <t>payee2_state</t>
  </si>
  <si>
    <t>payee2_zip</t>
  </si>
  <si>
    <t>payee2_accountnum</t>
  </si>
  <si>
    <t>payee2_abanum</t>
  </si>
  <si>
    <t>payee2_instruction1</t>
  </si>
  <si>
    <t>payee2_instruction2</t>
  </si>
  <si>
    <t>investor_code</t>
  </si>
  <si>
    <t>inv_commit_number</t>
  </si>
  <si>
    <t>inv_commit_price</t>
  </si>
  <si>
    <t>inv_commit_date</t>
  </si>
  <si>
    <t>inv_commit_expire_date</t>
  </si>
  <si>
    <t>investor_id</t>
  </si>
  <si>
    <t>property_type_code</t>
  </si>
  <si>
    <t>lien_position</t>
  </si>
  <si>
    <t>original_ltv</t>
  </si>
  <si>
    <t>original_cltv</t>
  </si>
  <si>
    <t>mtg_ins_pct</t>
  </si>
  <si>
    <t>fico_score</t>
  </si>
  <si>
    <t>original_term</t>
  </si>
  <si>
    <t>amortization_term</t>
  </si>
  <si>
    <t>purpose_code</t>
  </si>
  <si>
    <t>units</t>
  </si>
  <si>
    <t>orig_appraised_value</t>
  </si>
  <si>
    <t>appraiser_name</t>
  </si>
  <si>
    <t>occupancy_code</t>
  </si>
  <si>
    <t>doc_level_code</t>
  </si>
  <si>
    <t>debt_service_ratio</t>
  </si>
  <si>
    <t>is_escrow_required</t>
  </si>
  <si>
    <t>armmargin</t>
  </si>
  <si>
    <t>armindex</t>
  </si>
  <si>
    <t>armteaser</t>
  </si>
  <si>
    <t>first_rate_change_date</t>
  </si>
  <si>
    <t>anncap_init</t>
  </si>
  <si>
    <t>rate_change_frequency</t>
  </si>
  <si>
    <t>armpcap</t>
  </si>
  <si>
    <t>armlcap</t>
  </si>
  <si>
    <t>armlfloor</t>
  </si>
  <si>
    <t>purchase_price</t>
  </si>
  <si>
    <t>prepay_penalty_flag</t>
  </si>
  <si>
    <t>prepay_penalty_pct</t>
  </si>
  <si>
    <t>prepay_period</t>
  </si>
  <si>
    <t>interest_only_flag</t>
  </si>
  <si>
    <t>interest_only_period</t>
  </si>
  <si>
    <t>paid_to_date</t>
  </si>
  <si>
    <t>is_assets_verified</t>
  </si>
  <si>
    <t>times_delinquent_30</t>
  </si>
  <si>
    <t>times_delinquent_60</t>
  </si>
  <si>
    <t>times_delinquent_90</t>
  </si>
  <si>
    <t>times_delinquent_120</t>
  </si>
  <si>
    <t>borr_1_employ_flag</t>
  </si>
  <si>
    <t>borr_2_employ_flag</t>
  </si>
  <si>
    <t>borr_1_marital_status</t>
  </si>
  <si>
    <t>borr_2_marital_status</t>
  </si>
  <si>
    <t>borr_1_age</t>
  </si>
  <si>
    <t>borr_2_age</t>
  </si>
  <si>
    <t>borr_1_gender</t>
  </si>
  <si>
    <t>borr_2_gender</t>
  </si>
  <si>
    <t>is_first_time_buyer</t>
  </si>
  <si>
    <t>is_negam</t>
  </si>
  <si>
    <t>armoption</t>
  </si>
  <si>
    <t>first_delinquent_date</t>
  </si>
  <si>
    <t>bankruptcy_chapter</t>
  </si>
  <si>
    <t>bankruptcy_discharge_date</t>
  </si>
  <si>
    <t>foreclosure_satisfied_date</t>
  </si>
  <si>
    <t>prepay_enforceability</t>
  </si>
  <si>
    <t>du_response</t>
  </si>
  <si>
    <t>du_case_number</t>
  </si>
  <si>
    <t>max_negam</t>
  </si>
  <si>
    <t>first_rate_adjust_period</t>
  </si>
  <si>
    <t>tradelines</t>
  </si>
  <si>
    <t>reserved_term</t>
  </si>
  <si>
    <t>reserved_amt</t>
  </si>
  <si>
    <t>mers_min</t>
  </si>
  <si>
    <t>mtg_ins_company</t>
  </si>
  <si>
    <t>Servicing_fee</t>
  </si>
  <si>
    <t>Servicer</t>
  </si>
  <si>
    <t>Cur_note_rate</t>
  </si>
  <si>
    <t>Armpfloor</t>
  </si>
  <si>
    <t>Initial_recast_period</t>
  </si>
  <si>
    <t>subsequent_recast_period</t>
  </si>
  <si>
    <t>teaser_period</t>
  </si>
  <si>
    <t>Is_balloon</t>
  </si>
  <si>
    <t>Market_value_cap</t>
  </si>
  <si>
    <t>FHA_Case_Number</t>
  </si>
  <si>
    <t>Max_Rate</t>
  </si>
  <si>
    <t>Is_LPMI</t>
  </si>
  <si>
    <t>LPMI_PCT</t>
  </si>
  <si>
    <t>Junior_lien_amount</t>
  </si>
  <si>
    <t>Loan_Type</t>
  </si>
  <si>
    <t>Interest_Only_End_Date</t>
  </si>
  <si>
    <t>First_payment_change_date</t>
  </si>
  <si>
    <t>Look_back_period</t>
  </si>
  <si>
    <t>Interest_rounding_feature</t>
  </si>
  <si>
    <t>Interest_rounding_percentage</t>
  </si>
  <si>
    <t>1st_adj_max_initial_rate</t>
  </si>
  <si>
    <t>1st_adj_min_initial_rate</t>
  </si>
  <si>
    <t>CoreLogic Fraud Risk Score</t>
  </si>
  <si>
    <t>CoreLogic Collateral Risk Score</t>
  </si>
  <si>
    <t>Loan Officer</t>
  </si>
  <si>
    <t>NMLS #</t>
  </si>
  <si>
    <t>U/W</t>
  </si>
  <si>
    <t>MO City</t>
  </si>
  <si>
    <t>MO State</t>
  </si>
  <si>
    <t>MO Zip</t>
  </si>
  <si>
    <t>ABCD</t>
  </si>
  <si>
    <t>201149912</t>
  </si>
  <si>
    <t>Bushey</t>
  </si>
  <si>
    <t>Brush Prairie</t>
  </si>
  <si>
    <t>WA</t>
  </si>
  <si>
    <t>98606</t>
  </si>
  <si>
    <t>000000002</t>
  </si>
  <si>
    <t>CONF10F</t>
  </si>
  <si>
    <t>Title Company ABC</t>
  </si>
  <si>
    <t>JPM</t>
  </si>
  <si>
    <t>1111111</t>
  </si>
  <si>
    <t>SFR</t>
  </si>
  <si>
    <t>CO</t>
  </si>
  <si>
    <t>ABC APPRAISAL </t>
  </si>
  <si>
    <t>O</t>
  </si>
  <si>
    <t>Single</t>
  </si>
  <si>
    <t>M</t>
  </si>
  <si>
    <t>Approve/Eligible</t>
  </si>
  <si>
    <t>100000000000000000</t>
  </si>
  <si>
    <t>Conv No PMI</t>
  </si>
  <si>
    <t>Lane</t>
  </si>
  <si>
    <t>Charles</t>
  </si>
  <si>
    <t>201149215</t>
  </si>
  <si>
    <t>Pohl</t>
  </si>
  <si>
    <t>Long Beach</t>
  </si>
  <si>
    <t>CA</t>
  </si>
  <si>
    <t>90815</t>
  </si>
  <si>
    <t>000000003</t>
  </si>
  <si>
    <t>000000007</t>
  </si>
  <si>
    <t>CONF15F</t>
  </si>
  <si>
    <t>R</t>
  </si>
  <si>
    <t>I</t>
  </si>
  <si>
    <t>1YRCMTWK</t>
  </si>
  <si>
    <t>Married</t>
  </si>
  <si>
    <t>F</t>
  </si>
  <si>
    <t>Paul</t>
  </si>
  <si>
    <t>Dave</t>
  </si>
  <si>
    <t>201148834</t>
  </si>
  <si>
    <t>Ross</t>
  </si>
  <si>
    <t>Newbury Park</t>
  </si>
  <si>
    <t>91320</t>
  </si>
  <si>
    <t>000000004</t>
  </si>
  <si>
    <t>CONF20F</t>
  </si>
  <si>
    <t>Accept/Eligible</t>
  </si>
  <si>
    <t>Ted</t>
  </si>
  <si>
    <t>201148530</t>
  </si>
  <si>
    <t>Bestpitch</t>
  </si>
  <si>
    <t>Santa Clarita</t>
  </si>
  <si>
    <t>91350</t>
  </si>
  <si>
    <t>000000005</t>
  </si>
  <si>
    <t>000000009</t>
  </si>
  <si>
    <t>CONF25F</t>
  </si>
  <si>
    <t>BOAM</t>
  </si>
  <si>
    <t>Ann</t>
  </si>
  <si>
    <t>201149077</t>
  </si>
  <si>
    <t>Utecht</t>
  </si>
  <si>
    <t>Portland</t>
  </si>
  <si>
    <t>OR</t>
  </si>
  <si>
    <t>97212</t>
  </si>
  <si>
    <t>000000006</t>
  </si>
  <si>
    <t>000000010</t>
  </si>
  <si>
    <t>CONF30F</t>
  </si>
  <si>
    <t>Joe</t>
  </si>
  <si>
    <t>Matthew</t>
  </si>
  <si>
    <t>201149589</t>
  </si>
  <si>
    <t>Hegemann</t>
  </si>
  <si>
    <t>97219</t>
  </si>
  <si>
    <t>000000011</t>
  </si>
  <si>
    <t>CONF525</t>
  </si>
  <si>
    <t>S</t>
  </si>
  <si>
    <t>1YRLIBOR</t>
  </si>
  <si>
    <t>Eric</t>
  </si>
  <si>
    <t>Mike</t>
  </si>
  <si>
    <t>201148329</t>
  </si>
  <si>
    <t>Schmidt</t>
  </si>
  <si>
    <t>Valencia</t>
  </si>
  <si>
    <t>91355</t>
  </si>
  <si>
    <t>000000008</t>
  </si>
  <si>
    <t>000000012</t>
  </si>
  <si>
    <t>FHAVA-A</t>
  </si>
  <si>
    <t>1YRCMT</t>
  </si>
  <si>
    <t>123-123456</t>
  </si>
  <si>
    <t>FHA</t>
  </si>
  <si>
    <t>Michael</t>
  </si>
  <si>
    <t>201148589</t>
  </si>
  <si>
    <t>Algazy</t>
  </si>
  <si>
    <t>Santa Monica</t>
  </si>
  <si>
    <t>90403</t>
  </si>
  <si>
    <t>Steve</t>
  </si>
  <si>
    <t>201149154</t>
  </si>
  <si>
    <t>Garcia</t>
  </si>
  <si>
    <t>Santa Rosa</t>
  </si>
  <si>
    <t>95403</t>
  </si>
  <si>
    <t>FNMA</t>
  </si>
  <si>
    <t>22222222</t>
  </si>
  <si>
    <t>P</t>
  </si>
  <si>
    <t>David</t>
  </si>
  <si>
    <t>201149047</t>
  </si>
  <si>
    <t>Hopkins</t>
  </si>
  <si>
    <t>San Diego</t>
  </si>
  <si>
    <t>92109</t>
  </si>
  <si>
    <t>FHAVA-F</t>
  </si>
  <si>
    <t>Divorced</t>
  </si>
  <si>
    <t>201145359</t>
  </si>
  <si>
    <t>Sternstein</t>
  </si>
  <si>
    <t>Murrieta</t>
  </si>
  <si>
    <t>92563</t>
  </si>
  <si>
    <t>Greg</t>
  </si>
  <si>
    <t>201148009</t>
  </si>
  <si>
    <t>Kinnaman</t>
  </si>
  <si>
    <t>Santa Barbara</t>
  </si>
  <si>
    <t>93105</t>
  </si>
  <si>
    <t>000000013</t>
  </si>
  <si>
    <t>Cheryl</t>
  </si>
  <si>
    <t>201149257</t>
  </si>
  <si>
    <t>Olenyuk</t>
  </si>
  <si>
    <t>Burbank</t>
  </si>
  <si>
    <t>91504</t>
  </si>
  <si>
    <t>000000014</t>
  </si>
  <si>
    <t>Tim</t>
  </si>
  <si>
    <t>BCDE</t>
  </si>
  <si>
    <t>201149359</t>
  </si>
  <si>
    <t>Rose</t>
  </si>
  <si>
    <t>Torrance</t>
  </si>
  <si>
    <t>90277</t>
  </si>
  <si>
    <t>000000015</t>
  </si>
  <si>
    <t>000000019</t>
  </si>
  <si>
    <t>Title company BCD</t>
  </si>
  <si>
    <t>PUD</t>
  </si>
  <si>
    <t>BCD APPRAISAL</t>
  </si>
  <si>
    <t>Amy</t>
  </si>
  <si>
    <t>Wayne</t>
  </si>
  <si>
    <t>201149733</t>
  </si>
  <si>
    <t>Fojtik</t>
  </si>
  <si>
    <t>La Jolla</t>
  </si>
  <si>
    <t>92037</t>
  </si>
  <si>
    <t>000000016</t>
  </si>
  <si>
    <t>000000020</t>
  </si>
  <si>
    <t>Alan</t>
  </si>
  <si>
    <t>Aaron</t>
  </si>
  <si>
    <t>201149374</t>
  </si>
  <si>
    <t>Starr</t>
  </si>
  <si>
    <t>El Cajon</t>
  </si>
  <si>
    <t>92020</t>
  </si>
  <si>
    <t>000000017</t>
  </si>
  <si>
    <t>000000021</t>
  </si>
  <si>
    <t>Don</t>
  </si>
  <si>
    <t>Ken</t>
  </si>
  <si>
    <t>201149321</t>
  </si>
  <si>
    <t>Coronel</t>
  </si>
  <si>
    <t>Milwaukie</t>
  </si>
  <si>
    <t>97267</t>
  </si>
  <si>
    <t>000000018</t>
  </si>
  <si>
    <t>Brian</t>
  </si>
  <si>
    <t>Fred</t>
  </si>
  <si>
    <t>201149229</t>
  </si>
  <si>
    <t>O'Hara</t>
  </si>
  <si>
    <t>Valley Village</t>
  </si>
  <si>
    <t>91607</t>
  </si>
  <si>
    <t>000000023</t>
  </si>
  <si>
    <t>201149541</t>
  </si>
  <si>
    <t>Kroagman</t>
  </si>
  <si>
    <t>Los Angeles</t>
  </si>
  <si>
    <t>90059</t>
  </si>
  <si>
    <t>000000024</t>
  </si>
  <si>
    <t>201149544</t>
  </si>
  <si>
    <t>Vogel</t>
  </si>
  <si>
    <t>Westlake Village</t>
  </si>
  <si>
    <t>91362</t>
  </si>
  <si>
    <t>000000025</t>
  </si>
  <si>
    <t>Carl</t>
  </si>
  <si>
    <t>201149469</t>
  </si>
  <si>
    <t>McMurray</t>
  </si>
  <si>
    <t>Pacific Palisades</t>
  </si>
  <si>
    <t>90272</t>
  </si>
  <si>
    <t>000000022</t>
  </si>
  <si>
    <t>201149741</t>
  </si>
  <si>
    <t>Lafayette</t>
  </si>
  <si>
    <t>94549</t>
  </si>
  <si>
    <t>201149253</t>
  </si>
  <si>
    <t>Wieberdink</t>
  </si>
  <si>
    <t>91354</t>
  </si>
  <si>
    <t>6MOLIBOR</t>
  </si>
  <si>
    <t>201149534</t>
  </si>
  <si>
    <t>Petrescu</t>
  </si>
  <si>
    <t>SANTA MONICA</t>
  </si>
  <si>
    <t>90402</t>
  </si>
  <si>
    <t>201148639</t>
  </si>
  <si>
    <t>Serritella</t>
  </si>
  <si>
    <t>Oceanside</t>
  </si>
  <si>
    <t>92056</t>
  </si>
  <si>
    <t>000000026</t>
  </si>
  <si>
    <t>201149284</t>
  </si>
  <si>
    <t>Trunk</t>
  </si>
  <si>
    <t>Malibu</t>
  </si>
  <si>
    <t>90265</t>
  </si>
  <si>
    <t>000000027</t>
  </si>
  <si>
    <t>000000031</t>
  </si>
  <si>
    <t>201149063</t>
  </si>
  <si>
    <t>Rabuel</t>
  </si>
  <si>
    <t>92127</t>
  </si>
  <si>
    <t>000000028</t>
  </si>
  <si>
    <t>201147544</t>
  </si>
  <si>
    <t>Ordonez</t>
  </si>
  <si>
    <t>Saugus</t>
  </si>
  <si>
    <t>91390</t>
  </si>
  <si>
    <t>000000029</t>
  </si>
  <si>
    <t>201149703</t>
  </si>
  <si>
    <t>Marquis</t>
  </si>
  <si>
    <t>Beaverton</t>
  </si>
  <si>
    <t>97007</t>
  </si>
  <si>
    <t>000000030</t>
  </si>
  <si>
    <t>000000034</t>
  </si>
  <si>
    <t>201149622</t>
  </si>
  <si>
    <t>Hyzen</t>
  </si>
  <si>
    <t>92057</t>
  </si>
  <si>
    <t>000000035</t>
  </si>
  <si>
    <t>201149441</t>
  </si>
  <si>
    <t>Scott</t>
  </si>
  <si>
    <t>92111</t>
  </si>
  <si>
    <t>000000032</t>
  </si>
  <si>
    <t>GMAC</t>
  </si>
  <si>
    <t>33333333</t>
  </si>
  <si>
    <t>201149669</t>
  </si>
  <si>
    <t>Farrell</t>
  </si>
  <si>
    <t>92121</t>
  </si>
  <si>
    <t>000000033</t>
  </si>
  <si>
    <t>201146741</t>
  </si>
  <si>
    <t>Brenckman</t>
  </si>
  <si>
    <t>Glendale</t>
  </si>
  <si>
    <t>91202</t>
  </si>
  <si>
    <t>201149336</t>
  </si>
  <si>
    <t>Preece</t>
  </si>
  <si>
    <t>97222</t>
  </si>
  <si>
    <t>201149664</t>
  </si>
  <si>
    <t>Julien</t>
  </si>
  <si>
    <t>90046</t>
  </si>
  <si>
    <t>000000036</t>
  </si>
  <si>
    <t>201148780</t>
  </si>
  <si>
    <t>Dong</t>
  </si>
  <si>
    <t>90503</t>
  </si>
  <si>
    <t>000000037</t>
  </si>
  <si>
    <t>201149474</t>
  </si>
  <si>
    <t>Goldberg</t>
  </si>
  <si>
    <t>Montebello</t>
  </si>
  <si>
    <t>90640</t>
  </si>
  <si>
    <t>000000038</t>
  </si>
  <si>
    <t>201145234</t>
  </si>
  <si>
    <t>Blair</t>
  </si>
  <si>
    <t>Orange</t>
  </si>
  <si>
    <t>92867</t>
  </si>
  <si>
    <t>000000039</t>
  </si>
  <si>
    <t>201149471</t>
  </si>
  <si>
    <t>Esposito</t>
  </si>
  <si>
    <t>93109</t>
  </si>
  <si>
    <t>000000040</t>
  </si>
  <si>
    <t>201148956</t>
  </si>
  <si>
    <t>Spencer</t>
  </si>
  <si>
    <t>Simi Valley</t>
  </si>
  <si>
    <t>93063</t>
  </si>
  <si>
    <t>000000041</t>
  </si>
  <si>
    <t>Title Company DEF</t>
  </si>
  <si>
    <t>201144944</t>
  </si>
  <si>
    <t>Ward</t>
  </si>
  <si>
    <t>West Hollywood</t>
  </si>
  <si>
    <t>90069</t>
  </si>
  <si>
    <t>000000042</t>
  </si>
  <si>
    <t>201149846</t>
  </si>
  <si>
    <t>Rau</t>
  </si>
  <si>
    <t>92054</t>
  </si>
  <si>
    <t>000000043</t>
  </si>
  <si>
    <t>201148353</t>
  </si>
  <si>
    <t>Bourdeau</t>
  </si>
  <si>
    <t>Rancho Palos Verdes</t>
  </si>
  <si>
    <t>90275</t>
  </si>
  <si>
    <t>000000044</t>
  </si>
  <si>
    <t>201147140</t>
  </si>
  <si>
    <t>Hamilton</t>
  </si>
  <si>
    <t>Vista</t>
  </si>
  <si>
    <t>92081</t>
  </si>
  <si>
    <t>000000045</t>
  </si>
  <si>
    <t>201147653</t>
  </si>
  <si>
    <t>Cross</t>
  </si>
  <si>
    <t>Santee</t>
  </si>
  <si>
    <t>92071</t>
  </si>
  <si>
    <t>000000046</t>
  </si>
  <si>
    <t>201149444</t>
  </si>
  <si>
    <t>Sabino</t>
  </si>
  <si>
    <t>Culver City</t>
  </si>
  <si>
    <t>90230</t>
  </si>
  <si>
    <t>000000047</t>
  </si>
  <si>
    <t>201149269</t>
  </si>
  <si>
    <t>Supancic</t>
  </si>
  <si>
    <t>Canyon Country</t>
  </si>
  <si>
    <t>91387</t>
  </si>
  <si>
    <t>000000048</t>
  </si>
  <si>
    <t>201149560</t>
  </si>
  <si>
    <t>Bitetto</t>
  </si>
  <si>
    <t>000000049</t>
  </si>
  <si>
    <t>201149565</t>
  </si>
  <si>
    <t>Moore</t>
  </si>
  <si>
    <t>Porter Ranch</t>
  </si>
  <si>
    <t>91326</t>
  </si>
  <si>
    <t>000000050</t>
  </si>
  <si>
    <t>EFG APPRAISAL</t>
  </si>
  <si>
    <t>201149372</t>
  </si>
  <si>
    <t>Martin</t>
  </si>
  <si>
    <t>Thousand Oaks</t>
  </si>
  <si>
    <t>000000051</t>
  </si>
  <si>
    <t>201148544</t>
  </si>
  <si>
    <t>Heyck</t>
  </si>
  <si>
    <t>Pipestone</t>
  </si>
  <si>
    <t>MN</t>
  </si>
  <si>
    <t>56164</t>
  </si>
  <si>
    <t>000000052</t>
  </si>
  <si>
    <t>201145114</t>
  </si>
  <si>
    <t>Palladino</t>
  </si>
  <si>
    <t>Studio City</t>
  </si>
  <si>
    <t>91604</t>
  </si>
  <si>
    <t>000000053</t>
  </si>
  <si>
    <t>201149289</t>
  </si>
  <si>
    <t>Reynolds</t>
  </si>
  <si>
    <t>000000054</t>
  </si>
  <si>
    <t>201149167</t>
  </si>
  <si>
    <t>Craig</t>
  </si>
  <si>
    <t>Canoga Park</t>
  </si>
  <si>
    <t>91304</t>
  </si>
  <si>
    <t>000000055</t>
  </si>
  <si>
    <t>201148539</t>
  </si>
  <si>
    <t>Centurion-Yedro</t>
  </si>
  <si>
    <t>Carlsbad</t>
  </si>
  <si>
    <t>92009</t>
  </si>
  <si>
    <t>000000056</t>
  </si>
  <si>
    <t>201149477</t>
  </si>
  <si>
    <t>Punt</t>
  </si>
  <si>
    <t>Garden Grove</t>
  </si>
  <si>
    <t>92840</t>
  </si>
  <si>
    <t>000000057</t>
  </si>
  <si>
    <t>201149241</t>
  </si>
  <si>
    <t>Hornby</t>
  </si>
  <si>
    <t>Bend</t>
  </si>
  <si>
    <t>97702</t>
  </si>
  <si>
    <t>000000058</t>
  </si>
  <si>
    <t>201149778</t>
  </si>
  <si>
    <t>Etchamendy</t>
  </si>
  <si>
    <t>Newport Beach</t>
  </si>
  <si>
    <t>92663</t>
  </si>
  <si>
    <t>000000059</t>
  </si>
  <si>
    <t>201149204</t>
  </si>
  <si>
    <t>Berroth</t>
  </si>
  <si>
    <t>Lancaster</t>
  </si>
  <si>
    <t>93536</t>
  </si>
  <si>
    <t>000000060</t>
  </si>
  <si>
    <t>201149988</t>
  </si>
  <si>
    <t>Johnson</t>
  </si>
  <si>
    <t>Cedar Knolls</t>
  </si>
  <si>
    <t>NJ</t>
  </si>
  <si>
    <t>07927</t>
  </si>
  <si>
    <t>000000061</t>
  </si>
  <si>
    <t>201149712</t>
  </si>
  <si>
    <t>Kopelman</t>
  </si>
  <si>
    <t>000000062</t>
  </si>
  <si>
    <t>201149597</t>
  </si>
  <si>
    <t>Raskin</t>
  </si>
  <si>
    <t>Wilsonville</t>
  </si>
  <si>
    <t>97070</t>
  </si>
  <si>
    <t>000000063</t>
  </si>
  <si>
    <t>XYZ APPRAISAL</t>
  </si>
  <si>
    <t>201149940</t>
  </si>
  <si>
    <t>Della Ripa</t>
  </si>
  <si>
    <t>Sherman Oaks</t>
  </si>
  <si>
    <t>91403</t>
  </si>
  <si>
    <t>000000064</t>
  </si>
  <si>
    <t>EFGH</t>
  </si>
  <si>
    <t>201149577</t>
  </si>
  <si>
    <t>Patenaude</t>
  </si>
  <si>
    <t>000000065</t>
  </si>
  <si>
    <t>Buck</t>
  </si>
  <si>
    <t>201149828</t>
  </si>
  <si>
    <t>Goswamy</t>
  </si>
  <si>
    <t>Northridge</t>
  </si>
  <si>
    <t>91324</t>
  </si>
  <si>
    <t>000000066</t>
  </si>
  <si>
    <t>Steven</t>
  </si>
  <si>
    <t>201148972</t>
  </si>
  <si>
    <t>Galati</t>
  </si>
  <si>
    <t>91506</t>
  </si>
  <si>
    <t>000000067</t>
  </si>
  <si>
    <t>Thomas</t>
  </si>
  <si>
    <t>201148342</t>
  </si>
  <si>
    <t>Oliver</t>
  </si>
  <si>
    <t>97223</t>
  </si>
  <si>
    <t>000000068</t>
  </si>
  <si>
    <t>Tracy</t>
  </si>
  <si>
    <t>201149751</t>
  </si>
  <si>
    <t>Delocht</t>
  </si>
  <si>
    <t>San Francisco</t>
  </si>
  <si>
    <t>94115</t>
  </si>
  <si>
    <t>000000069</t>
  </si>
  <si>
    <t>201146570</t>
  </si>
  <si>
    <t>Carroll</t>
  </si>
  <si>
    <t>Mill Valley</t>
  </si>
  <si>
    <t>94941</t>
  </si>
  <si>
    <t>000000070</t>
  </si>
  <si>
    <t>Kevin</t>
  </si>
  <si>
    <t>201147282</t>
  </si>
  <si>
    <t>Allen</t>
  </si>
  <si>
    <t>San Jose</t>
  </si>
  <si>
    <t>95122</t>
  </si>
  <si>
    <t>000000071</t>
  </si>
  <si>
    <t>201145735</t>
  </si>
  <si>
    <t>Gallen</t>
  </si>
  <si>
    <t>90025</t>
  </si>
  <si>
    <t>000000072</t>
  </si>
  <si>
    <t>201149687</t>
  </si>
  <si>
    <t>Clark</t>
  </si>
  <si>
    <t>91602</t>
  </si>
  <si>
    <t>000000073</t>
  </si>
  <si>
    <t>201149578</t>
  </si>
  <si>
    <t>Ehrich</t>
  </si>
  <si>
    <t>Gresham</t>
  </si>
  <si>
    <t>97030</t>
  </si>
  <si>
    <t>000000074</t>
  </si>
  <si>
    <t>201149652</t>
  </si>
  <si>
    <t>Amirian</t>
  </si>
  <si>
    <t>Bellflower</t>
  </si>
  <si>
    <t>90706</t>
  </si>
  <si>
    <t>000000075</t>
  </si>
  <si>
    <t>201149456</t>
  </si>
  <si>
    <t>Luskin</t>
  </si>
  <si>
    <t>90029</t>
  </si>
  <si>
    <t>000000076</t>
  </si>
  <si>
    <t>201149976</t>
  </si>
  <si>
    <t>Backman</t>
  </si>
  <si>
    <t>90004</t>
  </si>
  <si>
    <t>000000077</t>
  </si>
  <si>
    <t>201149462</t>
  </si>
  <si>
    <t>Rambo</t>
  </si>
  <si>
    <t>Woodburn</t>
  </si>
  <si>
    <t>97071</t>
  </si>
  <si>
    <t>000000078</t>
  </si>
  <si>
    <t>Title Company HIJ</t>
  </si>
  <si>
    <t>201150096</t>
  </si>
  <si>
    <t>Hodo</t>
  </si>
  <si>
    <t>Encino</t>
  </si>
  <si>
    <t>91316</t>
  </si>
  <si>
    <t>000000079</t>
  </si>
  <si>
    <t>201150040</t>
  </si>
  <si>
    <t>Hoy</t>
  </si>
  <si>
    <t>Scottsdale</t>
  </si>
  <si>
    <t>AZ</t>
  </si>
  <si>
    <t>85251</t>
  </si>
  <si>
    <t>000000080</t>
  </si>
  <si>
    <t>201149168</t>
  </si>
  <si>
    <t>Zhu</t>
  </si>
  <si>
    <t>90049</t>
  </si>
  <si>
    <t>000000081</t>
  </si>
  <si>
    <t>201148440</t>
  </si>
  <si>
    <t>Preiss</t>
  </si>
  <si>
    <t>Castaic</t>
  </si>
  <si>
    <t>91384</t>
  </si>
  <si>
    <t>000000082</t>
  </si>
  <si>
    <t>201150008</t>
  </si>
  <si>
    <t>Middleton</t>
  </si>
  <si>
    <t>000000083</t>
  </si>
  <si>
    <t>201149396</t>
  </si>
  <si>
    <t>Halagarda</t>
  </si>
  <si>
    <t>000000084</t>
  </si>
  <si>
    <t>201149935</t>
  </si>
  <si>
    <t>Heacock</t>
  </si>
  <si>
    <t>Covina</t>
  </si>
  <si>
    <t>91724</t>
  </si>
  <si>
    <t>000000085</t>
  </si>
  <si>
    <t>5YRCMT</t>
  </si>
  <si>
    <t>201145759</t>
  </si>
  <si>
    <t>Dunn</t>
  </si>
  <si>
    <t>Cardiff By The Sea</t>
  </si>
  <si>
    <t>92007</t>
  </si>
  <si>
    <t>000000086</t>
  </si>
  <si>
    <t>201149582</t>
  </si>
  <si>
    <t>Gutierrez</t>
  </si>
  <si>
    <t>Tustin</t>
  </si>
  <si>
    <t>92782</t>
  </si>
  <si>
    <t>000000087</t>
  </si>
  <si>
    <t>HIJK</t>
  </si>
  <si>
    <t>201150125</t>
  </si>
  <si>
    <t>Kuhnke</t>
  </si>
  <si>
    <t>Vancouver</t>
  </si>
  <si>
    <t>98685</t>
  </si>
  <si>
    <t>000000088</t>
  </si>
  <si>
    <t>Pamela</t>
  </si>
  <si>
    <t>201147482</t>
  </si>
  <si>
    <t>Sepulveda</t>
  </si>
  <si>
    <t>Chino</t>
  </si>
  <si>
    <t>91710</t>
  </si>
  <si>
    <t>000000089</t>
  </si>
  <si>
    <t>201148886</t>
  </si>
  <si>
    <t>Stahl</t>
  </si>
  <si>
    <t>000000090</t>
  </si>
  <si>
    <t>Jane</t>
  </si>
  <si>
    <t>201149991</t>
  </si>
  <si>
    <t>Brundage</t>
  </si>
  <si>
    <t>92101</t>
  </si>
  <si>
    <t>000000091</t>
  </si>
  <si>
    <t>Trena</t>
  </si>
  <si>
    <t>Ralph</t>
  </si>
  <si>
    <t>201149875</t>
  </si>
  <si>
    <t>Anselm</t>
  </si>
  <si>
    <t>91203</t>
  </si>
  <si>
    <t>000000092</t>
  </si>
  <si>
    <t>JKL APPRAISAL</t>
  </si>
  <si>
    <t>Candy</t>
  </si>
  <si>
    <t>201149579</t>
  </si>
  <si>
    <t>Keith</t>
  </si>
  <si>
    <t>Downey</t>
  </si>
  <si>
    <t>90241</t>
  </si>
  <si>
    <t>000000093</t>
  </si>
  <si>
    <t>Stephen</t>
  </si>
  <si>
    <t>201148832</t>
  </si>
  <si>
    <t>Lafferty</t>
  </si>
  <si>
    <t>Arleta</t>
  </si>
  <si>
    <t>91331</t>
  </si>
  <si>
    <t>000000094</t>
  </si>
  <si>
    <t>Beverly</t>
  </si>
  <si>
    <t>201148993</t>
  </si>
  <si>
    <t>Hoang</t>
  </si>
  <si>
    <t>Salinas</t>
  </si>
  <si>
    <t>93907</t>
  </si>
  <si>
    <t>000000095</t>
  </si>
  <si>
    <t>201147776</t>
  </si>
  <si>
    <t>Steinhauer</t>
  </si>
  <si>
    <t>97229</t>
  </si>
  <si>
    <t>000000096</t>
  </si>
  <si>
    <t>201147471</t>
  </si>
  <si>
    <t>Stead</t>
  </si>
  <si>
    <t>Altadena</t>
  </si>
  <si>
    <t>91001</t>
  </si>
  <si>
    <t>000000097</t>
  </si>
  <si>
    <t>201149905</t>
  </si>
  <si>
    <t>Fahmie</t>
  </si>
  <si>
    <t>97701</t>
  </si>
  <si>
    <t>000000098</t>
  </si>
  <si>
    <t>201148154</t>
  </si>
  <si>
    <t>Yrazabal</t>
  </si>
  <si>
    <t>North Hills</t>
  </si>
  <si>
    <t>91343</t>
  </si>
  <si>
    <t>000000099</t>
  </si>
  <si>
    <t>201144387</t>
  </si>
  <si>
    <t>000000100</t>
  </si>
  <si>
    <t>201149562</t>
  </si>
  <si>
    <t>Chen</t>
  </si>
  <si>
    <t>000000101</t>
  </si>
  <si>
    <t>collateral_key MUST be in TXT format</t>
  </si>
  <si>
    <t>Zip code, SS# MUST be in TXT format</t>
  </si>
  <si>
    <t>Fields Highlighted in yellow must be in TXT format</t>
  </si>
  <si>
    <t>The last loan is a sample of a Third Party Wire set up (FFC - For Further Credit) </t>
  </si>
  <si>
    <t>Import Field Name</t>
  </si>
  <si>
    <t>Column</t>
  </si>
  <si>
    <t>Definition</t>
  </si>
  <si>
    <t>Format</t>
  </si>
  <si>
    <t>Database Format</t>
  </si>
  <si>
    <t>Notes</t>
  </si>
  <si>
    <t>a</t>
  </si>
  <si>
    <t>Customer Code – i.e. ABC Mortgage –ABC (could be code). Code is assigned to Customer by Liquidity Spot.</t>
  </si>
  <si>
    <t>Text</t>
  </si>
  <si>
    <t>char(20)</t>
  </si>
  <si>
    <t>b</t>
  </si>
  <si>
    <t>Individual loan’s number assigned by Customer.</t>
  </si>
  <si>
    <t>varchar(20)</t>
  </si>
  <si>
    <t>c</t>
  </si>
  <si>
    <t>1st Borrower’s last name.</t>
  </si>
  <si>
    <t>d</t>
  </si>
  <si>
    <t>1st Borrower’s first name.</t>
  </si>
  <si>
    <t>e</t>
  </si>
  <si>
    <t>2nd Borrower’s last name. (If applicable)</t>
  </si>
  <si>
    <t>f</t>
  </si>
  <si>
    <t>2nd Borrower’s first name. (If applicable)</t>
  </si>
  <si>
    <t>g</t>
  </si>
  <si>
    <t>Street address of the property.</t>
  </si>
  <si>
    <t>varchar(60)</t>
  </si>
  <si>
    <t>h</t>
  </si>
  <si>
    <t>City where property is located.</t>
  </si>
  <si>
    <t>varchar(40)</t>
  </si>
  <si>
    <t>i</t>
  </si>
  <si>
    <t>State where property is located.</t>
  </si>
  <si>
    <t>char(2)</t>
  </si>
  <si>
    <t>j</t>
  </si>
  <si>
    <t>Zip code for the property.</t>
  </si>
  <si>
    <t>varchar(10)</t>
  </si>
  <si>
    <t>k</t>
  </si>
  <si>
    <t>1st Borrower’s social security number.</t>
  </si>
  <si>
    <t>varchar(11)</t>
  </si>
  <si>
    <t>l</t>
  </si>
  <si>
    <t>2nd Borrower's social security number.</t>
  </si>
  <si>
    <t>m</t>
  </si>
  <si>
    <t>Indicates whether either borrower is a foreign national. 1=Yes, 0=No</t>
  </si>
  <si>
    <t>Number</t>
  </si>
  <si>
    <t>smallint</t>
  </si>
  <si>
    <t>n</t>
  </si>
  <si>
    <t>Code for product.  See separate list of Liquidity Spot product codes.</t>
  </si>
  <si>
    <t>See Product Code Tab</t>
  </si>
  <si>
    <t>o</t>
  </si>
  <si>
    <t>Note Amount. ***Please note, in the excel spreadsheet, this field should be formatted as a number with TWO decimal points and NO comma.***</t>
  </si>
  <si>
    <t>numeric(14,2)</t>
  </si>
  <si>
    <t>p</t>
  </si>
  <si>
    <t>Current unpaid balance. For Helocs, this will be the initial draw. ***Please note, in the excel spreadsheet, this field should be formatted as a number with TWO decimal points and NO comma.*** </t>
  </si>
  <si>
    <t>q</t>
  </si>
  <si>
    <t>Original principal and interest payment on loan.  ***Please note, in the excel spreadsheet, this field should be formatted as a number with TWO decimal points and NO comma.***</t>
  </si>
  <si>
    <t>numeric(11,2)</t>
  </si>
  <si>
    <t>r</t>
  </si>
  <si>
    <t>Rate of interest on the Note.  ***Please note, in the excel spreadsheet, this field should be formatted as a percentage value with the appropriate number of decimal places.***</t>
  </si>
  <si>
    <t>numeric(10,6)</t>
  </si>
  <si>
    <t>s</t>
  </si>
  <si>
    <t>Original closing date of loan.</t>
  </si>
  <si>
    <t>Date</t>
  </si>
  <si>
    <t>datetime</t>
  </si>
  <si>
    <t>t</t>
  </si>
  <si>
    <t>Date of requested Liquidit Spot advance.</t>
  </si>
  <si>
    <t>u</t>
  </si>
  <si>
    <t>Date first payment on the loan is due.</t>
  </si>
  <si>
    <t>v</t>
  </si>
  <si>
    <t>Date the loan matures.</t>
  </si>
  <si>
    <t>w</t>
  </si>
  <si>
    <t>Is the loan an adjustable rate loan?  1=adjustable rate, 0=fixed rate</t>
  </si>
  <si>
    <t>x</t>
  </si>
  <si>
    <t>Purchase advance request amount from the customer. (Amount borrowing from Liquidity Spot).  ***Please note, in the excel spreadsheet, this field should be formatted as a number with TWO decimal points and NO comma.****</t>
  </si>
  <si>
    <t>y</t>
  </si>
  <si>
    <t>The wire amount CS is sending out to fund the loan.  This amount is the initial advance amount + the haircut amount to be provided by the customer.***Please note, in the excel spreadsheet, this field should be formatted as a number with TWO decimal points and NO comma.***</t>
  </si>
  <si>
    <t>z</t>
  </si>
  <si>
    <t>How is loan funded? 1=Wire, 2=Cashier Check, 3=Draft</t>
  </si>
  <si>
    <t>aa</t>
  </si>
  <si>
    <t>If check funding (i.e. funding method is 3) this field should contain the check numbers.</t>
  </si>
  <si>
    <t>ab</t>
  </si>
  <si>
    <t>Account Name for wiring instructions. (Escrow agent or closing attorney)</t>
  </si>
  <si>
    <t>ac</t>
  </si>
  <si>
    <t>Closing agent address.</t>
  </si>
  <si>
    <t>ad</t>
  </si>
  <si>
    <t>City where closing agent is located.</t>
  </si>
  <si>
    <t>ae</t>
  </si>
  <si>
    <t>State where closing agent is located.  ***Please use two letter abbreviation***</t>
  </si>
  <si>
    <t>varchar(2)</t>
  </si>
  <si>
    <t>af</t>
  </si>
  <si>
    <t>Zip code of closing agent.</t>
  </si>
  <si>
    <t>ag</t>
  </si>
  <si>
    <t>Account number for wiring instructions.</t>
  </si>
  <si>
    <t>ah</t>
  </si>
  <si>
    <t>ABA # for wiring instructions. (Bank of escrow agent or closing attorney). ***Please note the excel file should be formatted for a custom numer of 9 digits, any leading zero on an ABA must be entered***</t>
  </si>
  <si>
    <t>ai</t>
  </si>
  <si>
    <t>Any instruction for wire needed by escrow agent or attorney (i.e. Smith file #1111)</t>
  </si>
  <si>
    <t>aj</t>
  </si>
  <si>
    <t>Please fill in Bank name, city and state in this section.</t>
  </si>
  <si>
    <t>ak</t>
  </si>
  <si>
    <t>Name of payee for further credit to (in case of a 3rd Party wire)</t>
  </si>
  <si>
    <t>al</t>
  </si>
  <si>
    <t>Address of payee for further credit to (in case of a 3rd Party wire)</t>
  </si>
  <si>
    <t>am</t>
  </si>
  <si>
    <t>City of payee for further credit to (in case of a 3rd Party wire)</t>
  </si>
  <si>
    <t>an</t>
  </si>
  <si>
    <t>State of payee for further credit to (in case of a 3rd Party wire)</t>
  </si>
  <si>
    <t>ao</t>
  </si>
  <si>
    <t>Zipcode of payee for further credit to (in case of a 3rd Party wire)</t>
  </si>
  <si>
    <t>ap</t>
  </si>
  <si>
    <t>Bank account of payee for further credit to (in case of a 3rd Party wire)</t>
  </si>
  <si>
    <t>aq</t>
  </si>
  <si>
    <t>Bank ABA number of payee for further credit to (in case of a 3rd Party wire)</t>
  </si>
  <si>
    <t>text</t>
  </si>
  <si>
    <t>ar</t>
  </si>
  <si>
    <t>Any further instructions for funding relating to 3rd Party wire.</t>
  </si>
  <si>
    <t>as</t>
  </si>
  <si>
    <t>at</t>
  </si>
  <si>
    <t>Take-out investor committed to buy loan. (See separate list of investor codes.)</t>
  </si>
  <si>
    <t>char(4)</t>
  </si>
  <si>
    <t>See Approved Investors tab</t>
  </si>
  <si>
    <t>au</t>
  </si>
  <si>
    <t>Commitment number from Take-out investor.</t>
  </si>
  <si>
    <t>varchar(16)</t>
  </si>
  <si>
    <t>av</t>
  </si>
  <si>
    <t>Take-out investor purchase price.</t>
  </si>
  <si>
    <t>aw</t>
  </si>
  <si>
    <t>Date of take-out investor commitment.</t>
  </si>
  <si>
    <t>ax</t>
  </si>
  <si>
    <t>Expiration of commitment from take-out investor.</t>
  </si>
  <si>
    <t>ay</t>
  </si>
  <si>
    <t>Take-out investor’s id for loan.</t>
  </si>
  <si>
    <t>az</t>
  </si>
  <si>
    <t>Property type (i.e. SFR).  (See separate list of property type codes.)</t>
  </si>
  <si>
    <t>See Property Type Code Tab</t>
  </si>
  <si>
    <t>ba</t>
  </si>
  <si>
    <t>Type of Lien 1 or 2.</t>
  </si>
  <si>
    <t>Text or Number</t>
  </si>
  <si>
    <t>1 or 2</t>
  </si>
  <si>
    <t>bb</t>
  </si>
  <si>
    <t>Original loan-to-value.</t>
  </si>
  <si>
    <t>Number </t>
  </si>
  <si>
    <t>bc</t>
  </si>
  <si>
    <t>Original combined-loan-to-value.</t>
  </si>
  <si>
    <t>bd</t>
  </si>
  <si>
    <t>If loan has PMI, specify percent amount for PMI insurance.</t>
  </si>
  <si>
    <t>If MI company is applicable then Mortgage Ins % should be filled in  </t>
  </si>
  <si>
    <t>be</t>
  </si>
  <si>
    <t>Fico score of primary borrower</t>
  </si>
  <si>
    <t>bf</t>
  </si>
  <si>
    <t>Term of loan (in months, i.e. 360)</t>
  </si>
  <si>
    <t>bg</t>
  </si>
  <si>
    <t>Amortization term (in months, i.e. 360)</t>
  </si>
  <si>
    <t>bh</t>
  </si>
  <si>
    <t>Purpose of loan.  (See separate list of purpose codes)</t>
  </si>
  <si>
    <t>See Purpose Type Code Tab</t>
  </si>
  <si>
    <t>bi</t>
  </si>
  <si>
    <t>Number of Units 1-4</t>
  </si>
  <si>
    <t>bj</t>
  </si>
  <si>
    <t>Original appraised value of the property.</t>
  </si>
  <si>
    <t>bk</t>
  </si>
  <si>
    <t>Name of appraiser</t>
  </si>
  <si>
    <t>header was renamed</t>
  </si>
  <si>
    <t>bl</t>
  </si>
  <si>
    <t>Type of occupancy (See separate list of occupancy codes)</t>
  </si>
  <si>
    <t>See Occupancy Code Tab</t>
  </si>
  <si>
    <t>bm</t>
  </si>
  <si>
    <t>Level of loan documentation (See separate list of documentation codes)</t>
  </si>
  <si>
    <t>char(1)</t>
  </si>
  <si>
    <t>See Document Level Code tab</t>
  </si>
  <si>
    <t>bn</t>
  </si>
  <si>
    <t>Primary borrower’s debt ratio</t>
  </si>
  <si>
    <t>bo</t>
  </si>
  <si>
    <t>Is escrow required?  1=Yes, 0=No</t>
  </si>
  <si>
    <t>1 = Yes; 0 = No</t>
  </si>
  <si>
    <t>bp</t>
  </si>
  <si>
    <t>ARM Margin</t>
  </si>
  <si>
    <t>bq</t>
  </si>
  <si>
    <t>Financial index to which an ARM is tied.  (See separate list of ARM indices)</t>
  </si>
  <si>
    <t>See ARM index Tab</t>
  </si>
  <si>
    <t>br</t>
  </si>
  <si>
    <t>Initial rate on an ARM</t>
  </si>
  <si>
    <t>bs</t>
  </si>
  <si>
    <t>First interest rate adjustment date.</t>
  </si>
  <si>
    <t>bt</t>
  </si>
  <si>
    <t>First interest rate adjustment cap for the ARM.</t>
  </si>
  <si>
    <t>bu</t>
  </si>
  <si>
    <t>Frequency (expressed in months) representing length of time between rate changes after the first rate change</t>
  </si>
  <si>
    <t>bv</t>
  </si>
  <si>
    <t>Periodic rate cap for the ARM.</t>
  </si>
  <si>
    <t>bw</t>
  </si>
  <si>
    <t>Lifetime cap of an ARM.</t>
  </si>
  <si>
    <t>bx</t>
  </si>
  <si>
    <t>Lifetime floor rate of the ARM.</t>
  </si>
  <si>
    <t>by</t>
  </si>
  <si>
    <t>Purchase price of home if purchased. 
***Please note, in the excel spreadsheet, this field should be formatted as a number with TWO decimal points and NO comma.***</t>
  </si>
  <si>
    <t>bz</t>
  </si>
  <si>
    <t>Prepayment penalty applicable? 1=Yes, 0=No</t>
  </si>
  <si>
    <t>ca</t>
  </si>
  <si>
    <t>Prepayment penalty, shown as a percentage of the note amount.</t>
  </si>
  <si>
    <t>cb</t>
  </si>
  <si>
    <t>Period penalty enforceable (in months)</t>
  </si>
  <si>
    <t>cc</t>
  </si>
  <si>
    <t>Does the loan have an interest only feature? 1=Yes, 0=No</t>
  </si>
  <si>
    <t>cd</t>
  </si>
  <si>
    <t>Period of time that only interest is being paid on the loan (in months, i.e. 360).</t>
  </si>
  <si>
    <t>ce</t>
  </si>
  <si>
    <t>Date through which the borrower has made payments.</t>
  </si>
  <si>
    <t>cf</t>
  </si>
  <si>
    <t>Have assets been verified? 1=Yes, 0=No</t>
  </si>
  <si>
    <t>cg</t>
  </si>
  <si>
    <t>Number of times borrower has been more than 30 days delinquent</t>
  </si>
  <si>
    <t>was delinquent_history</t>
  </si>
  <si>
    <t>ch</t>
  </si>
  <si>
    <t>Number of times borrower has been more than 60 days delinquent</t>
  </si>
  <si>
    <t>ci</t>
  </si>
  <si>
    <t>Number of times borrower has been more than 90 days delinquent</t>
  </si>
  <si>
    <t>cj</t>
  </si>
  <si>
    <t>Number of times borrower has been more than 120 days delinquent</t>
  </si>
  <si>
    <t>ck</t>
  </si>
  <si>
    <t>identifies borrower 1 as self employed</t>
  </si>
  <si>
    <t>cl</t>
  </si>
  <si>
    <t>identifies borrower 2 as self employed</t>
  </si>
  <si>
    <t>Borr_1_marital_status</t>
  </si>
  <si>
    <t>cm</t>
  </si>
  <si>
    <t>borrower 1 marital status</t>
  </si>
  <si>
    <t>Married, Single, Divorced</t>
  </si>
  <si>
    <t>Borr_2_marital_status</t>
  </si>
  <si>
    <t>cn</t>
  </si>
  <si>
    <t>borrower 2 marital status</t>
  </si>
  <si>
    <t>co</t>
  </si>
  <si>
    <t>borrower 1 age</t>
  </si>
  <si>
    <t>cp</t>
  </si>
  <si>
    <t>borrower 2 age</t>
  </si>
  <si>
    <t>cq</t>
  </si>
  <si>
    <t>borrower 1 gender</t>
  </si>
  <si>
    <t>M or F</t>
  </si>
  <si>
    <t>cr</t>
  </si>
  <si>
    <t>borrower 2 gender</t>
  </si>
  <si>
    <t>Is_first_time_buyer</t>
  </si>
  <si>
    <t>cs</t>
  </si>
  <si>
    <t>identifies a borrower as a first time buyer // borr 1 and borr 2 necessary?</t>
  </si>
  <si>
    <t>ct</t>
  </si>
  <si>
    <t>a flag indicating that a collateral is negatively amortizing</t>
  </si>
  <si>
    <t>Armoption</t>
  </si>
  <si>
    <t>cu</t>
  </si>
  <si>
    <t>a flag indicating that a certain piece of collateral is an Option ARM.</t>
  </si>
  <si>
    <t>cv</t>
  </si>
  <si>
    <t>date a loan first becomes delinquent</t>
  </si>
  <si>
    <t>Bankruptcy_chapter</t>
  </si>
  <si>
    <t>cw</t>
  </si>
  <si>
    <t>chapter of bankruptcy filed by the borrower</t>
  </si>
  <si>
    <t>Bankruptcy_discharge_date</t>
  </si>
  <si>
    <t>cx</t>
  </si>
  <si>
    <t>date the bankruptcy was discharged</t>
  </si>
  <si>
    <t>Foreclosure_satisfied_date</t>
  </si>
  <si>
    <t>cy</t>
  </si>
  <si>
    <t>date the borrower's foreclosure was discharged</t>
  </si>
  <si>
    <t>cz</t>
  </si>
  <si>
    <t>either "hard" or "soft" to indicate the level of prepayment penalty enforcement</t>
  </si>
  <si>
    <t>DU_Response</t>
  </si>
  <si>
    <t>da</t>
  </si>
  <si>
    <t>Third party Automated Underwriting System response to the mortgage</t>
  </si>
  <si>
    <t>varchar(25)</t>
  </si>
  <si>
    <t>DU_Case_Number</t>
  </si>
  <si>
    <t>db</t>
  </si>
  <si>
    <t>Third party Automated Underwriting System reference number</t>
  </si>
  <si>
    <t>dc</t>
  </si>
  <si>
    <t>caps the maximum amount of negative amortization available on the mortgae as a percentage</t>
  </si>
  <si>
    <t>dd</t>
  </si>
  <si>
    <t>Number of months before the first rate adjustment.</t>
  </si>
  <si>
    <t>Tradelines</t>
  </si>
  <si>
    <t>de</t>
  </si>
  <si>
    <t>the number of open lines of credit the borrower has at the underwriting; the customer's underwriters should be able to provide this.</t>
  </si>
  <si>
    <t>Reserved_term</t>
  </si>
  <si>
    <t>df</t>
  </si>
  <si>
    <t>the number of mortgage payments the borrower has on reserve after the down payment is paid and closing is completed.</t>
  </si>
  <si>
    <t>Reserved_amt</t>
  </si>
  <si>
    <t>dg</t>
  </si>
  <si>
    <t>The amount of money available to the borrower that corresponds to the months_reserved field.</t>
  </si>
  <si>
    <t>Numeric(14,2)</t>
  </si>
  <si>
    <t>dh</t>
  </si>
  <si>
    <t>MERS Mortgage Identification Number</t>
  </si>
  <si>
    <t>di</t>
  </si>
  <si>
    <t>MI Company Code</t>
  </si>
  <si>
    <t>See MI Company tab</t>
  </si>
  <si>
    <t>servicing_fee</t>
  </si>
  <si>
    <t>dj</t>
  </si>
  <si>
    <t>Servicing Fee (%)</t>
  </si>
  <si>
    <t>servicer</t>
  </si>
  <si>
    <t>dk</t>
  </si>
  <si>
    <t>Name of servicing company</t>
  </si>
  <si>
    <t>cur_note_rate</t>
  </si>
  <si>
    <t>dl</t>
  </si>
  <si>
    <t>Current Note rate (%)</t>
  </si>
  <si>
    <t>armpfloor</t>
  </si>
  <si>
    <t>dm</t>
  </si>
  <si>
    <t>Periodic Rate Cap (%)</t>
  </si>
  <si>
    <t>initial_recast_period</t>
  </si>
  <si>
    <t>dn</t>
  </si>
  <si>
    <t>Initial Recast Period</t>
  </si>
  <si>
    <t>for Option ARM and Heloc products only</t>
  </si>
  <si>
    <t>do</t>
  </si>
  <si>
    <t>Subsequent Recast Period</t>
  </si>
  <si>
    <t>dp</t>
  </si>
  <si>
    <t>Teaser Period</t>
  </si>
  <si>
    <t>is_balloon</t>
  </si>
  <si>
    <t>dq</t>
  </si>
  <si>
    <t>A flag indicating that a collateral is balloon</t>
  </si>
  <si>
    <t>market_value_cap</t>
  </si>
  <si>
    <t>dr</t>
  </si>
  <si>
    <t>Liquidity Spot market value price - 100</t>
  </si>
  <si>
    <t>See Market value Cap tab</t>
  </si>
  <si>
    <t>FHA Case Number</t>
  </si>
  <si>
    <t>ds</t>
  </si>
  <si>
    <t>Case number provided by FHA </t>
  </si>
  <si>
    <t>Max Rate</t>
  </si>
  <si>
    <t>dt</t>
  </si>
  <si>
    <t>Maximum interest rate charged on the loan</t>
  </si>
  <si>
    <t>Is LPMI</t>
  </si>
  <si>
    <t>du</t>
  </si>
  <si>
    <t>A flag indicating that lender paid mortgage insurance is in effect</t>
  </si>
  <si>
    <t>LPMI%</t>
  </si>
  <si>
    <t>dv</t>
  </si>
  <si>
    <t>Lender paid mortgage insurance % stripped out of coupon</t>
  </si>
  <si>
    <t>junior_lien_amount</t>
  </si>
  <si>
    <t>dw</t>
  </si>
  <si>
    <t>Current unpaid balance on a second or other junior lien on the property.  Used for cltv verification.</t>
  </si>
  <si>
    <t>dx</t>
  </si>
  <si>
    <t>Conv NO PMI or Conv PMI ; for FHA leave blank</t>
  </si>
  <si>
    <t>IO loan information</t>
  </si>
  <si>
    <t>dy-ee</t>
  </si>
  <si>
    <t>If not currently using these columns - keep the heading and leave fieds blank</t>
  </si>
  <si>
    <t>keep blank</t>
  </si>
  <si>
    <t>ef</t>
  </si>
  <si>
    <t>eg</t>
  </si>
  <si>
    <t>eh</t>
  </si>
  <si>
    <t>ei</t>
  </si>
  <si>
    <t>ej</t>
  </si>
  <si>
    <t>ek</t>
  </si>
  <si>
    <t>el</t>
  </si>
  <si>
    <t>em</t>
  </si>
  <si>
    <t>Product Codes</t>
  </si>
  <si>
    <t>Product Group:  CONF  -  Conforming</t>
  </si>
  <si>
    <t>CONF129</t>
  </si>
  <si>
    <t>Conforming 1/29 ARM</t>
  </si>
  <si>
    <t>CONF228</t>
  </si>
  <si>
    <t>Conforming 2/28 ARM</t>
  </si>
  <si>
    <t>CONF327</t>
  </si>
  <si>
    <t>Conforming 3/27 ARM</t>
  </si>
  <si>
    <t>Conforming 5/25 ARM</t>
  </si>
  <si>
    <t>CONF723</t>
  </si>
  <si>
    <t>Conforming 7/23 ARM</t>
  </si>
  <si>
    <t>CONF1020</t>
  </si>
  <si>
    <t>Conforming 10/20 ARM</t>
  </si>
  <si>
    <t>Conforming 10/10 Fixed</t>
  </si>
  <si>
    <t>Conforming 15/15 Fixed</t>
  </si>
  <si>
    <t>Conforming 20/20 Fixed</t>
  </si>
  <si>
    <t>Conforming 25 Year Fixed</t>
  </si>
  <si>
    <t>Conforming 30/30 Fixed</t>
  </si>
  <si>
    <t>FHA or VA loan - ARM</t>
  </si>
  <si>
    <t>FHA or VA loan - Fixed rate</t>
  </si>
  <si>
    <t>Product Group:  JUMB  -  Jumbo</t>
  </si>
  <si>
    <t>Codes</t>
  </si>
  <si>
    <t>Description</t>
  </si>
  <si>
    <t>JUMB129</t>
  </si>
  <si>
    <t>Jumbo 1/29 ARM</t>
  </si>
  <si>
    <t>JUMB228</t>
  </si>
  <si>
    <t>Jumbo 2/28 ARM</t>
  </si>
  <si>
    <t>JUMB327</t>
  </si>
  <si>
    <t>Jumbo 3/27 ARM</t>
  </si>
  <si>
    <t>JUMB525</t>
  </si>
  <si>
    <t>Jumbo 5/25 ARM</t>
  </si>
  <si>
    <t>JUMB723</t>
  </si>
  <si>
    <t>Jumbo 7/23 ARM</t>
  </si>
  <si>
    <t>JUMB1020</t>
  </si>
  <si>
    <t>Jumbo 10/20 ARM</t>
  </si>
  <si>
    <t>JUMB10F</t>
  </si>
  <si>
    <t>Jumbo 10/10 Fixed</t>
  </si>
  <si>
    <t>JUMB15F</t>
  </si>
  <si>
    <t>Jumbo 15/15 Fixed</t>
  </si>
  <si>
    <t>JUMB20F</t>
  </si>
  <si>
    <t>Jumbo 20/20 Fixed</t>
  </si>
  <si>
    <t>JUMB30F</t>
  </si>
  <si>
    <t>Jumbo 30/30 Fixed</t>
  </si>
  <si>
    <t>ArmIndex</t>
  </si>
  <si>
    <t>1MOLIBOR</t>
  </si>
  <si>
    <t>1 MO LIBOR</t>
  </si>
  <si>
    <t>6 MO LIBOR</t>
  </si>
  <si>
    <t>12MOMTA</t>
  </si>
  <si>
    <t>12 MO MTA</t>
  </si>
  <si>
    <t>1 YR LIBOR</t>
  </si>
  <si>
    <t>1 YR CMT</t>
  </si>
  <si>
    <t>1 YR CMT WKLY AVG</t>
  </si>
  <si>
    <t>FNMA6MO</t>
  </si>
  <si>
    <t>FNMA 6 MO LIBOR</t>
  </si>
  <si>
    <t>PRIME</t>
  </si>
  <si>
    <t>1MO11DCOFI</t>
  </si>
  <si>
    <t>1 MO 11th District COFI</t>
  </si>
  <si>
    <t>2YRCMT</t>
  </si>
  <si>
    <t>2 YR CMT</t>
  </si>
  <si>
    <t>3MOLIBOR</t>
  </si>
  <si>
    <t>3 MO LIBOR</t>
  </si>
  <si>
    <t>3YRCMT</t>
  </si>
  <si>
    <t>3 YR CMT</t>
  </si>
  <si>
    <t>5 YR CMT</t>
  </si>
  <si>
    <t>6MOCMTAVG</t>
  </si>
  <si>
    <t>6 MO CMT AVG</t>
  </si>
  <si>
    <t>6MOCDWKAVG</t>
  </si>
  <si>
    <t>6 MO CD WKLY AVG</t>
  </si>
  <si>
    <t>6MOTBILL</t>
  </si>
  <si>
    <t>6 MO TREASURY</t>
  </si>
  <si>
    <t>Property_Type_Code</t>
  </si>
  <si>
    <t>COND</t>
  </si>
  <si>
    <t>Condominium</t>
  </si>
  <si>
    <t>COOP</t>
  </si>
  <si>
    <t>Co-Op</t>
  </si>
  <si>
    <t>TOWN</t>
  </si>
  <si>
    <t>Townhouse</t>
  </si>
  <si>
    <t>MFH</t>
  </si>
  <si>
    <t>Manufactured Housing</t>
  </si>
  <si>
    <t>Single Family Residential</t>
  </si>
  <si>
    <t>MIX</t>
  </si>
  <si>
    <t>Mixed Use</t>
  </si>
  <si>
    <t>Planned Unit Development</t>
  </si>
  <si>
    <t>2F</t>
  </si>
  <si>
    <t>2 Family Home</t>
  </si>
  <si>
    <t>* ensure unit type is correct</t>
  </si>
  <si>
    <t>3F</t>
  </si>
  <si>
    <t>3 Family Home</t>
  </si>
  <si>
    <t>4F</t>
  </si>
  <si>
    <t>4 Family Home</t>
  </si>
  <si>
    <t>5+F</t>
  </si>
  <si>
    <t>5+ Family Home</t>
  </si>
  <si>
    <t>Purpose_Code</t>
  </si>
  <si>
    <t>CP</t>
  </si>
  <si>
    <t>Construction/Perm</t>
  </si>
  <si>
    <t>Purchase</t>
  </si>
  <si>
    <t>Refinance</t>
  </si>
  <si>
    <t>Cash Out Refinance</t>
  </si>
  <si>
    <t>DC</t>
  </si>
  <si>
    <t>Debt Consolidation</t>
  </si>
  <si>
    <t>HI</t>
  </si>
  <si>
    <t>Home Improvement</t>
  </si>
  <si>
    <t>Occupancy_Code</t>
  </si>
  <si>
    <t>Investor Owned</t>
  </si>
  <si>
    <t>Owner Occupied</t>
  </si>
  <si>
    <t>Second Home</t>
  </si>
  <si>
    <t>Doc_Level_Code</t>
  </si>
  <si>
    <t>Assets Verified</t>
  </si>
  <si>
    <t>FULL DOC</t>
  </si>
  <si>
    <t>24 months income verification and assets verified</t>
  </si>
  <si>
    <t>Yes</t>
  </si>
  <si>
    <t>LITE DOC</t>
  </si>
  <si>
    <t>12-23 months of income verification/assets verified</t>
  </si>
  <si>
    <t>NO RATIO</t>
  </si>
  <si>
    <t>Income or Assets are not provided</t>
  </si>
  <si>
    <t>No </t>
  </si>
  <si>
    <t>NIV</t>
  </si>
  <si>
    <t>No Income Validation Assets verified</t>
  </si>
  <si>
    <t>NAV</t>
  </si>
  <si>
    <t>No Assets Validation/income is verified</t>
  </si>
  <si>
    <t>No</t>
  </si>
  <si>
    <t>REDUCED</t>
  </si>
  <si>
    <t>1-11 months of income verification and Assets verified</t>
  </si>
  <si>
    <t>STATED/STATED</t>
  </si>
  <si>
    <t>Stated Income / Stated Assets</t>
  </si>
  <si>
    <t>NINA</t>
  </si>
  <si>
    <t>No Income Validation, No Assets Validation</t>
  </si>
  <si>
    <t>Mortgage Insurance Provider</t>
  </si>
  <si>
    <t>Company Code</t>
  </si>
  <si>
    <t>Radian</t>
  </si>
  <si>
    <t>RAD</t>
  </si>
  <si>
    <t>United Guarantee</t>
  </si>
  <si>
    <t>UG</t>
  </si>
  <si>
    <t>Genworth</t>
  </si>
  <si>
    <t>GENW</t>
  </si>
  <si>
    <t>GE</t>
  </si>
  <si>
    <t>MGIC</t>
  </si>
  <si>
    <t>Primary Mortgage Insurers</t>
  </si>
  <si>
    <t>PMI</t>
  </si>
  <si>
    <t>Republic</t>
  </si>
  <si>
    <t>RMIC</t>
  </si>
  <si>
    <t>Triad</t>
  </si>
  <si>
    <t>TRI</t>
  </si>
  <si>
    <t>CMG Mortgage Insurance Company</t>
  </si>
  <si>
    <t>CMG</t>
  </si>
  <si>
    <t>INVESTOR NAME</t>
  </si>
  <si>
    <t>INVESTOR CODE</t>
  </si>
  <si>
    <t>Bank of America NA</t>
  </si>
  <si>
    <t>Chase Home Finance, Inc.</t>
  </si>
  <si>
    <t>CHFI</t>
  </si>
  <si>
    <t>Chase Manhattan Mortgage</t>
  </si>
  <si>
    <t>CMM</t>
  </si>
  <si>
    <t>Chase Securities, Inc.</t>
  </si>
  <si>
    <t>CSI</t>
  </si>
  <si>
    <t>CitiMortgage, Inc.</t>
  </si>
  <si>
    <t>CITI</t>
  </si>
  <si>
    <t>Fannie Mae</t>
  </si>
  <si>
    <t>Freddie Mac</t>
  </si>
  <si>
    <t>FHLM</t>
  </si>
  <si>
    <t>GMAC Mortgage</t>
  </si>
  <si>
    <t>JP Morgan Chase</t>
  </si>
  <si>
    <t>Wells Fargo Bank</t>
  </si>
  <si>
    <t>WFB</t>
  </si>
  <si>
    <t>Wells Fargo Home Mortgage</t>
  </si>
  <si>
    <t>WELL</t>
  </si>
  <si>
    <t>JP Morgan Chase Securities Inc</t>
  </si>
  <si>
    <t>Product Group</t>
  </si>
  <si>
    <t>Market_Value_Cap</t>
  </si>
  <si>
    <t>Conforming</t>
  </si>
  <si>
    <t>Jumbo</t>
  </si>
</sst>
</file>

<file path=xl/styles.xml><?xml version="1.0" encoding="utf-8"?>
<styleSheet xmlns="http://schemas.openxmlformats.org/spreadsheetml/2006/main">
  <numFmts count="6">
    <numFmt formatCode="GENERAL" numFmtId="164"/>
    <numFmt formatCode="_(* #,##0.00_);_(* \(#,##0.00\);_(* \-??_);_(@_)" numFmtId="165"/>
    <numFmt formatCode="@" numFmtId="166"/>
    <numFmt formatCode="0" numFmtId="167"/>
    <numFmt formatCode="#,##0.00" numFmtId="168"/>
    <numFmt formatCode="M/D/YYYY" numFmtId="169"/>
  </numFmts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00000000"/>
      <sz val="11"/>
    </font>
    <font>
      <name val="Arial"/>
      <charset val="1"/>
      <family val="2"/>
      <color rgb="00222222"/>
      <sz val="10"/>
    </font>
    <font>
      <name val="Calibri"/>
      <charset val="1"/>
      <family val="2"/>
      <b val="true"/>
      <color rgb="00000000"/>
      <sz val="11"/>
    </font>
    <font>
      <name val="Arial"/>
      <charset val="1"/>
      <family val="2"/>
      <b val="true"/>
      <sz val="10"/>
    </font>
    <font>
      <name val="Arial"/>
      <charset val="1"/>
      <family val="2"/>
      <b val="true"/>
      <color rgb="00FF0000"/>
      <sz val="10"/>
    </font>
  </fonts>
  <fills count="4">
    <fill>
      <patternFill patternType="none"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FFCC"/>
        <bgColor rgb="00CCFFFF"/>
      </patternFill>
    </fill>
  </fills>
  <borders count="4">
    <border diagonalDown="false" diagonalUp="false">
      <left/>
      <right/>
      <top/>
      <bottom/>
      <diagonal/>
    </border>
    <border diagonalDown="false" diagonalUp="false">
      <left/>
      <right/>
      <top/>
      <bottom style="thin"/>
      <diagonal/>
    </border>
    <border diagonalDown="false" diagonalUp="false">
      <left style="thin"/>
      <right style="thin"/>
      <top style="thin"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5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0" fontId="0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0" numFmtId="165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4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4" numFmtId="164">
      <alignment horizontal="general" indent="0" shrinkToFit="false" textRotation="0" vertical="bottom" wrapText="false"/>
      <protection hidden="false" locked="true"/>
    </xf>
  </cellStyleXfs>
  <cellXfs count="66">
    <xf applyAlignment="false" applyBorder="false" applyFont="false" applyProtection="false" borderId="0" fillId="0" fontId="0" numFmtId="164" xfId="0"/>
    <xf applyAlignment="true" applyBorder="tru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6" xfId="0">
      <alignment horizontal="left" indent="0" shrinkToFit="false" textRotation="0" vertical="bottom" wrapText="false"/>
    </xf>
    <xf applyAlignment="true" applyBorder="true" applyFont="false" applyProtection="false" borderId="0" fillId="0" fontId="0" numFmtId="167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4" xfId="0">
      <alignment horizontal="general" indent="0" shrinkToFit="false" textRotation="0" vertical="bottom" wrapText="false"/>
    </xf>
    <xf applyAlignment="true" applyBorder="true" applyFont="true" applyProtection="false" borderId="0" fillId="2" fontId="0" numFmtId="166" xfId="0">
      <alignment horizontal="left" indent="0" shrinkToFit="false" textRotation="0" vertical="bottom" wrapText="false"/>
    </xf>
    <xf applyAlignment="true" applyBorder="true" applyFont="true" applyProtection="false" borderId="0" fillId="2" fontId="0" numFmtId="166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7" xfId="0">
      <alignment horizontal="general" indent="0" shrinkToFit="false" textRotation="0" vertical="bottom" wrapText="false"/>
    </xf>
    <xf applyAlignment="true" applyBorder="tru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4" xfId="0">
      <alignment horizontal="general" indent="0" shrinkToFit="false" textRotation="0" vertical="bottom" wrapText="false"/>
    </xf>
    <xf applyAlignment="false" applyBorder="true" applyFont="true" applyProtection="false" borderId="0" fillId="0" fontId="4" numFmtId="166" xfId="24"/>
    <xf applyAlignment="true" applyBorder="true" applyFont="true" applyProtection="false" borderId="0" fillId="0" fontId="0" numFmtId="166" xfId="0">
      <alignment horizontal="general" indent="0" shrinkToFit="false" textRotation="0" vertical="bottom" wrapText="false"/>
    </xf>
    <xf applyAlignment="false" applyBorder="true" applyFont="false" applyProtection="false" borderId="0" fillId="0" fontId="4" numFmtId="168" xfId="24"/>
    <xf applyAlignment="false" applyBorder="true" applyFont="false" applyProtection="false" borderId="0" fillId="0" fontId="4" numFmtId="169" xfId="24"/>
    <xf applyAlignment="true" applyBorder="true" applyFont="false" applyProtection="false" borderId="0" fillId="0" fontId="0" numFmtId="169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6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8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9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7" xfId="0">
      <alignment horizontal="general" indent="0" shrinkToFit="false" textRotation="0" vertical="bottom" wrapText="false"/>
    </xf>
    <xf applyAlignment="true" applyBorder="true" applyFont="false" applyProtection="false" borderId="0" fillId="0" fontId="0" numFmtId="168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4" xfId="0">
      <alignment horizontal="left" indent="0" shrinkToFit="false" textRotation="0" vertical="bottom" wrapText="false"/>
    </xf>
    <xf applyAlignment="true" applyBorder="true" applyFont="false" applyProtection="false" borderId="0" fillId="0" fontId="0" numFmtId="166" xfId="0">
      <alignment horizontal="left" indent="0" shrinkToFit="false" textRotation="0" vertical="bottom" wrapText="false"/>
    </xf>
    <xf applyAlignment="true" applyBorder="true" applyFont="false" applyProtection="false" borderId="0" fillId="0" fontId="0" numFmtId="169" xfId="0">
      <alignment horizontal="right" indent="0" shrinkToFit="false" textRotation="0" vertical="bottom" wrapText="false"/>
    </xf>
    <xf applyAlignment="true" applyBorder="true" applyFont="true" applyProtection="false" borderId="0" fillId="2" fontId="6" numFmtId="166" xfId="0">
      <alignment horizontal="left" indent="0" shrinkToFit="false" textRotation="0" vertical="bottom" wrapText="false"/>
    </xf>
    <xf applyAlignment="true" applyBorder="tru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true" applyFont="true" applyProtection="false" borderId="0" fillId="2" fontId="6" numFmtId="166" xfId="0">
      <alignment horizontal="general" indent="0" shrinkToFit="false" textRotation="0" vertical="bottom" wrapText="false"/>
    </xf>
    <xf applyAlignment="true" applyBorder="true" applyFont="true" applyProtection="false" borderId="0" fillId="2" fontId="6" numFmtId="164" xfId="0">
      <alignment horizontal="general" indent="0" shrinkToFit="false" textRotation="0" vertical="bottom" wrapText="false"/>
    </xf>
    <xf applyAlignment="true" applyBorder="true" applyFont="true" applyProtection="false" borderId="0" fillId="3" fontId="6" numFmtId="164" xfId="0">
      <alignment horizontal="general" indent="0" shrinkToFit="false" textRotation="0" vertical="bottom" wrapText="false"/>
    </xf>
    <xf applyAlignment="true" applyBorder="true" applyFont="true" applyProtection="false" borderId="0" fillId="0" fontId="0" numFmtId="164" xfId="0">
      <alignment horizontal="center" indent="0" shrinkToFit="false" textRotation="0" vertical="bottom" wrapText="false"/>
    </xf>
    <xf applyAlignment="true" applyBorder="true" applyFont="true" applyProtection="false" borderId="0" fillId="0" fontId="7" numFmtId="164" xfId="0">
      <alignment horizontal="general" indent="0" shrinkToFit="false" textRotation="0" vertical="bottom" wrapText="false"/>
    </xf>
    <xf applyAlignment="true" applyBorder="true" applyFont="true" applyProtection="false" borderId="0" fillId="0" fontId="7" numFmtId="164" xfId="0">
      <alignment horizontal="general" indent="0" shrinkToFit="false" textRotation="0" vertical="bottom" wrapText="true"/>
    </xf>
    <xf applyAlignment="false" applyBorder="true" applyFont="false" applyProtection="false" borderId="0" fillId="0" fontId="0" numFmtId="164" xfId="0"/>
    <xf applyAlignment="true" applyBorder="true" applyFont="true" applyProtection="false" borderId="1" fillId="0" fontId="7" numFmtId="164" xfId="0">
      <alignment horizontal="general" indent="0" shrinkToFit="false" textRotation="0" vertical="bottom" wrapText="false"/>
    </xf>
    <xf applyAlignment="true" applyBorder="true" applyFont="true" applyProtection="false" borderId="1" fillId="0" fontId="7" numFmtId="164" xfId="0">
      <alignment horizontal="left" indent="0" shrinkToFit="false" textRotation="0" vertical="bottom" wrapText="false"/>
    </xf>
    <xf applyAlignment="true" applyBorder="true" applyFont="true" applyProtection="false" borderId="1" fillId="0" fontId="7" numFmtId="164" xfId="0">
      <alignment horizontal="general" indent="0" shrinkToFit="false" textRotation="0" vertical="bottom" wrapText="true"/>
    </xf>
    <xf applyAlignment="true" applyBorder="true" applyFont="true" applyProtection="false" borderId="0" fillId="0" fontId="0" numFmtId="164" xfId="0">
      <alignment horizontal="general" indent="0" shrinkToFit="false" textRotation="0" vertical="bottom" wrapText="true"/>
    </xf>
    <xf applyAlignment="true" applyBorder="true" applyFont="true" applyProtection="false" borderId="0" fillId="0" fontId="8" numFmtId="164" xfId="0">
      <alignment horizontal="general" indent="0" shrinkToFit="false" textRotation="0" vertical="bottom" wrapText="true"/>
    </xf>
    <xf applyAlignment="false" applyBorder="true" applyFont="true" applyProtection="false" borderId="0" fillId="0" fontId="7" numFmtId="164" xfId="0"/>
    <xf applyAlignment="true" applyBorder="true" applyFont="true" applyProtection="false" borderId="0" fillId="0" fontId="7" numFmtId="164" xfId="0">
      <alignment horizontal="center" indent="0" shrinkToFit="false" textRotation="0" vertical="bottom" wrapText="false"/>
    </xf>
    <xf applyAlignment="true" applyBorder="true" applyFont="true" applyProtection="false" borderId="0" fillId="0" fontId="7" numFmtId="164" xfId="0">
      <alignment horizontal="general" indent="0" shrinkToFit="false" textRotation="0" vertical="top" wrapText="false"/>
    </xf>
    <xf applyAlignment="true" applyBorder="true" applyFont="true" applyProtection="false" borderId="0" fillId="0" fontId="0" numFmtId="164" xfId="0">
      <alignment horizontal="general" indent="0" shrinkToFit="false" textRotation="0" vertical="top" wrapText="true"/>
    </xf>
    <xf applyAlignment="false" applyBorder="true" applyFont="true" applyProtection="false" borderId="0" fillId="0" fontId="8" numFmtId="164" xfId="0"/>
    <xf applyAlignment="true" applyBorder="true" applyFont="true" applyProtection="false" borderId="0" fillId="0" fontId="7" numFmtId="164" xfId="0">
      <alignment horizontal="general" indent="0" shrinkToFit="false" textRotation="0" vertical="top" wrapText="true"/>
    </xf>
    <xf applyAlignment="false" applyBorder="true" applyFont="true" applyProtection="false" borderId="0" fillId="0" fontId="0" numFmtId="164" xfId="0"/>
    <xf applyAlignment="true" applyBorder="true" applyFont="false" applyProtection="false" borderId="0" fillId="0" fontId="0" numFmtId="164" xfId="0">
      <alignment horizontal="general" indent="0" shrinkToFit="false" textRotation="0" vertical="bottom" wrapText="true"/>
    </xf>
    <xf applyAlignment="true" applyBorder="true" applyFont="true" applyProtection="false" borderId="0" fillId="0" fontId="0" numFmtId="164" xfId="0">
      <alignment horizontal="general" indent="0" shrinkToFit="false" textRotation="0" vertical="top" wrapText="false"/>
    </xf>
    <xf applyAlignment="true" applyBorder="true" applyFont="false" applyProtection="false" borderId="0" fillId="0" fontId="0" numFmtId="164" xfId="0">
      <alignment horizontal="general" indent="0" shrinkToFit="false" textRotation="0" vertical="top" wrapText="false"/>
    </xf>
    <xf applyAlignment="true" applyBorder="true" applyFont="true" applyProtection="false" borderId="0" fillId="0" fontId="0" numFmtId="164" xfId="0">
      <alignment horizontal="center" indent="0" shrinkToFit="false" textRotation="0" vertical="top" wrapText="false"/>
    </xf>
    <xf applyAlignment="true" applyBorder="true" applyFont="true" applyProtection="false" borderId="0" fillId="0" fontId="7" numFmtId="164" xfId="0">
      <alignment horizontal="center" indent="0" shrinkToFit="false" textRotation="0" vertical="top" wrapText="false"/>
    </xf>
    <xf applyAlignment="true" applyBorder="true" applyFont="true" applyProtection="false" borderId="0" fillId="0" fontId="5" numFmtId="164" xfId="0">
      <alignment horizontal="general" indent="0" shrinkToFit="false" textRotation="0" vertical="bottom" wrapText="false"/>
    </xf>
    <xf applyAlignment="false" applyBorder="false" applyFont="true" applyProtection="false" borderId="0" fillId="0" fontId="7" numFmtId="164" xfId="0"/>
    <xf applyAlignment="false" applyBorder="true" applyFont="true" applyProtection="false" borderId="1" fillId="0" fontId="7" numFmtId="164" xfId="0"/>
    <xf applyAlignment="false" applyBorder="true" applyFont="true" applyProtection="false" borderId="0" fillId="0" fontId="7" numFmtId="164" xfId="0"/>
    <xf applyAlignment="false" applyBorder="true" applyFont="true" applyProtection="false" borderId="0" fillId="0" fontId="0" numFmtId="164" xfId="0"/>
    <xf applyAlignment="true" applyBorder="true" applyFont="true" applyProtection="false" borderId="1" fillId="0" fontId="7" numFmtId="164" xfId="0">
      <alignment horizontal="left" indent="0" shrinkToFit="false" textRotation="0" vertical="bottom" wrapText="false"/>
    </xf>
    <xf applyAlignment="true" applyBorder="true" applyFont="false" applyProtection="false" borderId="0" fillId="0" fontId="0" numFmtId="164" xfId="0">
      <alignment horizontal="left" indent="0" shrinkToFit="false" textRotation="0" vertical="bottom" wrapText="false"/>
    </xf>
    <xf applyAlignment="true" applyBorder="true" applyFont="true" applyProtection="false" borderId="2" fillId="0" fontId="7" numFmtId="164" xfId="0">
      <alignment horizontal="center" indent="0" shrinkToFit="false" textRotation="0" vertical="bottom" wrapText="false"/>
    </xf>
    <xf applyAlignment="true" applyBorder="true" applyFont="true" applyProtection="false" borderId="2" fillId="0" fontId="7" numFmtId="164" xfId="0">
      <alignment horizontal="center" indent="0" shrinkToFit="false" textRotation="0" vertical="bottom" wrapText="true"/>
    </xf>
    <xf applyAlignment="true" applyBorder="true" applyFont="true" applyProtection="false" borderId="3" fillId="0" fontId="0" numFmtId="164" xfId="0">
      <alignment horizontal="general" indent="0" shrinkToFit="false" textRotation="0" vertical="bottom" wrapText="false"/>
    </xf>
    <xf applyAlignment="true" applyBorder="true" applyFont="true" applyProtection="false" borderId="3" fillId="0" fontId="0" numFmtId="164" xfId="0">
      <alignment horizontal="left" indent="0" shrinkToFit="false" textRotation="0" vertical="bottom" wrapText="false"/>
    </xf>
    <xf applyAlignment="true" applyBorder="true" applyFont="true" applyProtection="false" borderId="3" fillId="0" fontId="0" numFmtId="164" xfId="0">
      <alignment horizontal="general" indent="0" shrinkToFit="false" textRotation="0" vertical="bottom" wrapText="false"/>
    </xf>
    <xf applyAlignment="true" applyBorder="true" applyFont="true" applyProtection="false" borderId="3" fillId="0" fontId="0" numFmtId="164" xfId="0">
      <alignment horizontal="left" indent="0" shrinkToFit="false" textRotation="0" vertical="bottom" wrapText="false"/>
    </xf>
    <xf applyAlignment="false" applyBorder="false" applyFont="false" applyProtection="false" borderId="0" fillId="0" fontId="0" numFmtId="164" xfId="0"/>
    <xf applyAlignment="false" applyBorder="true" applyFont="true" applyProtection="false" borderId="3" fillId="0" fontId="0" numFmtId="164" xfId="0"/>
    <xf applyAlignment="false" applyBorder="true" applyFont="true" applyProtection="false" borderId="3" fillId="0" fontId="0" numFmtId="164" xfId="0"/>
  </cellXfs>
  <cellStyles count="11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Comma 2" xfId="20"/>
    <cellStyle builtinId="54" customBuiltin="true" name="Comma 3" xfId="21"/>
    <cellStyle builtinId="54" customBuiltin="true" name="Normal 2" xfId="22"/>
    <cellStyle builtinId="54" customBuiltin="true" name="Normal 2 2" xfId="23"/>
    <cellStyle builtinId="54" customBuiltin="true" name="Normal 3" xfId="2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M111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Right" topLeftCell="AX2" xSplit="2" ySplit="1"/>
      <selection activeCell="A1" activeCellId="0" pane="topLeft" sqref="A1"/>
      <selection activeCell="AX1" activeCellId="0" pane="topRight" sqref="AX1"/>
      <selection activeCell="A2" activeCellId="0" pane="bottomLeft" sqref="A2"/>
      <selection activeCell="AZ11" activeCellId="0" pane="bottomRight" sqref="AZ11"/>
    </sheetView>
  </sheetViews>
  <cols>
    <col collapsed="false" hidden="false" max="1" min="1" style="1" width="20.243137254902"/>
    <col collapsed="false" hidden="false" max="2" min="2" style="2" width="15.078431372549"/>
    <col collapsed="false" hidden="false" max="6" min="3" style="1" width="18.2352941176471"/>
    <col collapsed="false" hidden="false" max="7" min="7" style="1" width="9.90196078431373"/>
    <col collapsed="false" hidden="false" max="8" min="8" style="1" width="19.6705882352941"/>
    <col collapsed="false" hidden="false" max="9" min="9" style="1" width="7.46274509803922"/>
    <col collapsed="false" hidden="false" max="10" min="10" style="1" width="34.0235294117647"/>
    <col collapsed="false" hidden="false" max="11" min="11" style="1" width="12.4823529411765"/>
    <col collapsed="false" hidden="false" max="12" min="12" style="1" width="14.4980392156863"/>
    <col collapsed="false" hidden="false" max="13" min="13" style="1" width="16.2274509803922"/>
    <col collapsed="false" hidden="false" max="14" min="14" style="1" width="14.4980392156863"/>
    <col collapsed="false" hidden="false" max="16" min="15" style="1" width="11.7686274509804"/>
    <col collapsed="false" hidden="false" max="17" min="17" style="1" width="9.76078431372549"/>
    <col collapsed="false" hidden="false" max="18" min="18" style="1" width="10.4745098039216"/>
    <col collapsed="false" hidden="false" max="19" min="19" style="1" width="16.5058823529412"/>
    <col collapsed="false" hidden="false" max="20" min="20" style="1" width="14.4980392156863"/>
    <col collapsed="false" hidden="false" max="21" min="21" style="1" width="9.33333333333333"/>
    <col collapsed="false" hidden="false" max="22" min="22" style="1" width="10.0470588235294"/>
    <col collapsed="false" hidden="false" max="24" min="23" style="3" width="14.2196078431373"/>
    <col collapsed="false" hidden="false" max="25" min="25" style="3" width="16.5058823529412"/>
    <col collapsed="false" hidden="false" max="26" min="26" style="1" width="21.678431372549"/>
    <col collapsed="false" hidden="false" max="27" min="27" style="1" width="11.6313725490196"/>
    <col collapsed="false" hidden="false" max="28" min="28" style="1" width="17.6627450980392"/>
    <col collapsed="false" hidden="false" max="29" min="29" style="1" width="17.0862745098039"/>
    <col collapsed="false" hidden="false" max="30" min="30" style="1" width="19.6705882352941"/>
    <col collapsed="false" hidden="false" max="31" min="31" style="1" width="14.4980392156863"/>
    <col collapsed="false" hidden="false" max="32" min="32" style="1" width="14.643137254902"/>
    <col collapsed="false" hidden="false" max="33" min="33" style="1" width="20.8117647058824"/>
    <col collapsed="false" hidden="false" max="34" min="34" style="1" width="17.0862745098039"/>
    <col collapsed="false" hidden="false" max="36" min="35" style="1" width="20.243137254902"/>
    <col collapsed="false" hidden="false" max="37" min="37" style="1" width="14.9333333333333"/>
    <col collapsed="false" hidden="false" max="38" min="38" style="1" width="17.0862745098039"/>
    <col collapsed="false" hidden="false" max="39" min="39" style="1" width="13.3490196078431"/>
    <col collapsed="false" hidden="false" max="40" min="40" style="1" width="14.4980392156863"/>
    <col collapsed="false" hidden="false" max="41" min="41" style="1" width="46.8039215686275"/>
    <col collapsed="false" hidden="false" max="42" min="42" style="1" width="20.8117647058824"/>
    <col collapsed="false" hidden="false" max="43" min="43" style="1" width="17.0862745098039"/>
    <col collapsed="false" hidden="false" max="45" min="44" style="1" width="20.243137254902"/>
    <col collapsed="false" hidden="false" max="46" min="46" style="1" width="14.643137254902"/>
    <col collapsed="false" hidden="false" max="47" min="47" style="1" width="20.0980392156863"/>
    <col collapsed="false" hidden="false" max="48" min="48" style="1" width="17.8"/>
    <col collapsed="false" hidden="false" max="49" min="49" style="1" width="17.3725490196078"/>
    <col collapsed="false" hidden="false" max="50" min="50" style="1" width="23.5411764705882"/>
    <col collapsed="false" hidden="false" max="51" min="51" style="1" width="12.0549019607843"/>
    <col collapsed="false" hidden="false" max="52" min="52" style="1" width="19.9529411764706"/>
    <col collapsed="false" hidden="false" max="53" min="53" style="1" width="13.6392156862745"/>
    <col collapsed="false" hidden="false" max="54" min="54" style="1" width="11.921568627451"/>
    <col collapsed="false" hidden="false" max="55" min="55" style="1" width="12.9254901960784"/>
    <col collapsed="false" hidden="false" max="56" min="56" style="1" width="13.4941176470588"/>
    <col collapsed="false" hidden="false" max="57" min="57" style="1" width="11.7686274509804"/>
    <col collapsed="false" hidden="false" max="58" min="58" style="1" width="13.9294117647059"/>
    <col collapsed="false" hidden="false" max="59" min="59" style="1" width="18.3764705882353"/>
    <col collapsed="false" hidden="false" max="60" min="60" style="1" width="14.9333333333333"/>
    <col collapsed="false" hidden="false" max="61" min="61" style="1" width="7.32549019607843"/>
    <col collapsed="false" hidden="false" max="62" min="62" style="1" width="20.8117647058824"/>
    <col collapsed="false" hidden="false" max="63" min="63" style="1" width="16.6509803921569"/>
    <col collapsed="false" hidden="false" max="64" min="64" style="1" width="17.5098039215686"/>
    <col collapsed="false" hidden="false" max="65" min="65" style="1" width="16.0823529411765"/>
    <col collapsed="false" hidden="false" max="66" min="66" style="1" width="18.3764705882353"/>
    <col collapsed="false" hidden="false" max="67" min="67" style="1" width="19.3803921568627"/>
    <col collapsed="false" hidden="false" max="68" min="68" style="1" width="12.0549019607843"/>
    <col collapsed="false" hidden="false" max="70" min="69" style="1" width="11.6313725490196"/>
    <col collapsed="false" hidden="false" max="71" min="71" style="1" width="22.3921568627451"/>
    <col collapsed="false" hidden="false" max="72" min="72" style="1" width="12.7725490196078"/>
    <col collapsed="false" hidden="false" max="73" min="73" style="1" width="22.8196078431373"/>
    <col collapsed="false" hidden="false" max="74" min="74" style="1" width="10.4745098039216"/>
    <col collapsed="false" hidden="false" max="75" min="75" style="1" width="9.90196078431373"/>
    <col collapsed="false" hidden="false" max="76" min="76" style="1" width="10.3372549019608"/>
    <col collapsed="false" hidden="false" max="77" min="77" style="1" width="16.0823529411765"/>
    <col collapsed="false" hidden="false" max="78" min="78" style="1" width="20.0980392156863"/>
    <col collapsed="false" hidden="false" max="79" min="79" style="1" width="19.8078431372549"/>
    <col collapsed="false" hidden="false" max="80" min="80" style="1" width="14.9333333333333"/>
    <col collapsed="false" hidden="false" max="81" min="81" style="1" width="17.9450980392157"/>
    <col collapsed="false" hidden="false" max="82" min="82" style="1" width="20.243137254902"/>
    <col collapsed="false" hidden="false" max="83" min="83" style="1" width="13.9294117647059"/>
    <col collapsed="false" hidden="false" max="84" min="84" style="1" width="18.0901960784314"/>
    <col collapsed="false" hidden="false" max="87" min="85" style="1" width="20.6745098039216"/>
    <col collapsed="false" hidden="false" max="88" min="88" style="1" width="21.678431372549"/>
    <col collapsed="false" hidden="false" max="90" min="89" style="1" width="19.6705882352941"/>
    <col collapsed="false" hidden="false" max="92" min="91" style="1" width="21.5333333333333"/>
    <col collapsed="false" hidden="false" max="94" min="93" style="1" width="12.4823529411765"/>
    <col collapsed="false" hidden="false" max="96" min="95" style="1" width="15.078431372549"/>
    <col collapsed="false" hidden="false" max="97" min="97" style="1" width="19.0941176470588"/>
    <col collapsed="false" hidden="false" max="98" min="98" style="1" width="11.3411764705882"/>
    <col collapsed="false" hidden="false" max="99" min="99" style="1" width="11.478431372549"/>
    <col collapsed="false" hidden="false" max="100" min="100" style="1" width="20.6745098039216"/>
    <col collapsed="false" hidden="false" max="101" min="101" style="1" width="19.9529411764706"/>
    <col collapsed="false" hidden="false" max="102" min="102" style="1" width="26.5529411764706"/>
    <col collapsed="false" hidden="false" max="103" min="103" style="1" width="25.2705882352941"/>
    <col collapsed="false" hidden="false" max="104" min="104" style="1" width="21.1019607843137"/>
    <col collapsed="false" hidden="false" max="105" min="105" style="1" width="14.3529411764706"/>
    <col collapsed="false" hidden="false" max="106" min="106" style="1" width="17.6627450980392"/>
    <col collapsed="false" hidden="false" max="107" min="107" style="1" width="13.4941176470588"/>
    <col collapsed="false" hidden="false" max="108" min="108" style="1" width="22.8196078431373"/>
    <col collapsed="false" hidden="false" max="109" min="109" style="1" width="11.3411764705882"/>
    <col collapsed="false" hidden="false" max="110" min="110" style="1" width="14.9333333333333"/>
    <col collapsed="false" hidden="false" max="111" min="111" style="1" width="14.3529411764706"/>
    <col collapsed="false" hidden="false" max="112" min="112" style="1" width="19.6705882352941"/>
    <col collapsed="false" hidden="false" max="113" min="113" style="1" width="18.6666666666667"/>
    <col collapsed="false" hidden="false" max="114" min="114" style="1" width="14.2196078431373"/>
    <col collapsed="false" hidden="false" max="115" min="115" style="1" width="9.90196078431373"/>
    <col collapsed="false" hidden="false" max="116" min="116" style="1" width="14.9333333333333"/>
    <col collapsed="false" hidden="false" max="117" min="117" style="1" width="11.1960784313726"/>
    <col collapsed="false" hidden="false" max="118" min="118" style="1" width="20.0980392156863"/>
    <col collapsed="false" hidden="false" max="119" min="119" style="1" width="25.5490196078431"/>
    <col collapsed="false" hidden="false" max="120" min="120" style="1" width="14.4980392156863"/>
    <col collapsed="false" hidden="false" max="121" min="121" style="1" width="11.6313725490196"/>
    <col collapsed="false" hidden="false" max="122" min="122" style="1" width="18.3764705882353"/>
    <col collapsed="false" hidden="false" max="123" min="123" style="1" width="20.0980392156863"/>
    <col collapsed="false" hidden="false" max="124" min="124" style="1" width="11.7686274509804"/>
    <col collapsed="false" hidden="false" max="125" min="125" style="1" width="10.0470588235294"/>
    <col collapsed="false" hidden="false" max="126" min="126" style="1" width="12.2"/>
    <col collapsed="false" hidden="false" max="127" min="127" style="1" width="19.3803921568627"/>
    <col collapsed="false" hidden="false" max="128" min="128" style="1" width="12.3450980392157"/>
    <col collapsed="false" hidden="false" max="129" min="129" style="1" width="23.9764705882353"/>
    <col collapsed="false" hidden="false" max="130" min="130" style="1" width="27.278431372549"/>
    <col collapsed="false" hidden="false" max="131" min="131" style="1" width="18.5137254901961"/>
    <col collapsed="false" hidden="false" max="132" min="132" style="1" width="24.5450980392157"/>
    <col collapsed="false" hidden="false" max="133" min="133" style="1" width="28.2823529411765"/>
    <col collapsed="false" hidden="false" max="134" min="134" style="1" width="23.8313725490196"/>
    <col collapsed="false" hidden="false" max="135" min="135" style="1" width="23.1176470588235"/>
    <col collapsed="false" hidden="false" max="136" min="136" style="1" width="24.8352941176471"/>
    <col collapsed="false" hidden="false" max="137" min="137" style="1" width="27.9921568627451"/>
    <col collapsed="false" hidden="false" max="138" min="138" style="1" width="11.478431372549"/>
    <col collapsed="false" hidden="false" max="139" min="139" style="1" width="9.18823529411765"/>
    <col collapsed="false" hidden="false" max="140" min="140" style="1" width="9.04313725490196"/>
    <col collapsed="false" hidden="false" max="1025" min="141" style="1" width="9.18823529411765"/>
  </cols>
  <sheetData>
    <row collapsed="false" customFormat="false" customHeight="false" hidden="false" ht="12.8" outlineLevel="0" r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7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6" t="s">
        <v>31</v>
      </c>
      <c r="AG1" s="6" t="s">
        <v>32</v>
      </c>
      <c r="AH1" s="6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6" t="s">
        <v>40</v>
      </c>
      <c r="AP1" s="6" t="s">
        <v>41</v>
      </c>
      <c r="AQ1" s="6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6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8" t="s">
        <v>135</v>
      </c>
      <c r="EG1" s="8" t="s">
        <v>136</v>
      </c>
      <c r="EH1" s="4" t="s">
        <v>137</v>
      </c>
      <c r="EI1" s="4" t="s">
        <v>138</v>
      </c>
      <c r="EJ1" s="9" t="s">
        <v>139</v>
      </c>
      <c r="EK1" s="4" t="s">
        <v>140</v>
      </c>
      <c r="EL1" s="4" t="s">
        <v>141</v>
      </c>
      <c r="EM1" s="4" t="s">
        <v>142</v>
      </c>
    </row>
    <row collapsed="false" customFormat="false" customHeight="false" hidden="false" ht="14.9" outlineLevel="0" r="2">
      <c r="A2" s="1" t="s">
        <v>143</v>
      </c>
      <c r="B2" s="10" t="s">
        <v>144</v>
      </c>
      <c r="C2" s="10" t="s">
        <v>145</v>
      </c>
      <c r="H2" s="10" t="s">
        <v>146</v>
      </c>
      <c r="I2" s="10" t="s">
        <v>147</v>
      </c>
      <c r="J2" s="10" t="s">
        <v>148</v>
      </c>
      <c r="K2" s="11" t="s">
        <v>149</v>
      </c>
      <c r="L2" s="11"/>
      <c r="M2" s="1" t="n">
        <v>1</v>
      </c>
      <c r="N2" s="1" t="s">
        <v>150</v>
      </c>
      <c r="O2" s="12" t="n">
        <v>232000</v>
      </c>
      <c r="P2" s="12" t="n">
        <v>232000</v>
      </c>
      <c r="Q2" s="1" t="n">
        <v>1160</v>
      </c>
      <c r="R2" s="1" t="n">
        <v>4.375</v>
      </c>
      <c r="S2" s="13" t="n">
        <v>40893</v>
      </c>
      <c r="T2" s="13" t="n">
        <v>40893</v>
      </c>
      <c r="U2" s="14" t="n">
        <v>40940</v>
      </c>
      <c r="V2" s="14" t="n">
        <v>44593</v>
      </c>
      <c r="W2" s="3" t="n">
        <v>0</v>
      </c>
      <c r="X2" s="3" t="n">
        <v>176021</v>
      </c>
      <c r="Z2" s="1" t="n">
        <v>1</v>
      </c>
      <c r="AB2" s="1" t="s">
        <v>151</v>
      </c>
      <c r="AD2" s="10" t="s">
        <v>146</v>
      </c>
      <c r="AE2" s="10" t="s">
        <v>147</v>
      </c>
      <c r="AF2" s="10" t="s">
        <v>148</v>
      </c>
      <c r="AG2" s="11"/>
      <c r="AH2" s="11"/>
      <c r="AO2" s="15"/>
      <c r="AP2" s="15"/>
      <c r="AQ2" s="15"/>
      <c r="AT2" s="4" t="s">
        <v>152</v>
      </c>
      <c r="AU2" s="16" t="s">
        <v>153</v>
      </c>
      <c r="AV2" s="1" t="n">
        <v>100</v>
      </c>
      <c r="AW2" s="14" t="n">
        <v>40894</v>
      </c>
      <c r="AX2" s="14" t="n">
        <v>40924</v>
      </c>
      <c r="AZ2" s="1" t="s">
        <v>154</v>
      </c>
      <c r="BA2" s="1" t="n">
        <v>1</v>
      </c>
      <c r="BB2" s="1" t="n">
        <v>35.831</v>
      </c>
      <c r="BC2" s="1" t="n">
        <v>35.831</v>
      </c>
      <c r="BD2" s="1" t="n">
        <v>0</v>
      </c>
      <c r="BE2" s="1" t="n">
        <v>741</v>
      </c>
      <c r="BF2" s="1" t="n">
        <v>120</v>
      </c>
      <c r="BG2" s="1" t="n">
        <v>120</v>
      </c>
      <c r="BH2" s="1" t="s">
        <v>155</v>
      </c>
      <c r="BI2" s="1" t="n">
        <v>1</v>
      </c>
      <c r="BJ2" s="17" t="n">
        <f aca="false">+O2</f>
        <v>232000</v>
      </c>
      <c r="BK2" s="1" t="s">
        <v>156</v>
      </c>
      <c r="BL2" s="1" t="s">
        <v>157</v>
      </c>
      <c r="BM2" s="1" t="n">
        <v>3</v>
      </c>
      <c r="BN2" s="1" t="n">
        <v>20.801104</v>
      </c>
      <c r="BO2" s="1" t="n">
        <v>1</v>
      </c>
      <c r="BP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7" t="n">
        <f aca="false">+O2</f>
        <v>232000</v>
      </c>
      <c r="BZ2" s="1" t="n">
        <v>0</v>
      </c>
      <c r="CA2" s="1" t="n">
        <v>0</v>
      </c>
      <c r="CC2" s="1" t="n">
        <v>0</v>
      </c>
      <c r="CD2" s="1" t="n">
        <v>0</v>
      </c>
      <c r="CE2" s="14" t="n">
        <v>40909</v>
      </c>
      <c r="CF2" s="1" t="n">
        <v>1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s">
        <v>158</v>
      </c>
      <c r="CO2" s="1" t="n">
        <v>43</v>
      </c>
      <c r="CP2" s="1" t="n">
        <v>0</v>
      </c>
      <c r="CQ2" s="1" t="s">
        <v>159</v>
      </c>
      <c r="CS2" s="1" t="n">
        <v>0</v>
      </c>
      <c r="CT2" s="1" t="n">
        <v>0</v>
      </c>
      <c r="CU2" s="1" t="n">
        <v>0</v>
      </c>
      <c r="DA2" s="1" t="s">
        <v>160</v>
      </c>
      <c r="DB2" s="1" t="n">
        <v>1000100100</v>
      </c>
      <c r="DC2" s="1" t="n">
        <v>0</v>
      </c>
      <c r="DE2" s="1" t="n">
        <v>2</v>
      </c>
      <c r="DF2" s="1" t="n">
        <v>15</v>
      </c>
      <c r="DG2" s="1" t="n">
        <v>20808.22</v>
      </c>
      <c r="DH2" s="11" t="s">
        <v>161</v>
      </c>
      <c r="DJ2" s="1" t="n">
        <v>0</v>
      </c>
      <c r="DL2" s="1" t="n">
        <f aca="false">+R2</f>
        <v>4.375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100</v>
      </c>
      <c r="DT2" s="1" t="n">
        <v>4.375</v>
      </c>
      <c r="DU2" s="1" t="n">
        <v>0</v>
      </c>
      <c r="DV2" s="1" t="n">
        <v>0</v>
      </c>
      <c r="DW2" s="1" t="n">
        <v>0</v>
      </c>
      <c r="DX2" s="1" t="s">
        <v>162</v>
      </c>
      <c r="EH2" s="10" t="s">
        <v>163</v>
      </c>
      <c r="EI2" s="1" t="n">
        <v>1234</v>
      </c>
      <c r="EJ2" s="10" t="s">
        <v>164</v>
      </c>
      <c r="EK2" s="10" t="s">
        <v>146</v>
      </c>
      <c r="EL2" s="10" t="s">
        <v>147</v>
      </c>
      <c r="EM2" s="10" t="s">
        <v>148</v>
      </c>
    </row>
    <row collapsed="false" customFormat="false" customHeight="false" hidden="false" ht="14.9" outlineLevel="0" r="3">
      <c r="A3" s="1" t="s">
        <v>143</v>
      </c>
      <c r="B3" s="10" t="s">
        <v>165</v>
      </c>
      <c r="C3" s="10" t="s">
        <v>166</v>
      </c>
      <c r="H3" s="10" t="s">
        <v>167</v>
      </c>
      <c r="I3" s="10" t="s">
        <v>168</v>
      </c>
      <c r="J3" s="10" t="s">
        <v>169</v>
      </c>
      <c r="K3" s="11" t="s">
        <v>170</v>
      </c>
      <c r="L3" s="11" t="s">
        <v>171</v>
      </c>
      <c r="M3" s="1" t="n">
        <v>1</v>
      </c>
      <c r="N3" s="1" t="s">
        <v>172</v>
      </c>
      <c r="O3" s="12" t="n">
        <v>393750</v>
      </c>
      <c r="P3" s="12" t="n">
        <v>393750</v>
      </c>
      <c r="Q3" s="1" t="n">
        <v>1968.75</v>
      </c>
      <c r="R3" s="1" t="n">
        <v>4.25</v>
      </c>
      <c r="S3" s="13" t="n">
        <v>40893</v>
      </c>
      <c r="T3" s="13" t="n">
        <v>40893</v>
      </c>
      <c r="U3" s="14" t="n">
        <v>40940</v>
      </c>
      <c r="V3" s="14" t="n">
        <v>46419</v>
      </c>
      <c r="W3" s="3" t="n">
        <v>1</v>
      </c>
      <c r="X3" s="3" t="n">
        <v>260296</v>
      </c>
      <c r="Z3" s="1" t="n">
        <v>1</v>
      </c>
      <c r="AB3" s="1" t="s">
        <v>151</v>
      </c>
      <c r="AD3" s="10" t="s">
        <v>167</v>
      </c>
      <c r="AE3" s="10" t="s">
        <v>168</v>
      </c>
      <c r="AF3" s="10" t="s">
        <v>169</v>
      </c>
      <c r="AG3" s="11"/>
      <c r="AH3" s="11"/>
      <c r="AO3" s="15"/>
      <c r="AP3" s="15"/>
      <c r="AQ3" s="15"/>
      <c r="AT3" s="4" t="s">
        <v>152</v>
      </c>
      <c r="AU3" s="16" t="s">
        <v>153</v>
      </c>
      <c r="AV3" s="1" t="n">
        <v>100</v>
      </c>
      <c r="AW3" s="14" t="n">
        <v>40894</v>
      </c>
      <c r="AX3" s="14" t="n">
        <v>40924</v>
      </c>
      <c r="AZ3" s="1" t="s">
        <v>154</v>
      </c>
      <c r="BA3" s="1" t="n">
        <v>1</v>
      </c>
      <c r="BB3" s="1" t="n">
        <v>45.833</v>
      </c>
      <c r="BC3" s="1" t="n">
        <v>45.833</v>
      </c>
      <c r="BD3" s="1" t="n">
        <v>0</v>
      </c>
      <c r="BE3" s="1" t="n">
        <v>758</v>
      </c>
      <c r="BF3" s="4" t="n">
        <f aca="false">15*12</f>
        <v>180</v>
      </c>
      <c r="BG3" s="1" t="n">
        <v>180</v>
      </c>
      <c r="BH3" s="1" t="s">
        <v>173</v>
      </c>
      <c r="BI3" s="1" t="n">
        <v>1</v>
      </c>
      <c r="BJ3" s="17" t="n">
        <f aca="false">+O3</f>
        <v>393750</v>
      </c>
      <c r="BK3" s="1" t="s">
        <v>156</v>
      </c>
      <c r="BL3" s="1" t="s">
        <v>174</v>
      </c>
      <c r="BM3" s="1" t="n">
        <v>1</v>
      </c>
      <c r="BN3" s="1" t="n">
        <v>25.643788</v>
      </c>
      <c r="BO3" s="1" t="n">
        <v>0</v>
      </c>
      <c r="BP3" s="1" t="n">
        <v>2</v>
      </c>
      <c r="BQ3" s="1" t="s">
        <v>175</v>
      </c>
      <c r="BR3" s="1" t="n">
        <v>0</v>
      </c>
      <c r="BS3" s="14" t="n">
        <v>42217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7" t="n">
        <f aca="false">+O3</f>
        <v>393750</v>
      </c>
      <c r="BZ3" s="1" t="n">
        <v>0</v>
      </c>
      <c r="CA3" s="1" t="n">
        <v>0</v>
      </c>
      <c r="CC3" s="1" t="n">
        <v>0</v>
      </c>
      <c r="CD3" s="1" t="n">
        <v>0</v>
      </c>
      <c r="CE3" s="14" t="n">
        <v>40909</v>
      </c>
      <c r="CF3" s="1" t="n">
        <v>1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s">
        <v>176</v>
      </c>
      <c r="CN3" s="1" t="s">
        <v>176</v>
      </c>
      <c r="CO3" s="1" t="n">
        <v>66</v>
      </c>
      <c r="CP3" s="1" t="n">
        <v>60</v>
      </c>
      <c r="CQ3" s="1" t="s">
        <v>159</v>
      </c>
      <c r="CR3" s="1" t="s">
        <v>177</v>
      </c>
      <c r="CS3" s="1" t="n">
        <v>0</v>
      </c>
      <c r="CT3" s="1" t="n">
        <v>0</v>
      </c>
      <c r="CU3" s="1" t="n">
        <v>0</v>
      </c>
      <c r="DA3" s="1" t="s">
        <v>160</v>
      </c>
      <c r="DB3" s="1" t="n">
        <v>1000100100</v>
      </c>
      <c r="DC3" s="1" t="n">
        <v>0</v>
      </c>
      <c r="DD3" s="1" t="n">
        <v>30</v>
      </c>
      <c r="DE3" s="1" t="n">
        <v>6</v>
      </c>
      <c r="DF3" s="1" t="n">
        <v>2</v>
      </c>
      <c r="DG3" s="1" t="n">
        <v>2641.44</v>
      </c>
      <c r="DH3" s="11" t="s">
        <v>161</v>
      </c>
      <c r="DJ3" s="1" t="n">
        <v>0</v>
      </c>
      <c r="DL3" s="1" t="n">
        <f aca="false">+R3</f>
        <v>4.25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100</v>
      </c>
      <c r="DT3" s="1" t="n">
        <v>4.25</v>
      </c>
      <c r="DU3" s="1" t="n">
        <v>0</v>
      </c>
      <c r="DV3" s="1" t="n">
        <v>0</v>
      </c>
      <c r="DW3" s="1" t="n">
        <v>0</v>
      </c>
      <c r="DX3" s="1" t="s">
        <v>162</v>
      </c>
      <c r="EH3" s="10" t="s">
        <v>178</v>
      </c>
      <c r="EI3" s="15" t="n">
        <v>2136</v>
      </c>
      <c r="EJ3" s="10" t="s">
        <v>179</v>
      </c>
      <c r="EK3" s="10" t="s">
        <v>167</v>
      </c>
      <c r="EL3" s="10" t="s">
        <v>168</v>
      </c>
      <c r="EM3" s="10" t="s">
        <v>169</v>
      </c>
    </row>
    <row collapsed="false" customFormat="false" customHeight="false" hidden="false" ht="14" outlineLevel="0" r="4">
      <c r="A4" s="1" t="s">
        <v>143</v>
      </c>
      <c r="B4" s="10" t="s">
        <v>180</v>
      </c>
      <c r="C4" s="10" t="s">
        <v>181</v>
      </c>
      <c r="H4" s="10" t="s">
        <v>182</v>
      </c>
      <c r="I4" s="10" t="s">
        <v>168</v>
      </c>
      <c r="J4" s="10" t="s">
        <v>183</v>
      </c>
      <c r="K4" s="11" t="s">
        <v>184</v>
      </c>
      <c r="L4" s="11"/>
      <c r="M4" s="1" t="n">
        <v>1</v>
      </c>
      <c r="N4" s="1" t="s">
        <v>185</v>
      </c>
      <c r="O4" s="12" t="n">
        <v>228000</v>
      </c>
      <c r="P4" s="12" t="n">
        <v>228000</v>
      </c>
      <c r="Q4" s="1" t="n">
        <v>1140</v>
      </c>
      <c r="R4" s="1" t="n">
        <v>4.99</v>
      </c>
      <c r="S4" s="13" t="n">
        <v>40893</v>
      </c>
      <c r="T4" s="13" t="n">
        <v>40893</v>
      </c>
      <c r="U4" s="14" t="n">
        <v>40940</v>
      </c>
      <c r="V4" s="14" t="n">
        <v>48245</v>
      </c>
      <c r="W4" s="3" t="n">
        <v>0</v>
      </c>
      <c r="X4" s="3" t="n">
        <v>175541</v>
      </c>
      <c r="Z4" s="1" t="n">
        <v>1</v>
      </c>
      <c r="AB4" s="1" t="s">
        <v>151</v>
      </c>
      <c r="AD4" s="10" t="s">
        <v>182</v>
      </c>
      <c r="AE4" s="10" t="s">
        <v>168</v>
      </c>
      <c r="AF4" s="10" t="s">
        <v>183</v>
      </c>
      <c r="AG4" s="11"/>
      <c r="AH4" s="11"/>
      <c r="AO4" s="15"/>
      <c r="AP4" s="15"/>
      <c r="AQ4" s="15"/>
      <c r="AT4" s="4" t="s">
        <v>152</v>
      </c>
      <c r="AU4" s="16" t="s">
        <v>153</v>
      </c>
      <c r="AV4" s="1" t="n">
        <v>100</v>
      </c>
      <c r="AW4" s="14" t="n">
        <v>40894</v>
      </c>
      <c r="AX4" s="14" t="n">
        <v>40924</v>
      </c>
      <c r="AZ4" s="1" t="s">
        <v>154</v>
      </c>
      <c r="BA4" s="1" t="n">
        <v>1</v>
      </c>
      <c r="BB4" s="1" t="n">
        <v>89.209</v>
      </c>
      <c r="BC4" s="1" t="n">
        <v>89.209</v>
      </c>
      <c r="BD4" s="1" t="n">
        <v>0</v>
      </c>
      <c r="BE4" s="1" t="n">
        <v>719</v>
      </c>
      <c r="BF4" s="1" t="n">
        <v>240</v>
      </c>
      <c r="BG4" s="1" t="n">
        <v>240</v>
      </c>
      <c r="BH4" s="1" t="s">
        <v>173</v>
      </c>
      <c r="BI4" s="1" t="n">
        <v>1</v>
      </c>
      <c r="BJ4" s="17" t="n">
        <f aca="false">+O4</f>
        <v>228000</v>
      </c>
      <c r="BK4" s="1" t="s">
        <v>156</v>
      </c>
      <c r="BL4" s="1" t="s">
        <v>157</v>
      </c>
      <c r="BM4" s="1" t="n">
        <v>3</v>
      </c>
      <c r="BN4" s="1" t="n">
        <v>33.156344</v>
      </c>
      <c r="BO4" s="1" t="n">
        <v>1</v>
      </c>
      <c r="BP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7" t="n">
        <f aca="false">+O4</f>
        <v>228000</v>
      </c>
      <c r="BZ4" s="1" t="n">
        <v>0</v>
      </c>
      <c r="CA4" s="1" t="n">
        <v>0</v>
      </c>
      <c r="CC4" s="1" t="n">
        <v>0</v>
      </c>
      <c r="CD4" s="1" t="n">
        <v>0</v>
      </c>
      <c r="CE4" s="14" t="n">
        <v>40909</v>
      </c>
      <c r="CF4" s="1" t="n">
        <v>1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1</v>
      </c>
      <c r="CL4" s="1" t="n">
        <v>0</v>
      </c>
      <c r="CM4" s="1" t="s">
        <v>176</v>
      </c>
      <c r="CO4" s="1" t="n">
        <v>49</v>
      </c>
      <c r="CP4" s="1" t="n">
        <v>0</v>
      </c>
      <c r="CQ4" s="1" t="s">
        <v>159</v>
      </c>
      <c r="CS4" s="1" t="n">
        <v>0</v>
      </c>
      <c r="CT4" s="1" t="n">
        <v>0</v>
      </c>
      <c r="CU4" s="1" t="n">
        <v>0</v>
      </c>
      <c r="DA4" s="1" t="s">
        <v>186</v>
      </c>
      <c r="DB4" s="1" t="n">
        <v>1000100100</v>
      </c>
      <c r="DC4" s="1" t="n">
        <v>0</v>
      </c>
      <c r="DE4" s="1" t="n">
        <v>7</v>
      </c>
      <c r="DF4" s="1" t="n">
        <v>15</v>
      </c>
      <c r="DG4" s="1" t="n">
        <v>35251.64</v>
      </c>
      <c r="DH4" s="11" t="s">
        <v>161</v>
      </c>
      <c r="DJ4" s="1" t="n">
        <v>0</v>
      </c>
      <c r="DL4" s="1" t="n">
        <f aca="false">+R4</f>
        <v>4.99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100</v>
      </c>
      <c r="DT4" s="1" t="n">
        <v>4.99</v>
      </c>
      <c r="DU4" s="1" t="n">
        <v>0</v>
      </c>
      <c r="DV4" s="1" t="n">
        <v>0</v>
      </c>
      <c r="DW4" s="1" t="n">
        <v>0</v>
      </c>
      <c r="DX4" s="1" t="s">
        <v>162</v>
      </c>
      <c r="EH4" s="10" t="s">
        <v>163</v>
      </c>
      <c r="EI4" s="1" t="n">
        <v>1234</v>
      </c>
      <c r="EJ4" s="10" t="s">
        <v>187</v>
      </c>
      <c r="EK4" s="10" t="s">
        <v>182</v>
      </c>
      <c r="EL4" s="10" t="s">
        <v>168</v>
      </c>
      <c r="EM4" s="10" t="s">
        <v>183</v>
      </c>
    </row>
    <row collapsed="false" customFormat="false" customHeight="false" hidden="false" ht="14.9" outlineLevel="0" r="5">
      <c r="A5" s="1" t="s">
        <v>143</v>
      </c>
      <c r="B5" s="10" t="s">
        <v>188</v>
      </c>
      <c r="C5" s="10" t="s">
        <v>189</v>
      </c>
      <c r="H5" s="10" t="s">
        <v>190</v>
      </c>
      <c r="I5" s="10" t="s">
        <v>168</v>
      </c>
      <c r="J5" s="10" t="s">
        <v>191</v>
      </c>
      <c r="K5" s="11" t="s">
        <v>192</v>
      </c>
      <c r="L5" s="11" t="s">
        <v>193</v>
      </c>
      <c r="M5" s="1" t="n">
        <v>1</v>
      </c>
      <c r="N5" s="1" t="s">
        <v>194</v>
      </c>
      <c r="O5" s="12" t="n">
        <v>225500</v>
      </c>
      <c r="P5" s="12" t="n">
        <v>225500</v>
      </c>
      <c r="Q5" s="1" t="n">
        <v>1127.5</v>
      </c>
      <c r="R5" s="1" t="n">
        <v>4.99</v>
      </c>
      <c r="S5" s="13" t="n">
        <v>40893</v>
      </c>
      <c r="T5" s="13" t="n">
        <v>40893</v>
      </c>
      <c r="U5" s="14" t="n">
        <v>40940</v>
      </c>
      <c r="V5" s="14" t="n">
        <v>50072</v>
      </c>
      <c r="W5" s="3" t="n">
        <v>0</v>
      </c>
      <c r="X5" s="3" t="n">
        <v>194718</v>
      </c>
      <c r="Z5" s="1" t="n">
        <v>1</v>
      </c>
      <c r="AB5" s="1" t="s">
        <v>151</v>
      </c>
      <c r="AD5" s="10" t="s">
        <v>190</v>
      </c>
      <c r="AE5" s="10" t="s">
        <v>168</v>
      </c>
      <c r="AF5" s="10" t="s">
        <v>191</v>
      </c>
      <c r="AG5" s="11"/>
      <c r="AH5" s="11"/>
      <c r="AO5" s="15"/>
      <c r="AP5" s="15"/>
      <c r="AQ5" s="15"/>
      <c r="AT5" s="1" t="s">
        <v>195</v>
      </c>
      <c r="AU5" s="16" t="n">
        <v>12333333</v>
      </c>
      <c r="AV5" s="1" t="n">
        <v>100</v>
      </c>
      <c r="AW5" s="14" t="n">
        <v>40894</v>
      </c>
      <c r="AX5" s="14" t="n">
        <v>40924</v>
      </c>
      <c r="AZ5" s="15" t="s">
        <v>154</v>
      </c>
      <c r="BA5" s="1" t="n">
        <v>1</v>
      </c>
      <c r="BB5" s="1" t="n">
        <v>81.698</v>
      </c>
      <c r="BC5" s="1" t="n">
        <v>81.698</v>
      </c>
      <c r="BD5" s="1" t="n">
        <v>0</v>
      </c>
      <c r="BE5" s="1" t="n">
        <v>809</v>
      </c>
      <c r="BF5" s="1" t="n">
        <v>300</v>
      </c>
      <c r="BG5" s="1" t="n">
        <v>300</v>
      </c>
      <c r="BH5" s="1" t="s">
        <v>173</v>
      </c>
      <c r="BI5" s="1" t="n">
        <v>1</v>
      </c>
      <c r="BJ5" s="17" t="n">
        <f aca="false">+O5</f>
        <v>225500</v>
      </c>
      <c r="BK5" s="1" t="s">
        <v>156</v>
      </c>
      <c r="BL5" s="1" t="s">
        <v>157</v>
      </c>
      <c r="BM5" s="1" t="n">
        <v>1</v>
      </c>
      <c r="BN5" s="1" t="n">
        <v>29.360949</v>
      </c>
      <c r="BO5" s="1" t="n">
        <v>1</v>
      </c>
      <c r="BP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7" t="n">
        <f aca="false">+O5</f>
        <v>225500</v>
      </c>
      <c r="BZ5" s="1" t="n">
        <v>0</v>
      </c>
      <c r="CA5" s="1" t="n">
        <v>0</v>
      </c>
      <c r="CC5" s="1" t="n">
        <v>0</v>
      </c>
      <c r="CD5" s="1" t="n">
        <v>0</v>
      </c>
      <c r="CE5" s="14" t="n">
        <v>40909</v>
      </c>
      <c r="CF5" s="1" t="n">
        <v>1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1</v>
      </c>
      <c r="CM5" s="1" t="s">
        <v>176</v>
      </c>
      <c r="CN5" s="1" t="s">
        <v>176</v>
      </c>
      <c r="CO5" s="1" t="n">
        <v>45</v>
      </c>
      <c r="CP5" s="1" t="n">
        <v>44</v>
      </c>
      <c r="CQ5" s="1" t="s">
        <v>159</v>
      </c>
      <c r="CR5" s="1" t="s">
        <v>177</v>
      </c>
      <c r="CS5" s="1" t="n">
        <v>0</v>
      </c>
      <c r="CT5" s="1" t="n">
        <v>0</v>
      </c>
      <c r="CU5" s="1" t="n">
        <v>0</v>
      </c>
      <c r="DA5" s="1" t="s">
        <v>160</v>
      </c>
      <c r="DB5" s="1" t="n">
        <v>1000100100</v>
      </c>
      <c r="DC5" s="1" t="n">
        <v>0</v>
      </c>
      <c r="DE5" s="1" t="n">
        <v>4</v>
      </c>
      <c r="DF5" s="1" t="n">
        <v>0</v>
      </c>
      <c r="DG5" s="1" t="n">
        <v>196.04</v>
      </c>
      <c r="DH5" s="11" t="s">
        <v>161</v>
      </c>
      <c r="DJ5" s="1" t="n">
        <v>0</v>
      </c>
      <c r="DL5" s="1" t="n">
        <f aca="false">+R5</f>
        <v>4.99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100</v>
      </c>
      <c r="DT5" s="1" t="n">
        <v>4.99</v>
      </c>
      <c r="DU5" s="1" t="n">
        <v>0</v>
      </c>
      <c r="DV5" s="1" t="n">
        <v>0</v>
      </c>
      <c r="DW5" s="1" t="n">
        <v>0</v>
      </c>
      <c r="DX5" s="1" t="s">
        <v>162</v>
      </c>
      <c r="EH5" s="10" t="s">
        <v>178</v>
      </c>
      <c r="EI5" s="15" t="n">
        <v>2136</v>
      </c>
      <c r="EJ5" s="10" t="s">
        <v>196</v>
      </c>
      <c r="EK5" s="10" t="s">
        <v>190</v>
      </c>
      <c r="EL5" s="10" t="s">
        <v>168</v>
      </c>
      <c r="EM5" s="10" t="s">
        <v>191</v>
      </c>
    </row>
    <row collapsed="false" customFormat="false" customHeight="false" hidden="false" ht="14.9" outlineLevel="0" r="6">
      <c r="A6" s="1" t="s">
        <v>143</v>
      </c>
      <c r="B6" s="10" t="s">
        <v>197</v>
      </c>
      <c r="C6" s="10" t="s">
        <v>198</v>
      </c>
      <c r="H6" s="10" t="s">
        <v>199</v>
      </c>
      <c r="I6" s="10" t="s">
        <v>200</v>
      </c>
      <c r="J6" s="10" t="s">
        <v>201</v>
      </c>
      <c r="K6" s="11" t="s">
        <v>202</v>
      </c>
      <c r="L6" s="11" t="s">
        <v>203</v>
      </c>
      <c r="M6" s="1" t="n">
        <v>1</v>
      </c>
      <c r="N6" s="1" t="s">
        <v>204</v>
      </c>
      <c r="O6" s="12" t="n">
        <v>220133</v>
      </c>
      <c r="P6" s="12" t="n">
        <v>220133</v>
      </c>
      <c r="Q6" s="1" t="n">
        <v>1100.665</v>
      </c>
      <c r="R6" s="1" t="n">
        <v>5.875</v>
      </c>
      <c r="S6" s="13" t="n">
        <v>40893</v>
      </c>
      <c r="T6" s="13" t="n">
        <v>40893</v>
      </c>
      <c r="U6" s="14" t="n">
        <v>40940</v>
      </c>
      <c r="V6" s="14" t="n">
        <v>51898</v>
      </c>
      <c r="W6" s="3" t="n">
        <v>0</v>
      </c>
      <c r="X6" s="3" t="n">
        <v>30717</v>
      </c>
      <c r="Z6" s="1" t="n">
        <v>1</v>
      </c>
      <c r="AB6" s="1" t="s">
        <v>151</v>
      </c>
      <c r="AD6" s="10" t="s">
        <v>199</v>
      </c>
      <c r="AE6" s="10" t="s">
        <v>200</v>
      </c>
      <c r="AF6" s="10" t="s">
        <v>201</v>
      </c>
      <c r="AG6" s="11"/>
      <c r="AH6" s="11"/>
      <c r="AO6" s="15"/>
      <c r="AP6" s="15"/>
      <c r="AQ6" s="15"/>
      <c r="AT6" s="1" t="s">
        <v>195</v>
      </c>
      <c r="AU6" s="16" t="n">
        <v>12333333</v>
      </c>
      <c r="AV6" s="1" t="n">
        <v>100</v>
      </c>
      <c r="AW6" s="14" t="n">
        <v>40894</v>
      </c>
      <c r="AX6" s="14" t="n">
        <v>40924</v>
      </c>
      <c r="AZ6" s="1" t="s">
        <v>154</v>
      </c>
      <c r="BA6" s="1" t="n">
        <v>1</v>
      </c>
      <c r="BB6" s="1" t="n">
        <v>19.776</v>
      </c>
      <c r="BC6" s="1" t="n">
        <v>19.776</v>
      </c>
      <c r="BD6" s="1" t="n">
        <v>0</v>
      </c>
      <c r="BE6" s="1" t="n">
        <v>713</v>
      </c>
      <c r="BF6" s="1" t="n">
        <v>360</v>
      </c>
      <c r="BG6" s="1" t="n">
        <v>360</v>
      </c>
      <c r="BH6" s="1" t="s">
        <v>155</v>
      </c>
      <c r="BI6" s="1" t="n">
        <v>1</v>
      </c>
      <c r="BJ6" s="17" t="n">
        <f aca="false">+O6</f>
        <v>220133</v>
      </c>
      <c r="BK6" s="1" t="s">
        <v>156</v>
      </c>
      <c r="BL6" s="1" t="s">
        <v>174</v>
      </c>
      <c r="BM6" s="1" t="n">
        <v>3</v>
      </c>
      <c r="BN6" s="1" t="n">
        <v>48.18622</v>
      </c>
      <c r="BO6" s="1" t="n">
        <v>1</v>
      </c>
      <c r="BP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7" t="n">
        <f aca="false">+O6</f>
        <v>220133</v>
      </c>
      <c r="BZ6" s="1" t="n">
        <v>0</v>
      </c>
      <c r="CA6" s="1" t="n">
        <v>0</v>
      </c>
      <c r="CC6" s="1" t="n">
        <v>0</v>
      </c>
      <c r="CD6" s="1" t="n">
        <v>0</v>
      </c>
      <c r="CE6" s="14" t="n">
        <v>40909</v>
      </c>
      <c r="CF6" s="1" t="n">
        <v>1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s">
        <v>176</v>
      </c>
      <c r="CN6" s="1" t="s">
        <v>176</v>
      </c>
      <c r="CO6" s="1" t="n">
        <v>46</v>
      </c>
      <c r="CP6" s="1" t="n">
        <v>43</v>
      </c>
      <c r="CQ6" s="1" t="s">
        <v>159</v>
      </c>
      <c r="CR6" s="1" t="s">
        <v>177</v>
      </c>
      <c r="CS6" s="1" t="n">
        <v>0</v>
      </c>
      <c r="CT6" s="1" t="n">
        <v>0</v>
      </c>
      <c r="CU6" s="1" t="n">
        <v>0</v>
      </c>
      <c r="DA6" s="1" t="s">
        <v>160</v>
      </c>
      <c r="DB6" s="1" t="n">
        <v>1000100100</v>
      </c>
      <c r="DC6" s="1" t="n">
        <v>0</v>
      </c>
      <c r="DE6" s="1" t="n">
        <v>4</v>
      </c>
      <c r="DF6" s="1" t="n">
        <v>87</v>
      </c>
      <c r="DG6" s="1" t="n">
        <v>148993.24</v>
      </c>
      <c r="DH6" s="11" t="s">
        <v>161</v>
      </c>
      <c r="DJ6" s="1" t="n">
        <v>0</v>
      </c>
      <c r="DL6" s="1" t="n">
        <f aca="false">+R6</f>
        <v>5.875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100</v>
      </c>
      <c r="DT6" s="1" t="n">
        <v>5.875</v>
      </c>
      <c r="DU6" s="1" t="n">
        <v>0</v>
      </c>
      <c r="DV6" s="1" t="n">
        <v>0</v>
      </c>
      <c r="DW6" s="1" t="n">
        <v>0</v>
      </c>
      <c r="DX6" s="1" t="s">
        <v>162</v>
      </c>
      <c r="EH6" s="10" t="s">
        <v>205</v>
      </c>
      <c r="EI6" s="15" t="n">
        <v>4123</v>
      </c>
      <c r="EJ6" s="10" t="s">
        <v>206</v>
      </c>
      <c r="EK6" s="10" t="s">
        <v>199</v>
      </c>
      <c r="EL6" s="10" t="s">
        <v>200</v>
      </c>
      <c r="EM6" s="10" t="s">
        <v>201</v>
      </c>
    </row>
    <row collapsed="false" customFormat="false" customHeight="false" hidden="false" ht="14.9" outlineLevel="0" r="7">
      <c r="A7" s="1" t="s">
        <v>143</v>
      </c>
      <c r="B7" s="10" t="s">
        <v>207</v>
      </c>
      <c r="C7" s="10" t="s">
        <v>208</v>
      </c>
      <c r="H7" s="10" t="s">
        <v>199</v>
      </c>
      <c r="I7" s="10" t="s">
        <v>200</v>
      </c>
      <c r="J7" s="10" t="s">
        <v>209</v>
      </c>
      <c r="K7" s="11" t="s">
        <v>171</v>
      </c>
      <c r="L7" s="11" t="s">
        <v>210</v>
      </c>
      <c r="M7" s="1" t="n">
        <v>1</v>
      </c>
      <c r="N7" s="1" t="s">
        <v>211</v>
      </c>
      <c r="O7" s="12" t="n">
        <v>200000</v>
      </c>
      <c r="P7" s="12" t="n">
        <v>200000</v>
      </c>
      <c r="Q7" s="1" t="n">
        <v>1000</v>
      </c>
      <c r="R7" s="1" t="n">
        <v>3.5</v>
      </c>
      <c r="S7" s="13" t="n">
        <v>40893</v>
      </c>
      <c r="T7" s="13" t="n">
        <v>40893</v>
      </c>
      <c r="U7" s="14" t="n">
        <v>40940</v>
      </c>
      <c r="V7" s="14" t="n">
        <v>51898</v>
      </c>
      <c r="W7" s="3" t="n">
        <v>1</v>
      </c>
      <c r="X7" s="3" t="n">
        <v>99</v>
      </c>
      <c r="Z7" s="1" t="n">
        <v>1</v>
      </c>
      <c r="AB7" s="1" t="s">
        <v>151</v>
      </c>
      <c r="AD7" s="10" t="s">
        <v>199</v>
      </c>
      <c r="AE7" s="10" t="s">
        <v>200</v>
      </c>
      <c r="AF7" s="10" t="s">
        <v>209</v>
      </c>
      <c r="AG7" s="11"/>
      <c r="AH7" s="11"/>
      <c r="AO7" s="15"/>
      <c r="AP7" s="15"/>
      <c r="AQ7" s="15"/>
      <c r="AT7" s="4" t="s">
        <v>152</v>
      </c>
      <c r="AU7" s="16" t="s">
        <v>153</v>
      </c>
      <c r="AV7" s="1" t="n">
        <v>100</v>
      </c>
      <c r="AW7" s="14" t="n">
        <v>40894</v>
      </c>
      <c r="AX7" s="14" t="n">
        <v>40924</v>
      </c>
      <c r="AZ7" s="1" t="s">
        <v>154</v>
      </c>
      <c r="BA7" s="1" t="n">
        <v>2</v>
      </c>
      <c r="BB7" s="1" t="n">
        <v>47.042</v>
      </c>
      <c r="BC7" s="1" t="n">
        <v>47.042</v>
      </c>
      <c r="BD7" s="1" t="n">
        <v>0</v>
      </c>
      <c r="BE7" s="1" t="n">
        <v>745</v>
      </c>
      <c r="BF7" s="1" t="n">
        <v>360</v>
      </c>
      <c r="BG7" s="1" t="n">
        <v>360</v>
      </c>
      <c r="BH7" s="1" t="s">
        <v>173</v>
      </c>
      <c r="BI7" s="1" t="n">
        <v>1</v>
      </c>
      <c r="BJ7" s="17" t="n">
        <f aca="false">+O7</f>
        <v>200000</v>
      </c>
      <c r="BK7" s="1" t="s">
        <v>156</v>
      </c>
      <c r="BL7" s="1" t="s">
        <v>212</v>
      </c>
      <c r="BM7" s="1" t="n">
        <v>1</v>
      </c>
      <c r="BN7" s="1" t="n">
        <v>47.847961</v>
      </c>
      <c r="BO7" s="1" t="n">
        <v>0</v>
      </c>
      <c r="BP7" s="1" t="n">
        <v>2.25</v>
      </c>
      <c r="BQ7" s="1" t="s">
        <v>213</v>
      </c>
      <c r="BR7" s="1" t="n">
        <v>3.5</v>
      </c>
      <c r="BS7" s="14" t="n">
        <v>42217</v>
      </c>
      <c r="BT7" s="1" t="n">
        <v>2</v>
      </c>
      <c r="BU7" s="1" t="n">
        <v>12</v>
      </c>
      <c r="BV7" s="1" t="n">
        <v>2</v>
      </c>
      <c r="BW7" s="1" t="n">
        <v>5</v>
      </c>
      <c r="BX7" s="1" t="n">
        <v>2.25</v>
      </c>
      <c r="BY7" s="17" t="n">
        <f aca="false">+O7</f>
        <v>200000</v>
      </c>
      <c r="BZ7" s="1" t="n">
        <v>0</v>
      </c>
      <c r="CA7" s="1" t="n">
        <v>0</v>
      </c>
      <c r="CC7" s="1" t="n">
        <v>0</v>
      </c>
      <c r="CD7" s="1" t="n">
        <v>0</v>
      </c>
      <c r="CE7" s="14" t="n">
        <v>40909</v>
      </c>
      <c r="CF7" s="1" t="n">
        <v>1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s">
        <v>176</v>
      </c>
      <c r="CN7" s="1" t="s">
        <v>176</v>
      </c>
      <c r="CO7" s="1" t="n">
        <v>64</v>
      </c>
      <c r="CP7" s="1" t="n">
        <v>58</v>
      </c>
      <c r="CQ7" s="1" t="s">
        <v>159</v>
      </c>
      <c r="CR7" s="1" t="s">
        <v>177</v>
      </c>
      <c r="CS7" s="1" t="n">
        <v>0</v>
      </c>
      <c r="CT7" s="1" t="n">
        <v>0</v>
      </c>
      <c r="CU7" s="1" t="n">
        <v>0</v>
      </c>
      <c r="DA7" s="1" t="s">
        <v>160</v>
      </c>
      <c r="DB7" s="1" t="n">
        <v>1000100100</v>
      </c>
      <c r="DC7" s="1" t="n">
        <v>0</v>
      </c>
      <c r="DD7" s="1" t="n">
        <v>30</v>
      </c>
      <c r="DE7" s="1" t="n">
        <v>8</v>
      </c>
      <c r="DF7" s="1" t="n">
        <v>0</v>
      </c>
      <c r="DG7" s="1" t="n">
        <v>209.47</v>
      </c>
      <c r="DH7" s="11" t="s">
        <v>161</v>
      </c>
      <c r="DJ7" s="1" t="n">
        <v>0</v>
      </c>
      <c r="DL7" s="1" t="n">
        <f aca="false">+R7</f>
        <v>3.5</v>
      </c>
      <c r="DM7" s="1" t="n">
        <v>2</v>
      </c>
      <c r="DN7" s="1" t="n">
        <v>0</v>
      </c>
      <c r="DO7" s="1" t="n">
        <v>0</v>
      </c>
      <c r="DP7" s="1" t="n">
        <v>60</v>
      </c>
      <c r="DQ7" s="1" t="n">
        <v>0</v>
      </c>
      <c r="DR7" s="1" t="n">
        <v>100</v>
      </c>
      <c r="DT7" s="1" t="n">
        <v>8.5</v>
      </c>
      <c r="DU7" s="1" t="n">
        <v>0</v>
      </c>
      <c r="DV7" s="1" t="n">
        <v>0</v>
      </c>
      <c r="DW7" s="1" t="n">
        <v>0</v>
      </c>
      <c r="DX7" s="1" t="s">
        <v>162</v>
      </c>
      <c r="DZ7" s="14"/>
      <c r="EH7" s="10" t="s">
        <v>214</v>
      </c>
      <c r="EI7" s="1" t="n">
        <v>9112</v>
      </c>
      <c r="EJ7" s="10" t="s">
        <v>215</v>
      </c>
      <c r="EK7" s="10" t="s">
        <v>199</v>
      </c>
      <c r="EL7" s="10" t="s">
        <v>200</v>
      </c>
      <c r="EM7" s="10" t="s">
        <v>209</v>
      </c>
    </row>
    <row collapsed="false" customFormat="false" customHeight="false" hidden="false" ht="14" outlineLevel="0" r="8">
      <c r="A8" s="1" t="s">
        <v>143</v>
      </c>
      <c r="B8" s="10" t="s">
        <v>216</v>
      </c>
      <c r="C8" s="10" t="s">
        <v>217</v>
      </c>
      <c r="H8" s="10" t="s">
        <v>218</v>
      </c>
      <c r="I8" s="10" t="s">
        <v>168</v>
      </c>
      <c r="J8" s="10" t="s">
        <v>219</v>
      </c>
      <c r="K8" s="11" t="s">
        <v>220</v>
      </c>
      <c r="L8" s="11" t="s">
        <v>221</v>
      </c>
      <c r="M8" s="1" t="n">
        <v>1</v>
      </c>
      <c r="N8" s="1" t="s">
        <v>222</v>
      </c>
      <c r="O8" s="12" t="n">
        <v>315500</v>
      </c>
      <c r="P8" s="12" t="n">
        <v>315500</v>
      </c>
      <c r="Q8" s="1" t="n">
        <v>1577.5</v>
      </c>
      <c r="R8" s="1" t="n">
        <v>4</v>
      </c>
      <c r="S8" s="13" t="n">
        <v>40896</v>
      </c>
      <c r="T8" s="13" t="n">
        <v>40896</v>
      </c>
      <c r="U8" s="14" t="n">
        <v>40940</v>
      </c>
      <c r="V8" s="14" t="n">
        <v>51898</v>
      </c>
      <c r="W8" s="3" t="n">
        <v>1</v>
      </c>
      <c r="X8" s="3" t="n">
        <v>195149</v>
      </c>
      <c r="Z8" s="1" t="n">
        <v>1</v>
      </c>
      <c r="AB8" s="1" t="s">
        <v>151</v>
      </c>
      <c r="AD8" s="10" t="s">
        <v>218</v>
      </c>
      <c r="AE8" s="10" t="s">
        <v>168</v>
      </c>
      <c r="AF8" s="10" t="s">
        <v>219</v>
      </c>
      <c r="AG8" s="11"/>
      <c r="AH8" s="11"/>
      <c r="AO8" s="15"/>
      <c r="AP8" s="15"/>
      <c r="AQ8" s="15"/>
      <c r="AT8" s="4" t="s">
        <v>152</v>
      </c>
      <c r="AU8" s="16" t="s">
        <v>153</v>
      </c>
      <c r="AV8" s="1" t="n">
        <v>100</v>
      </c>
      <c r="AW8" s="14" t="n">
        <v>40897</v>
      </c>
      <c r="AX8" s="14" t="n">
        <v>40927</v>
      </c>
      <c r="AZ8" s="1" t="s">
        <v>154</v>
      </c>
      <c r="BA8" s="1" t="n">
        <v>2</v>
      </c>
      <c r="BB8" s="1" t="n">
        <v>81.698</v>
      </c>
      <c r="BC8" s="1" t="n">
        <v>81.698</v>
      </c>
      <c r="BD8" s="1" t="n">
        <v>0</v>
      </c>
      <c r="BE8" s="1" t="n">
        <v>809</v>
      </c>
      <c r="BF8" s="1" t="n">
        <v>360</v>
      </c>
      <c r="BG8" s="1" t="n">
        <v>360</v>
      </c>
      <c r="BH8" s="1" t="s">
        <v>173</v>
      </c>
      <c r="BI8" s="1" t="n">
        <v>1</v>
      </c>
      <c r="BJ8" s="17" t="n">
        <f aca="false">+O8</f>
        <v>315500</v>
      </c>
      <c r="BK8" s="1" t="s">
        <v>156</v>
      </c>
      <c r="BL8" s="1" t="s">
        <v>157</v>
      </c>
      <c r="BM8" s="1" t="n">
        <v>3</v>
      </c>
      <c r="BN8" s="1" t="n">
        <v>26.671097</v>
      </c>
      <c r="BO8" s="1" t="n">
        <v>1</v>
      </c>
      <c r="BP8" s="1" t="n">
        <v>2</v>
      </c>
      <c r="BQ8" s="1" t="s">
        <v>223</v>
      </c>
      <c r="BR8" s="1" t="n">
        <v>4</v>
      </c>
      <c r="BS8" s="14" t="n">
        <v>42278</v>
      </c>
      <c r="BT8" s="1" t="n">
        <v>1</v>
      </c>
      <c r="BU8" s="1" t="n">
        <v>12</v>
      </c>
      <c r="BV8" s="1" t="n">
        <v>1</v>
      </c>
      <c r="BW8" s="1" t="n">
        <v>5</v>
      </c>
      <c r="BX8" s="1" t="n">
        <v>2</v>
      </c>
      <c r="BY8" s="17" t="n">
        <f aca="false">+O8</f>
        <v>315500</v>
      </c>
      <c r="BZ8" s="1" t="n">
        <v>0</v>
      </c>
      <c r="CA8" s="1" t="n">
        <v>0</v>
      </c>
      <c r="CC8" s="1" t="n">
        <v>0</v>
      </c>
      <c r="CD8" s="1" t="n">
        <v>0</v>
      </c>
      <c r="CE8" s="14" t="n">
        <v>40909</v>
      </c>
      <c r="CF8" s="1" t="n">
        <v>1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s">
        <v>176</v>
      </c>
      <c r="CN8" s="1" t="s">
        <v>176</v>
      </c>
      <c r="CO8" s="1" t="n">
        <v>33</v>
      </c>
      <c r="CP8" s="1" t="n">
        <v>36</v>
      </c>
      <c r="CQ8" s="1" t="s">
        <v>159</v>
      </c>
      <c r="CR8" s="1" t="s">
        <v>177</v>
      </c>
      <c r="CS8" s="1" t="n">
        <v>0</v>
      </c>
      <c r="CT8" s="1" t="n">
        <v>0</v>
      </c>
      <c r="CU8" s="1" t="n">
        <v>0</v>
      </c>
      <c r="DA8" s="1" t="s">
        <v>160</v>
      </c>
      <c r="DB8" s="1" t="n">
        <v>1000100100</v>
      </c>
      <c r="DC8" s="1" t="n">
        <v>0</v>
      </c>
      <c r="DD8" s="1" t="n">
        <v>30</v>
      </c>
      <c r="DE8" s="1" t="n">
        <v>12</v>
      </c>
      <c r="DF8" s="1" t="n">
        <v>0</v>
      </c>
      <c r="DG8" s="1" t="n">
        <v>301.07</v>
      </c>
      <c r="DH8" s="11" t="s">
        <v>161</v>
      </c>
      <c r="DJ8" s="1" t="n">
        <v>0</v>
      </c>
      <c r="DL8" s="1" t="n">
        <f aca="false">+R8</f>
        <v>4</v>
      </c>
      <c r="DM8" s="1" t="n">
        <v>1</v>
      </c>
      <c r="DN8" s="1" t="n">
        <v>0</v>
      </c>
      <c r="DO8" s="1" t="n">
        <v>0</v>
      </c>
      <c r="DP8" s="1" t="n">
        <v>62</v>
      </c>
      <c r="DQ8" s="1" t="n">
        <v>0</v>
      </c>
      <c r="DR8" s="1" t="n">
        <v>100</v>
      </c>
      <c r="DS8" s="1" t="s">
        <v>224</v>
      </c>
      <c r="DT8" s="1" t="n">
        <v>9</v>
      </c>
      <c r="DU8" s="1" t="n">
        <v>0</v>
      </c>
      <c r="DV8" s="1" t="n">
        <v>0</v>
      </c>
      <c r="DW8" s="1" t="n">
        <v>0</v>
      </c>
      <c r="DX8" s="1" t="s">
        <v>225</v>
      </c>
      <c r="DZ8" s="14"/>
      <c r="EG8" s="10"/>
      <c r="EH8" s="10" t="s">
        <v>178</v>
      </c>
      <c r="EI8" s="15" t="n">
        <v>2136</v>
      </c>
      <c r="EJ8" s="10" t="s">
        <v>226</v>
      </c>
      <c r="EK8" s="10" t="s">
        <v>218</v>
      </c>
      <c r="EL8" s="10" t="s">
        <v>168</v>
      </c>
      <c r="EM8" s="10" t="s">
        <v>219</v>
      </c>
    </row>
    <row collapsed="false" customFormat="false" customHeight="false" hidden="false" ht="14.9" outlineLevel="0" r="9">
      <c r="A9" s="1" t="s">
        <v>143</v>
      </c>
      <c r="B9" s="10" t="s">
        <v>227</v>
      </c>
      <c r="C9" s="10" t="s">
        <v>228</v>
      </c>
      <c r="H9" s="10" t="s">
        <v>229</v>
      </c>
      <c r="I9" s="10" t="s">
        <v>168</v>
      </c>
      <c r="J9" s="10" t="s">
        <v>230</v>
      </c>
      <c r="K9" s="11" t="s">
        <v>193</v>
      </c>
      <c r="M9" s="1" t="n">
        <v>1</v>
      </c>
      <c r="N9" s="1" t="s">
        <v>222</v>
      </c>
      <c r="O9" s="12" t="n">
        <v>403000</v>
      </c>
      <c r="P9" s="12" t="n">
        <v>403000</v>
      </c>
      <c r="Q9" s="1" t="n">
        <v>2015</v>
      </c>
      <c r="R9" s="1" t="n">
        <v>4</v>
      </c>
      <c r="S9" s="13" t="n">
        <v>40896</v>
      </c>
      <c r="T9" s="13" t="n">
        <v>40896</v>
      </c>
      <c r="U9" s="14" t="n">
        <v>40940</v>
      </c>
      <c r="V9" s="14" t="n">
        <v>51898</v>
      </c>
      <c r="W9" s="3" t="n">
        <v>1</v>
      </c>
      <c r="X9" s="3" t="n">
        <v>166900</v>
      </c>
      <c r="Z9" s="1" t="n">
        <v>1</v>
      </c>
      <c r="AB9" s="1" t="s">
        <v>151</v>
      </c>
      <c r="AD9" s="10" t="s">
        <v>229</v>
      </c>
      <c r="AE9" s="10" t="s">
        <v>168</v>
      </c>
      <c r="AF9" s="10" t="s">
        <v>230</v>
      </c>
      <c r="AG9" s="11"/>
      <c r="AH9" s="11"/>
      <c r="AO9" s="15"/>
      <c r="AP9" s="15"/>
      <c r="AQ9" s="15"/>
      <c r="AT9" s="4" t="s">
        <v>152</v>
      </c>
      <c r="AU9" s="16" t="s">
        <v>153</v>
      </c>
      <c r="AV9" s="1" t="n">
        <v>100</v>
      </c>
      <c r="AW9" s="14" t="n">
        <v>40897</v>
      </c>
      <c r="AX9" s="14" t="n">
        <v>40927</v>
      </c>
      <c r="AZ9" s="1" t="s">
        <v>154</v>
      </c>
      <c r="BA9" s="1" t="n">
        <v>2</v>
      </c>
      <c r="BB9" s="1" t="n">
        <v>19.776</v>
      </c>
      <c r="BC9" s="1" t="n">
        <v>19.776</v>
      </c>
      <c r="BD9" s="1" t="n">
        <v>0</v>
      </c>
      <c r="BE9" s="1" t="n">
        <v>713</v>
      </c>
      <c r="BF9" s="1" t="n">
        <v>360</v>
      </c>
      <c r="BG9" s="1" t="n">
        <v>360</v>
      </c>
      <c r="BH9" s="1" t="s">
        <v>173</v>
      </c>
      <c r="BI9" s="1" t="n">
        <v>1</v>
      </c>
      <c r="BJ9" s="17" t="n">
        <f aca="false">+O9</f>
        <v>403000</v>
      </c>
      <c r="BK9" s="1" t="s">
        <v>156</v>
      </c>
      <c r="BL9" s="1" t="s">
        <v>157</v>
      </c>
      <c r="BM9" s="1" t="n">
        <v>1</v>
      </c>
      <c r="BN9" s="1" t="n">
        <v>27.037002</v>
      </c>
      <c r="BO9" s="1" t="n">
        <v>1</v>
      </c>
      <c r="BP9" s="1" t="n">
        <v>2</v>
      </c>
      <c r="BQ9" s="1" t="s">
        <v>223</v>
      </c>
      <c r="BR9" s="1" t="n">
        <v>4</v>
      </c>
      <c r="BS9" s="14" t="n">
        <v>42278</v>
      </c>
      <c r="BT9" s="1" t="n">
        <v>1</v>
      </c>
      <c r="BU9" s="1" t="n">
        <v>12</v>
      </c>
      <c r="BV9" s="1" t="n">
        <v>1</v>
      </c>
      <c r="BW9" s="1" t="n">
        <v>5</v>
      </c>
      <c r="BX9" s="1" t="n">
        <v>2</v>
      </c>
      <c r="BY9" s="17" t="n">
        <f aca="false">+O9</f>
        <v>403000</v>
      </c>
      <c r="BZ9" s="1" t="n">
        <v>0</v>
      </c>
      <c r="CA9" s="1" t="n">
        <v>0</v>
      </c>
      <c r="CC9" s="1" t="n">
        <v>0</v>
      </c>
      <c r="CD9" s="1" t="n">
        <v>0</v>
      </c>
      <c r="CE9" s="14" t="n">
        <v>40909</v>
      </c>
      <c r="CF9" s="1" t="n">
        <v>1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s">
        <v>176</v>
      </c>
      <c r="CO9" s="1" t="n">
        <v>45</v>
      </c>
      <c r="CP9" s="1" t="n">
        <v>0</v>
      </c>
      <c r="CQ9" s="1" t="s">
        <v>159</v>
      </c>
      <c r="CS9" s="1" t="n">
        <v>0</v>
      </c>
      <c r="CT9" s="1" t="n">
        <v>0</v>
      </c>
      <c r="CU9" s="1" t="n">
        <v>0</v>
      </c>
      <c r="DA9" s="1" t="s">
        <v>160</v>
      </c>
      <c r="DB9" s="1" t="n">
        <v>1000100100</v>
      </c>
      <c r="DC9" s="1" t="n">
        <v>0</v>
      </c>
      <c r="DD9" s="1" t="n">
        <v>30</v>
      </c>
      <c r="DE9" s="1" t="n">
        <v>4</v>
      </c>
      <c r="DF9" s="1" t="n">
        <v>0</v>
      </c>
      <c r="DG9" s="1" t="n">
        <v>371.31</v>
      </c>
      <c r="DH9" s="11" t="s">
        <v>161</v>
      </c>
      <c r="DJ9" s="1" t="n">
        <v>0</v>
      </c>
      <c r="DL9" s="1" t="n">
        <f aca="false">+R9</f>
        <v>4</v>
      </c>
      <c r="DM9" s="1" t="n">
        <v>1</v>
      </c>
      <c r="DN9" s="1" t="n">
        <v>0</v>
      </c>
      <c r="DO9" s="1" t="n">
        <v>0</v>
      </c>
      <c r="DP9" s="1" t="n">
        <v>62</v>
      </c>
      <c r="DQ9" s="1" t="n">
        <v>0</v>
      </c>
      <c r="DR9" s="1" t="n">
        <v>100</v>
      </c>
      <c r="DS9" s="1" t="s">
        <v>224</v>
      </c>
      <c r="DT9" s="1" t="n">
        <v>9</v>
      </c>
      <c r="DU9" s="1" t="n">
        <v>0</v>
      </c>
      <c r="DV9" s="1" t="n">
        <v>0</v>
      </c>
      <c r="DW9" s="1" t="n">
        <v>0</v>
      </c>
      <c r="DX9" s="1" t="s">
        <v>225</v>
      </c>
      <c r="DZ9" s="14"/>
      <c r="EG9" s="10"/>
      <c r="EH9" s="10" t="s">
        <v>163</v>
      </c>
      <c r="EI9" s="1" t="n">
        <v>1234</v>
      </c>
      <c r="EJ9" s="10" t="s">
        <v>231</v>
      </c>
      <c r="EK9" s="10" t="s">
        <v>229</v>
      </c>
      <c r="EL9" s="10" t="s">
        <v>168</v>
      </c>
      <c r="EM9" s="10" t="s">
        <v>230</v>
      </c>
    </row>
    <row collapsed="false" customFormat="false" customHeight="false" hidden="false" ht="14" outlineLevel="0" r="10">
      <c r="A10" s="1" t="s">
        <v>143</v>
      </c>
      <c r="B10" s="10" t="s">
        <v>232</v>
      </c>
      <c r="C10" s="10" t="s">
        <v>233</v>
      </c>
      <c r="H10" s="10" t="s">
        <v>234</v>
      </c>
      <c r="I10" s="10" t="s">
        <v>168</v>
      </c>
      <c r="J10" s="10" t="s">
        <v>235</v>
      </c>
      <c r="K10" s="11" t="s">
        <v>203</v>
      </c>
      <c r="M10" s="1" t="n">
        <v>1</v>
      </c>
      <c r="N10" s="1" t="s">
        <v>222</v>
      </c>
      <c r="O10" s="12" t="n">
        <v>268000</v>
      </c>
      <c r="P10" s="12" t="n">
        <v>268000</v>
      </c>
      <c r="Q10" s="1" t="n">
        <v>1340</v>
      </c>
      <c r="R10" s="1" t="n">
        <v>3.875</v>
      </c>
      <c r="S10" s="13" t="n">
        <v>40896</v>
      </c>
      <c r="T10" s="13" t="n">
        <v>40896</v>
      </c>
      <c r="U10" s="14" t="n">
        <v>40940</v>
      </c>
      <c r="V10" s="14" t="n">
        <v>51898</v>
      </c>
      <c r="W10" s="3" t="n">
        <v>1</v>
      </c>
      <c r="X10" s="3" t="n">
        <v>86616</v>
      </c>
      <c r="Z10" s="1" t="n">
        <v>1</v>
      </c>
      <c r="AB10" s="1" t="s">
        <v>151</v>
      </c>
      <c r="AD10" s="10" t="s">
        <v>234</v>
      </c>
      <c r="AE10" s="10" t="s">
        <v>168</v>
      </c>
      <c r="AF10" s="10" t="s">
        <v>235</v>
      </c>
      <c r="AG10" s="11"/>
      <c r="AH10" s="11"/>
      <c r="AO10" s="15"/>
      <c r="AP10" s="15"/>
      <c r="AQ10" s="15"/>
      <c r="AT10" s="4" t="s">
        <v>236</v>
      </c>
      <c r="AU10" s="16" t="s">
        <v>237</v>
      </c>
      <c r="AV10" s="1" t="n">
        <v>100</v>
      </c>
      <c r="AW10" s="14" t="n">
        <v>40897</v>
      </c>
      <c r="AX10" s="14" t="n">
        <v>40927</v>
      </c>
      <c r="AZ10" s="1" t="s">
        <v>154</v>
      </c>
      <c r="BA10" s="1" t="n">
        <v>1</v>
      </c>
      <c r="BB10" s="1" t="n">
        <v>47.042</v>
      </c>
      <c r="BC10" s="1" t="n">
        <v>47.042</v>
      </c>
      <c r="BD10" s="1" t="n">
        <v>0</v>
      </c>
      <c r="BE10" s="1" t="n">
        <v>745</v>
      </c>
      <c r="BF10" s="1" t="n">
        <v>360</v>
      </c>
      <c r="BG10" s="1" t="n">
        <v>360</v>
      </c>
      <c r="BH10" s="1" t="s">
        <v>238</v>
      </c>
      <c r="BI10" s="1" t="n">
        <v>1</v>
      </c>
      <c r="BJ10" s="17" t="n">
        <f aca="false">+O10</f>
        <v>268000</v>
      </c>
      <c r="BK10" s="1" t="s">
        <v>156</v>
      </c>
      <c r="BL10" s="1" t="s">
        <v>157</v>
      </c>
      <c r="BM10" s="1" t="n">
        <v>1</v>
      </c>
      <c r="BN10" s="15" t="n">
        <v>57.615341</v>
      </c>
      <c r="BO10" s="1" t="n">
        <v>1</v>
      </c>
      <c r="BP10" s="1" t="n">
        <v>2</v>
      </c>
      <c r="BQ10" s="1" t="s">
        <v>223</v>
      </c>
      <c r="BR10" s="1" t="n">
        <v>3.875</v>
      </c>
      <c r="BS10" s="14" t="n">
        <v>42278</v>
      </c>
      <c r="BT10" s="1" t="n">
        <v>1</v>
      </c>
      <c r="BU10" s="1" t="n">
        <v>12</v>
      </c>
      <c r="BV10" s="1" t="n">
        <v>1</v>
      </c>
      <c r="BW10" s="1" t="n">
        <v>5</v>
      </c>
      <c r="BX10" s="1" t="n">
        <v>2</v>
      </c>
      <c r="BY10" s="17" t="n">
        <f aca="false">+O10</f>
        <v>268000</v>
      </c>
      <c r="BZ10" s="1" t="n">
        <v>0</v>
      </c>
      <c r="CA10" s="1" t="n">
        <v>0</v>
      </c>
      <c r="CC10" s="1" t="n">
        <v>0</v>
      </c>
      <c r="CD10" s="1" t="n">
        <v>0</v>
      </c>
      <c r="CE10" s="14" t="n">
        <v>40909</v>
      </c>
      <c r="CF10" s="1" t="n">
        <v>1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1</v>
      </c>
      <c r="CL10" s="1" t="n">
        <v>0</v>
      </c>
      <c r="CM10" s="1" t="s">
        <v>158</v>
      </c>
      <c r="CO10" s="1" t="n">
        <v>46</v>
      </c>
      <c r="CP10" s="1" t="n">
        <v>0</v>
      </c>
      <c r="CQ10" s="1" t="s">
        <v>159</v>
      </c>
      <c r="CS10" s="1" t="n">
        <v>0</v>
      </c>
      <c r="CT10" s="1" t="n">
        <v>0</v>
      </c>
      <c r="CU10" s="1" t="n">
        <v>0</v>
      </c>
      <c r="DA10" s="1" t="s">
        <v>160</v>
      </c>
      <c r="DB10" s="1" t="n">
        <v>1000100100</v>
      </c>
      <c r="DC10" s="1" t="n">
        <v>0</v>
      </c>
      <c r="DD10" s="1" t="n">
        <v>30</v>
      </c>
      <c r="DE10" s="1" t="n">
        <v>8</v>
      </c>
      <c r="DF10" s="1" t="n">
        <v>1</v>
      </c>
      <c r="DG10" s="1" t="n">
        <v>1585.86</v>
      </c>
      <c r="DH10" s="11" t="s">
        <v>161</v>
      </c>
      <c r="DJ10" s="1" t="n">
        <v>0</v>
      </c>
      <c r="DL10" s="1" t="n">
        <f aca="false">+R10</f>
        <v>3.875</v>
      </c>
      <c r="DM10" s="1" t="n">
        <v>1</v>
      </c>
      <c r="DN10" s="1" t="n">
        <v>0</v>
      </c>
      <c r="DO10" s="1" t="n">
        <v>0</v>
      </c>
      <c r="DP10" s="1" t="n">
        <v>62</v>
      </c>
      <c r="DQ10" s="1" t="n">
        <v>0</v>
      </c>
      <c r="DR10" s="1" t="n">
        <v>100</v>
      </c>
      <c r="DS10" s="1" t="s">
        <v>224</v>
      </c>
      <c r="DT10" s="1" t="n">
        <v>8.875</v>
      </c>
      <c r="DU10" s="1" t="n">
        <v>0</v>
      </c>
      <c r="DV10" s="1" t="n">
        <v>0</v>
      </c>
      <c r="DW10" s="1" t="n">
        <v>0</v>
      </c>
      <c r="DX10" s="1" t="s">
        <v>225</v>
      </c>
      <c r="DZ10" s="14"/>
      <c r="EG10" s="10"/>
      <c r="EH10" s="10" t="s">
        <v>178</v>
      </c>
      <c r="EI10" s="15" t="n">
        <v>2136</v>
      </c>
      <c r="EJ10" s="10" t="s">
        <v>239</v>
      </c>
      <c r="EK10" s="10" t="s">
        <v>234</v>
      </c>
      <c r="EL10" s="10" t="s">
        <v>168</v>
      </c>
      <c r="EM10" s="10" t="s">
        <v>235</v>
      </c>
    </row>
    <row collapsed="false" customFormat="false" customHeight="false" hidden="false" ht="14" outlineLevel="0" r="11">
      <c r="A11" s="1" t="s">
        <v>143</v>
      </c>
      <c r="B11" s="10" t="s">
        <v>240</v>
      </c>
      <c r="C11" s="10" t="s">
        <v>241</v>
      </c>
      <c r="H11" s="10" t="s">
        <v>242</v>
      </c>
      <c r="I11" s="10" t="s">
        <v>168</v>
      </c>
      <c r="J11" s="10" t="s">
        <v>243</v>
      </c>
      <c r="K11" s="11" t="s">
        <v>210</v>
      </c>
      <c r="M11" s="1" t="n">
        <v>1</v>
      </c>
      <c r="N11" s="1" t="s">
        <v>244</v>
      </c>
      <c r="O11" s="12" t="n">
        <v>198000</v>
      </c>
      <c r="P11" s="12" t="n">
        <v>198000</v>
      </c>
      <c r="Q11" s="1" t="n">
        <v>990</v>
      </c>
      <c r="R11" s="1" t="n">
        <v>4.875</v>
      </c>
      <c r="S11" s="13" t="n">
        <v>40896</v>
      </c>
      <c r="T11" s="13" t="n">
        <v>40896</v>
      </c>
      <c r="U11" s="14" t="n">
        <v>40940</v>
      </c>
      <c r="V11" s="14" t="n">
        <v>51898</v>
      </c>
      <c r="W11" s="3" t="n">
        <v>0</v>
      </c>
      <c r="X11" s="3" t="n">
        <v>40643</v>
      </c>
      <c r="Z11" s="1" t="n">
        <v>1</v>
      </c>
      <c r="AB11" s="1" t="s">
        <v>151</v>
      </c>
      <c r="AD11" s="10" t="s">
        <v>242</v>
      </c>
      <c r="AE11" s="10" t="s">
        <v>168</v>
      </c>
      <c r="AF11" s="10" t="s">
        <v>243</v>
      </c>
      <c r="AG11" s="11"/>
      <c r="AH11" s="11"/>
      <c r="AO11" s="15"/>
      <c r="AP11" s="15"/>
      <c r="AQ11" s="15"/>
      <c r="AT11" s="4" t="s">
        <v>236</v>
      </c>
      <c r="AU11" s="16" t="s">
        <v>237</v>
      </c>
      <c r="AV11" s="1" t="n">
        <v>100</v>
      </c>
      <c r="AW11" s="14" t="n">
        <v>40897</v>
      </c>
      <c r="AX11" s="14" t="n">
        <v>40927</v>
      </c>
      <c r="AZ11" s="15" t="s">
        <v>154</v>
      </c>
      <c r="BA11" s="1" t="n">
        <v>2</v>
      </c>
      <c r="BB11" s="1" t="n">
        <v>93.32</v>
      </c>
      <c r="BC11" s="1" t="n">
        <v>93.32</v>
      </c>
      <c r="BD11" s="1" t="n">
        <v>0</v>
      </c>
      <c r="BE11" s="1" t="n">
        <v>735</v>
      </c>
      <c r="BF11" s="1" t="n">
        <v>360</v>
      </c>
      <c r="BG11" s="1" t="n">
        <v>360</v>
      </c>
      <c r="BH11" s="1" t="s">
        <v>155</v>
      </c>
      <c r="BI11" s="1" t="n">
        <v>1</v>
      </c>
      <c r="BJ11" s="17" t="n">
        <f aca="false">+O11</f>
        <v>198000</v>
      </c>
      <c r="BK11" s="1" t="s">
        <v>156</v>
      </c>
      <c r="BL11" s="1" t="s">
        <v>157</v>
      </c>
      <c r="BM11" s="1" t="n">
        <v>1</v>
      </c>
      <c r="BN11" s="1" t="n">
        <v>20.801104</v>
      </c>
      <c r="BO11" s="1" t="n">
        <v>1</v>
      </c>
      <c r="BP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7" t="n">
        <f aca="false">+O11</f>
        <v>198000</v>
      </c>
      <c r="BZ11" s="1" t="n">
        <v>0</v>
      </c>
      <c r="CA11" s="1" t="n">
        <v>0</v>
      </c>
      <c r="CC11" s="1" t="n">
        <v>0</v>
      </c>
      <c r="CD11" s="1" t="n">
        <v>0</v>
      </c>
      <c r="CE11" s="14" t="n">
        <v>40909</v>
      </c>
      <c r="CF11" s="1" t="n">
        <v>1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4" t="s">
        <v>245</v>
      </c>
      <c r="CO11" s="1" t="n">
        <v>64</v>
      </c>
      <c r="CP11" s="1" t="n">
        <v>0</v>
      </c>
      <c r="CQ11" s="1" t="s">
        <v>159</v>
      </c>
      <c r="CS11" s="1" t="n">
        <v>0</v>
      </c>
      <c r="CT11" s="1" t="n">
        <v>0</v>
      </c>
      <c r="CU11" s="1" t="n">
        <v>0</v>
      </c>
      <c r="DA11" s="1" t="s">
        <v>160</v>
      </c>
      <c r="DB11" s="1" t="n">
        <v>1000100100</v>
      </c>
      <c r="DC11" s="1" t="n">
        <v>0</v>
      </c>
      <c r="DE11" s="1" t="n">
        <v>12</v>
      </c>
      <c r="DF11" s="1" t="n">
        <v>33</v>
      </c>
      <c r="DG11" s="1" t="n">
        <v>22272.67</v>
      </c>
      <c r="DH11" s="11" t="s">
        <v>161</v>
      </c>
      <c r="DJ11" s="1" t="n">
        <v>0</v>
      </c>
      <c r="DL11" s="1" t="n">
        <f aca="false">+R11</f>
        <v>4.875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100</v>
      </c>
      <c r="DS11" s="1" t="s">
        <v>224</v>
      </c>
      <c r="DT11" s="1" t="n">
        <v>4.875</v>
      </c>
      <c r="DU11" s="1" t="n">
        <v>0</v>
      </c>
      <c r="DV11" s="1" t="n">
        <v>0</v>
      </c>
      <c r="DW11" s="1" t="n">
        <v>0</v>
      </c>
      <c r="DX11" s="1" t="s">
        <v>225</v>
      </c>
      <c r="EG11" s="10"/>
      <c r="EH11" s="10" t="s">
        <v>205</v>
      </c>
      <c r="EI11" s="15" t="n">
        <v>4123</v>
      </c>
      <c r="EJ11" s="10" t="s">
        <v>226</v>
      </c>
      <c r="EK11" s="10" t="s">
        <v>242</v>
      </c>
      <c r="EL11" s="10" t="s">
        <v>168</v>
      </c>
      <c r="EM11" s="10" t="s">
        <v>243</v>
      </c>
    </row>
    <row collapsed="false" customFormat="false" customHeight="false" hidden="false" ht="14.9" outlineLevel="0" r="12">
      <c r="A12" s="1" t="s">
        <v>143</v>
      </c>
      <c r="B12" s="10" t="s">
        <v>246</v>
      </c>
      <c r="C12" s="10" t="s">
        <v>247</v>
      </c>
      <c r="H12" s="10" t="s">
        <v>248</v>
      </c>
      <c r="I12" s="10" t="s">
        <v>168</v>
      </c>
      <c r="J12" s="10" t="s">
        <v>249</v>
      </c>
      <c r="K12" s="11" t="s">
        <v>221</v>
      </c>
      <c r="M12" s="1" t="n">
        <v>0</v>
      </c>
      <c r="N12" s="1" t="s">
        <v>244</v>
      </c>
      <c r="O12" s="12" t="n">
        <v>280000</v>
      </c>
      <c r="P12" s="12" t="n">
        <v>280000</v>
      </c>
      <c r="Q12" s="1" t="n">
        <v>1400</v>
      </c>
      <c r="R12" s="1" t="n">
        <v>5.25</v>
      </c>
      <c r="S12" s="13" t="n">
        <v>40896</v>
      </c>
      <c r="T12" s="13" t="n">
        <v>40896</v>
      </c>
      <c r="U12" s="14" t="n">
        <v>40940</v>
      </c>
      <c r="V12" s="14" t="n">
        <v>51898</v>
      </c>
      <c r="W12" s="3" t="n">
        <v>0</v>
      </c>
      <c r="X12" s="3" t="n">
        <v>247373</v>
      </c>
      <c r="Z12" s="1" t="n">
        <v>1</v>
      </c>
      <c r="AB12" s="1" t="s">
        <v>151</v>
      </c>
      <c r="AD12" s="10" t="s">
        <v>248</v>
      </c>
      <c r="AE12" s="10" t="s">
        <v>168</v>
      </c>
      <c r="AF12" s="10" t="s">
        <v>249</v>
      </c>
      <c r="AG12" s="11"/>
      <c r="AH12" s="11"/>
      <c r="AO12" s="15"/>
      <c r="AP12" s="15"/>
      <c r="AQ12" s="15"/>
      <c r="AT12" s="4" t="s">
        <v>236</v>
      </c>
      <c r="AU12" s="16" t="s">
        <v>237</v>
      </c>
      <c r="AV12" s="1" t="n">
        <v>100</v>
      </c>
      <c r="AW12" s="14" t="n">
        <v>40897</v>
      </c>
      <c r="AX12" s="14" t="n">
        <v>40927</v>
      </c>
      <c r="AZ12" s="1" t="s">
        <v>154</v>
      </c>
      <c r="BA12" s="1" t="n">
        <v>1</v>
      </c>
      <c r="BB12" s="1" t="n">
        <v>88.915</v>
      </c>
      <c r="BC12" s="1" t="n">
        <v>88.915</v>
      </c>
      <c r="BD12" s="1" t="n">
        <v>0</v>
      </c>
      <c r="BE12" s="1" t="n">
        <v>773</v>
      </c>
      <c r="BF12" s="1" t="n">
        <v>360</v>
      </c>
      <c r="BG12" s="1" t="n">
        <v>360</v>
      </c>
      <c r="BH12" s="1" t="s">
        <v>155</v>
      </c>
      <c r="BI12" s="1" t="n">
        <v>1</v>
      </c>
      <c r="BJ12" s="17" t="n">
        <f aca="false">+O12</f>
        <v>280000</v>
      </c>
      <c r="BK12" s="1" t="s">
        <v>156</v>
      </c>
      <c r="BL12" s="1" t="s">
        <v>157</v>
      </c>
      <c r="BM12" s="1" t="n">
        <v>3</v>
      </c>
      <c r="BN12" s="1" t="n">
        <v>25.643788</v>
      </c>
      <c r="BO12" s="1" t="n">
        <v>1</v>
      </c>
      <c r="BP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7" t="n">
        <f aca="false">+O12</f>
        <v>280000</v>
      </c>
      <c r="BZ12" s="1" t="n">
        <v>0</v>
      </c>
      <c r="CA12" s="1" t="n">
        <v>0</v>
      </c>
      <c r="CC12" s="1" t="n">
        <v>0</v>
      </c>
      <c r="CD12" s="1" t="n">
        <v>0</v>
      </c>
      <c r="CE12" s="14" t="n">
        <v>40909</v>
      </c>
      <c r="CF12" s="1" t="n">
        <v>1</v>
      </c>
      <c r="CG12" s="1" t="n">
        <v>0</v>
      </c>
      <c r="CH12" s="1" t="n">
        <v>0</v>
      </c>
      <c r="CI12" s="1" t="n">
        <v>6</v>
      </c>
      <c r="CJ12" s="1" t="n">
        <v>0</v>
      </c>
      <c r="CK12" s="1" t="n">
        <v>0</v>
      </c>
      <c r="CL12" s="1" t="n">
        <v>0</v>
      </c>
      <c r="CM12" s="1" t="s">
        <v>158</v>
      </c>
      <c r="CO12" s="1" t="n">
        <v>33</v>
      </c>
      <c r="CP12" s="1" t="n">
        <v>0</v>
      </c>
      <c r="CQ12" s="1" t="s">
        <v>159</v>
      </c>
      <c r="CS12" s="1" t="n">
        <v>0</v>
      </c>
      <c r="CT12" s="1" t="n">
        <v>0</v>
      </c>
      <c r="CU12" s="1" t="n">
        <v>0</v>
      </c>
      <c r="CW12" s="1" t="n">
        <v>13</v>
      </c>
      <c r="CX12" s="14" t="n">
        <v>39345</v>
      </c>
      <c r="DA12" s="1" t="s">
        <v>160</v>
      </c>
      <c r="DB12" s="1" t="n">
        <v>1000100100</v>
      </c>
      <c r="DC12" s="1" t="n">
        <v>0</v>
      </c>
      <c r="DE12" s="1" t="n">
        <v>10</v>
      </c>
      <c r="DF12" s="1" t="n">
        <v>14</v>
      </c>
      <c r="DG12" s="1" t="n">
        <v>10266</v>
      </c>
      <c r="DH12" s="11" t="s">
        <v>161</v>
      </c>
      <c r="DJ12" s="1" t="n">
        <v>0</v>
      </c>
      <c r="DL12" s="1" t="n">
        <f aca="false">+R12</f>
        <v>5.25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100</v>
      </c>
      <c r="DS12" s="1" t="s">
        <v>224</v>
      </c>
      <c r="DT12" s="1" t="n">
        <v>5.25</v>
      </c>
      <c r="DU12" s="1" t="n">
        <v>0</v>
      </c>
      <c r="DV12" s="1" t="n">
        <v>0</v>
      </c>
      <c r="DW12" s="1" t="n">
        <v>0</v>
      </c>
      <c r="DX12" s="1" t="s">
        <v>225</v>
      </c>
      <c r="EG12" s="10"/>
      <c r="EH12" s="10" t="s">
        <v>250</v>
      </c>
      <c r="EI12" s="15" t="n">
        <v>2121</v>
      </c>
      <c r="EJ12" s="10" t="s">
        <v>231</v>
      </c>
      <c r="EK12" s="10" t="s">
        <v>248</v>
      </c>
      <c r="EL12" s="10" t="s">
        <v>168</v>
      </c>
      <c r="EM12" s="10" t="s">
        <v>249</v>
      </c>
    </row>
    <row collapsed="false" customFormat="false" customHeight="false" hidden="false" ht="14.9" outlineLevel="0" r="13">
      <c r="A13" s="1" t="s">
        <v>143</v>
      </c>
      <c r="B13" s="10" t="s">
        <v>251</v>
      </c>
      <c r="C13" s="10" t="s">
        <v>252</v>
      </c>
      <c r="H13" s="10" t="s">
        <v>253</v>
      </c>
      <c r="I13" s="10" t="s">
        <v>168</v>
      </c>
      <c r="J13" s="10" t="s">
        <v>254</v>
      </c>
      <c r="K13" s="11" t="s">
        <v>255</v>
      </c>
      <c r="M13" s="1" t="n">
        <v>0</v>
      </c>
      <c r="N13" s="1" t="s">
        <v>244</v>
      </c>
      <c r="O13" s="12" t="n">
        <v>350000</v>
      </c>
      <c r="P13" s="12" t="n">
        <v>350000</v>
      </c>
      <c r="Q13" s="1" t="n">
        <v>1750</v>
      </c>
      <c r="R13" s="1" t="n">
        <v>4.5</v>
      </c>
      <c r="S13" s="13" t="n">
        <v>40896</v>
      </c>
      <c r="T13" s="13" t="n">
        <v>40896</v>
      </c>
      <c r="U13" s="14" t="n">
        <v>40940</v>
      </c>
      <c r="V13" s="14" t="n">
        <v>51898</v>
      </c>
      <c r="W13" s="3" t="n">
        <v>0</v>
      </c>
      <c r="X13" s="3" t="n">
        <v>118578</v>
      </c>
      <c r="Z13" s="1" t="n">
        <v>1</v>
      </c>
      <c r="AB13" s="1" t="s">
        <v>151</v>
      </c>
      <c r="AD13" s="10" t="s">
        <v>253</v>
      </c>
      <c r="AE13" s="10" t="s">
        <v>168</v>
      </c>
      <c r="AF13" s="10" t="s">
        <v>254</v>
      </c>
      <c r="AG13" s="11"/>
      <c r="AH13" s="11"/>
      <c r="AO13" s="15"/>
      <c r="AP13" s="15"/>
      <c r="AQ13" s="15"/>
      <c r="AT13" s="1" t="s">
        <v>195</v>
      </c>
      <c r="AU13" s="16" t="n">
        <v>12333333</v>
      </c>
      <c r="AV13" s="1" t="n">
        <v>100</v>
      </c>
      <c r="AW13" s="14" t="n">
        <v>40897</v>
      </c>
      <c r="AX13" s="14" t="n">
        <v>40927</v>
      </c>
      <c r="AZ13" s="1" t="s">
        <v>154</v>
      </c>
      <c r="BA13" s="1" t="n">
        <v>1</v>
      </c>
      <c r="BB13" s="1" t="n">
        <v>50.722</v>
      </c>
      <c r="BC13" s="1" t="n">
        <v>50.722</v>
      </c>
      <c r="BD13" s="1" t="n">
        <v>0</v>
      </c>
      <c r="BE13" s="1" t="n">
        <v>719</v>
      </c>
      <c r="BF13" s="1" t="n">
        <v>360</v>
      </c>
      <c r="BG13" s="1" t="n">
        <v>360</v>
      </c>
      <c r="BH13" s="1" t="s">
        <v>155</v>
      </c>
      <c r="BI13" s="1" t="n">
        <v>1</v>
      </c>
      <c r="BJ13" s="17" t="n">
        <f aca="false">+O13</f>
        <v>350000</v>
      </c>
      <c r="BK13" s="1" t="s">
        <v>156</v>
      </c>
      <c r="BL13" s="1" t="s">
        <v>157</v>
      </c>
      <c r="BM13" s="1" t="n">
        <v>1</v>
      </c>
      <c r="BN13" s="1" t="n">
        <v>33.156344</v>
      </c>
      <c r="BO13" s="1" t="n">
        <v>1</v>
      </c>
      <c r="BP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7" t="n">
        <f aca="false">+O13</f>
        <v>350000</v>
      </c>
      <c r="BZ13" s="1" t="n">
        <v>0</v>
      </c>
      <c r="CA13" s="1" t="n">
        <v>0</v>
      </c>
      <c r="CC13" s="1" t="n">
        <v>0</v>
      </c>
      <c r="CD13" s="1" t="n">
        <v>0</v>
      </c>
      <c r="CE13" s="14" t="n">
        <v>40909</v>
      </c>
      <c r="CF13" s="1" t="n">
        <v>1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s">
        <v>158</v>
      </c>
      <c r="CO13" s="1" t="n">
        <v>27</v>
      </c>
      <c r="CP13" s="1" t="n">
        <v>0</v>
      </c>
      <c r="CQ13" s="1" t="s">
        <v>159</v>
      </c>
      <c r="CS13" s="1" t="n">
        <v>0</v>
      </c>
      <c r="CT13" s="1" t="n">
        <v>0</v>
      </c>
      <c r="CU13" s="1" t="n">
        <v>0</v>
      </c>
      <c r="DA13" s="1" t="s">
        <v>160</v>
      </c>
      <c r="DB13" s="1" t="n">
        <v>1000100100</v>
      </c>
      <c r="DC13" s="1" t="n">
        <v>0</v>
      </c>
      <c r="DE13" s="1" t="n">
        <v>8</v>
      </c>
      <c r="DF13" s="1" t="n">
        <v>24</v>
      </c>
      <c r="DG13" s="1" t="n">
        <v>10939.17</v>
      </c>
      <c r="DH13" s="11" t="s">
        <v>161</v>
      </c>
      <c r="DJ13" s="1" t="n">
        <v>0</v>
      </c>
      <c r="DL13" s="1" t="n">
        <f aca="false">+R13</f>
        <v>4.5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100</v>
      </c>
      <c r="DS13" s="1" t="s">
        <v>224</v>
      </c>
      <c r="DT13" s="1" t="n">
        <v>4.5</v>
      </c>
      <c r="DU13" s="1" t="n">
        <v>0</v>
      </c>
      <c r="DV13" s="1" t="n">
        <v>0</v>
      </c>
      <c r="DW13" s="1" t="n">
        <v>0</v>
      </c>
      <c r="DX13" s="1" t="s">
        <v>225</v>
      </c>
      <c r="EG13" s="10"/>
      <c r="EH13" s="10" t="s">
        <v>256</v>
      </c>
      <c r="EI13" s="15" t="n">
        <v>5678</v>
      </c>
      <c r="EJ13" s="10" t="s">
        <v>239</v>
      </c>
      <c r="EK13" s="10" t="s">
        <v>253</v>
      </c>
      <c r="EL13" s="10" t="s">
        <v>168</v>
      </c>
      <c r="EM13" s="10" t="s">
        <v>254</v>
      </c>
    </row>
    <row collapsed="false" customFormat="true" customHeight="false" hidden="false" ht="14.9" outlineLevel="0" r="14" s="15">
      <c r="A14" s="15" t="s">
        <v>143</v>
      </c>
      <c r="B14" s="10" t="s">
        <v>257</v>
      </c>
      <c r="C14" s="10" t="s">
        <v>258</v>
      </c>
      <c r="H14" s="10" t="s">
        <v>259</v>
      </c>
      <c r="I14" s="10" t="s">
        <v>168</v>
      </c>
      <c r="J14" s="10" t="s">
        <v>260</v>
      </c>
      <c r="K14" s="11" t="s">
        <v>261</v>
      </c>
      <c r="M14" s="15" t="n">
        <v>0</v>
      </c>
      <c r="N14" s="15" t="s">
        <v>204</v>
      </c>
      <c r="O14" s="12" t="n">
        <v>175000</v>
      </c>
      <c r="P14" s="12" t="n">
        <v>175000</v>
      </c>
      <c r="Q14" s="15" t="n">
        <v>875</v>
      </c>
      <c r="R14" s="15" t="n">
        <v>5.875</v>
      </c>
      <c r="S14" s="13" t="n">
        <v>40896</v>
      </c>
      <c r="T14" s="13" t="n">
        <v>40896</v>
      </c>
      <c r="U14" s="18" t="n">
        <v>40940</v>
      </c>
      <c r="V14" s="18" t="n">
        <v>51898</v>
      </c>
      <c r="W14" s="19" t="n">
        <v>0</v>
      </c>
      <c r="X14" s="3" t="n">
        <v>6154</v>
      </c>
      <c r="Y14" s="19"/>
      <c r="Z14" s="15" t="n">
        <v>1</v>
      </c>
      <c r="AB14" s="15" t="s">
        <v>151</v>
      </c>
      <c r="AD14" s="10" t="s">
        <v>259</v>
      </c>
      <c r="AE14" s="10" t="s">
        <v>168</v>
      </c>
      <c r="AF14" s="10" t="s">
        <v>260</v>
      </c>
      <c r="AG14" s="11"/>
      <c r="AH14" s="11"/>
      <c r="AQ14" s="11"/>
      <c r="AT14" s="9" t="s">
        <v>152</v>
      </c>
      <c r="AU14" s="11" t="s">
        <v>153</v>
      </c>
      <c r="AV14" s="15" t="n">
        <v>100</v>
      </c>
      <c r="AW14" s="18" t="n">
        <v>40897</v>
      </c>
      <c r="AX14" s="18" t="n">
        <v>40927</v>
      </c>
      <c r="AZ14" s="15" t="s">
        <v>154</v>
      </c>
      <c r="BA14" s="1" t="n">
        <v>1</v>
      </c>
      <c r="BB14" s="15" t="n">
        <v>80</v>
      </c>
      <c r="BC14" s="15" t="n">
        <v>80</v>
      </c>
      <c r="BD14" s="15" t="n">
        <v>0</v>
      </c>
      <c r="BE14" s="15" t="n">
        <v>809</v>
      </c>
      <c r="BF14" s="15" t="n">
        <v>360</v>
      </c>
      <c r="BG14" s="15" t="n">
        <v>360</v>
      </c>
      <c r="BH14" s="15" t="s">
        <v>238</v>
      </c>
      <c r="BI14" s="15" t="n">
        <v>1</v>
      </c>
      <c r="BJ14" s="20" t="n">
        <f aca="false">+O14</f>
        <v>175000</v>
      </c>
      <c r="BK14" s="15" t="s">
        <v>156</v>
      </c>
      <c r="BL14" s="15" t="s">
        <v>212</v>
      </c>
      <c r="BM14" s="15" t="n">
        <v>3</v>
      </c>
      <c r="BN14" s="15" t="n">
        <v>29.360949</v>
      </c>
      <c r="BO14" s="15" t="n">
        <v>0</v>
      </c>
      <c r="BP14" s="15" t="n">
        <v>0</v>
      </c>
      <c r="BT14" s="15" t="n">
        <v>0</v>
      </c>
      <c r="BU14" s="15" t="n">
        <v>0</v>
      </c>
      <c r="BV14" s="15" t="n">
        <v>0</v>
      </c>
      <c r="BW14" s="15" t="n">
        <v>0</v>
      </c>
      <c r="BX14" s="15" t="n">
        <v>0</v>
      </c>
      <c r="BY14" s="20" t="n">
        <f aca="false">+O14</f>
        <v>175000</v>
      </c>
      <c r="BZ14" s="15" t="n">
        <v>0</v>
      </c>
      <c r="CA14" s="15" t="n">
        <v>0</v>
      </c>
      <c r="CC14" s="15" t="n">
        <v>0</v>
      </c>
      <c r="CD14" s="15" t="n">
        <v>0</v>
      </c>
      <c r="CE14" s="18" t="n">
        <v>40909</v>
      </c>
      <c r="CF14" s="15" t="n">
        <v>1</v>
      </c>
      <c r="CG14" s="15" t="n">
        <v>0</v>
      </c>
      <c r="CH14" s="15" t="n">
        <v>0</v>
      </c>
      <c r="CI14" s="15" t="n">
        <v>0</v>
      </c>
      <c r="CJ14" s="15" t="n">
        <v>0</v>
      </c>
      <c r="CK14" s="15" t="n">
        <v>1</v>
      </c>
      <c r="CL14" s="15" t="n">
        <v>1</v>
      </c>
      <c r="CM14" s="15" t="s">
        <v>176</v>
      </c>
      <c r="CO14" s="15" t="n">
        <v>31</v>
      </c>
      <c r="CP14" s="15" t="n">
        <v>0</v>
      </c>
      <c r="CQ14" s="15" t="s">
        <v>159</v>
      </c>
      <c r="CS14" s="15" t="n">
        <v>0</v>
      </c>
      <c r="CT14" s="15" t="n">
        <v>0</v>
      </c>
      <c r="CU14" s="15" t="n">
        <v>0</v>
      </c>
      <c r="DA14" s="15" t="s">
        <v>160</v>
      </c>
      <c r="DB14" s="15" t="n">
        <v>1000100100</v>
      </c>
      <c r="DC14" s="15" t="n">
        <v>0</v>
      </c>
      <c r="DE14" s="15" t="n">
        <v>14</v>
      </c>
      <c r="DF14" s="15" t="n">
        <v>21</v>
      </c>
      <c r="DG14" s="15" t="n">
        <v>19900.41</v>
      </c>
      <c r="DH14" s="11" t="s">
        <v>161</v>
      </c>
      <c r="DJ14" s="15" t="n">
        <v>0</v>
      </c>
      <c r="DL14" s="15" t="n">
        <f aca="false">+R14</f>
        <v>5.875</v>
      </c>
      <c r="DM14" s="15" t="n">
        <v>0</v>
      </c>
      <c r="DN14" s="15" t="n">
        <v>0</v>
      </c>
      <c r="DO14" s="15" t="n">
        <v>0</v>
      </c>
      <c r="DP14" s="15" t="n">
        <v>0</v>
      </c>
      <c r="DQ14" s="15" t="n">
        <v>0</v>
      </c>
      <c r="DR14" s="15" t="n">
        <v>100</v>
      </c>
      <c r="DT14" s="15" t="n">
        <v>5.875</v>
      </c>
      <c r="DU14" s="15" t="n">
        <v>0</v>
      </c>
      <c r="DV14" s="15" t="n">
        <v>0</v>
      </c>
      <c r="DW14" s="15" t="n">
        <v>0</v>
      </c>
      <c r="DX14" s="15" t="s">
        <v>162</v>
      </c>
      <c r="EG14" s="10"/>
      <c r="EH14" s="10" t="s">
        <v>262</v>
      </c>
      <c r="EI14" s="15" t="n">
        <v>34561</v>
      </c>
      <c r="EJ14" s="10" t="s">
        <v>196</v>
      </c>
      <c r="EK14" s="10" t="s">
        <v>259</v>
      </c>
      <c r="EL14" s="10" t="s">
        <v>168</v>
      </c>
      <c r="EM14" s="10" t="s">
        <v>260</v>
      </c>
    </row>
    <row collapsed="false" customFormat="true" customHeight="false" hidden="false" ht="14" outlineLevel="0" r="15" s="15">
      <c r="A15" s="15" t="s">
        <v>263</v>
      </c>
      <c r="B15" s="10" t="s">
        <v>264</v>
      </c>
      <c r="C15" s="10" t="s">
        <v>265</v>
      </c>
      <c r="H15" s="10" t="s">
        <v>266</v>
      </c>
      <c r="I15" s="10" t="s">
        <v>168</v>
      </c>
      <c r="J15" s="10" t="s">
        <v>267</v>
      </c>
      <c r="K15" s="11" t="s">
        <v>268</v>
      </c>
      <c r="L15" s="11" t="s">
        <v>269</v>
      </c>
      <c r="M15" s="15" t="n">
        <v>1</v>
      </c>
      <c r="N15" s="15" t="s">
        <v>150</v>
      </c>
      <c r="O15" s="12" t="n">
        <v>241800</v>
      </c>
      <c r="P15" s="12" t="n">
        <v>241800</v>
      </c>
      <c r="Q15" s="15" t="n">
        <v>1209</v>
      </c>
      <c r="R15" s="15" t="n">
        <v>4.375</v>
      </c>
      <c r="S15" s="13" t="n">
        <v>40896</v>
      </c>
      <c r="T15" s="13" t="n">
        <v>40896</v>
      </c>
      <c r="U15" s="18" t="n">
        <v>40940</v>
      </c>
      <c r="V15" s="18" t="n">
        <v>44593</v>
      </c>
      <c r="W15" s="19" t="n">
        <v>0</v>
      </c>
      <c r="X15" s="3" t="n">
        <v>14663</v>
      </c>
      <c r="Y15" s="19"/>
      <c r="Z15" s="15" t="n">
        <v>1</v>
      </c>
      <c r="AB15" s="15" t="s">
        <v>270</v>
      </c>
      <c r="AD15" s="10" t="s">
        <v>266</v>
      </c>
      <c r="AE15" s="10" t="s">
        <v>168</v>
      </c>
      <c r="AF15" s="10" t="s">
        <v>267</v>
      </c>
      <c r="AG15" s="11"/>
      <c r="AH15" s="11"/>
      <c r="AQ15" s="11"/>
      <c r="AT15" s="9" t="s">
        <v>152</v>
      </c>
      <c r="AU15" s="11" t="s">
        <v>153</v>
      </c>
      <c r="AV15" s="15" t="n">
        <v>100</v>
      </c>
      <c r="AW15" s="18" t="n">
        <v>40897</v>
      </c>
      <c r="AX15" s="18" t="n">
        <v>40927</v>
      </c>
      <c r="AZ15" s="15" t="s">
        <v>271</v>
      </c>
      <c r="BA15" s="1" t="n">
        <v>2</v>
      </c>
      <c r="BB15" s="15" t="n">
        <v>35.831</v>
      </c>
      <c r="BC15" s="15" t="n">
        <v>35.831</v>
      </c>
      <c r="BD15" s="15" t="n">
        <v>0</v>
      </c>
      <c r="BE15" s="15" t="n">
        <v>713</v>
      </c>
      <c r="BF15" s="15" t="n">
        <v>120</v>
      </c>
      <c r="BG15" s="15" t="n">
        <v>120</v>
      </c>
      <c r="BH15" s="15" t="s">
        <v>238</v>
      </c>
      <c r="BI15" s="15" t="n">
        <v>1</v>
      </c>
      <c r="BJ15" s="20" t="n">
        <f aca="false">+O15</f>
        <v>241800</v>
      </c>
      <c r="BK15" s="9" t="s">
        <v>272</v>
      </c>
      <c r="BL15" s="15" t="s">
        <v>157</v>
      </c>
      <c r="BM15" s="15" t="n">
        <v>1</v>
      </c>
      <c r="BN15" s="15" t="n">
        <v>46.50168</v>
      </c>
      <c r="BO15" s="15" t="n">
        <v>1</v>
      </c>
      <c r="BP15" s="15" t="n">
        <v>0</v>
      </c>
      <c r="BY15" s="20" t="n">
        <f aca="false">+O15</f>
        <v>241800</v>
      </c>
      <c r="BZ15" s="15" t="n">
        <v>0</v>
      </c>
      <c r="CA15" s="15" t="n">
        <v>0</v>
      </c>
      <c r="CC15" s="15" t="n">
        <v>0</v>
      </c>
      <c r="CD15" s="15" t="n">
        <v>0</v>
      </c>
      <c r="CE15" s="18" t="n">
        <v>40909</v>
      </c>
      <c r="CF15" s="15" t="n">
        <v>1</v>
      </c>
      <c r="CG15" s="15" t="n">
        <v>0</v>
      </c>
      <c r="CH15" s="15" t="n">
        <v>0</v>
      </c>
      <c r="CI15" s="15" t="n">
        <v>0</v>
      </c>
      <c r="CJ15" s="15" t="n">
        <v>0</v>
      </c>
      <c r="CK15" s="15" t="n">
        <v>1</v>
      </c>
      <c r="CL15" s="15" t="n">
        <v>1</v>
      </c>
      <c r="CM15" s="15" t="s">
        <v>176</v>
      </c>
      <c r="CO15" s="15" t="n">
        <v>43</v>
      </c>
      <c r="CQ15" s="15" t="s">
        <v>159</v>
      </c>
      <c r="CS15" s="15" t="n">
        <v>0</v>
      </c>
      <c r="CT15" s="15" t="n">
        <v>0</v>
      </c>
      <c r="CU15" s="15" t="n">
        <v>0</v>
      </c>
      <c r="DA15" s="15" t="s">
        <v>160</v>
      </c>
      <c r="DB15" s="15" t="n">
        <v>1000100100</v>
      </c>
      <c r="DC15" s="15" t="n">
        <v>0</v>
      </c>
      <c r="DE15" s="15" t="n">
        <v>2</v>
      </c>
      <c r="DF15" s="15" t="n">
        <v>15</v>
      </c>
      <c r="DG15" s="15" t="n">
        <v>20808.22</v>
      </c>
      <c r="DH15" s="11" t="s">
        <v>161</v>
      </c>
      <c r="DJ15" s="15" t="n">
        <v>0</v>
      </c>
      <c r="DL15" s="15" t="n">
        <f aca="false">+R15</f>
        <v>4.375</v>
      </c>
      <c r="DQ15" s="15" t="n">
        <v>0</v>
      </c>
      <c r="DR15" s="15" t="n">
        <v>100</v>
      </c>
      <c r="DU15" s="15" t="n">
        <v>0</v>
      </c>
      <c r="DV15" s="15" t="n">
        <v>0</v>
      </c>
      <c r="DW15" s="15" t="n">
        <v>0</v>
      </c>
      <c r="DX15" s="15" t="s">
        <v>162</v>
      </c>
      <c r="EG15" s="10"/>
      <c r="EH15" s="10" t="s">
        <v>273</v>
      </c>
      <c r="EI15" s="15" t="n">
        <v>65431</v>
      </c>
      <c r="EJ15" s="10" t="s">
        <v>274</v>
      </c>
      <c r="EK15" s="10" t="s">
        <v>266</v>
      </c>
      <c r="EL15" s="10" t="s">
        <v>168</v>
      </c>
      <c r="EM15" s="10" t="s">
        <v>267</v>
      </c>
    </row>
    <row collapsed="false" customFormat="true" customHeight="false" hidden="false" ht="14.9" outlineLevel="0" r="16" s="15">
      <c r="A16" s="15" t="s">
        <v>263</v>
      </c>
      <c r="B16" s="10" t="s">
        <v>275</v>
      </c>
      <c r="C16" s="10" t="s">
        <v>276</v>
      </c>
      <c r="H16" s="10" t="s">
        <v>277</v>
      </c>
      <c r="I16" s="10" t="s">
        <v>168</v>
      </c>
      <c r="J16" s="10" t="s">
        <v>278</v>
      </c>
      <c r="K16" s="11" t="s">
        <v>279</v>
      </c>
      <c r="L16" s="11" t="s">
        <v>280</v>
      </c>
      <c r="M16" s="15" t="n">
        <v>1</v>
      </c>
      <c r="N16" s="15" t="s">
        <v>172</v>
      </c>
      <c r="O16" s="12" t="n">
        <v>290000</v>
      </c>
      <c r="P16" s="12" t="n">
        <v>290000</v>
      </c>
      <c r="Q16" s="15" t="n">
        <v>1450</v>
      </c>
      <c r="R16" s="15" t="n">
        <v>4.25</v>
      </c>
      <c r="S16" s="13" t="n">
        <v>40896</v>
      </c>
      <c r="T16" s="13" t="n">
        <v>40896</v>
      </c>
      <c r="U16" s="18" t="n">
        <v>40940</v>
      </c>
      <c r="V16" s="18" t="n">
        <v>46419</v>
      </c>
      <c r="W16" s="19" t="n">
        <v>0</v>
      </c>
      <c r="X16" s="3" t="n">
        <v>112732</v>
      </c>
      <c r="Y16" s="19"/>
      <c r="Z16" s="15" t="n">
        <v>1</v>
      </c>
      <c r="AB16" s="15" t="s">
        <v>270</v>
      </c>
      <c r="AD16" s="10" t="s">
        <v>277</v>
      </c>
      <c r="AE16" s="10" t="s">
        <v>168</v>
      </c>
      <c r="AF16" s="10" t="s">
        <v>278</v>
      </c>
      <c r="AG16" s="11"/>
      <c r="AH16" s="11"/>
      <c r="AQ16" s="11"/>
      <c r="AT16" s="9" t="s">
        <v>152</v>
      </c>
      <c r="AU16" s="11" t="s">
        <v>153</v>
      </c>
      <c r="AV16" s="15" t="n">
        <v>100</v>
      </c>
      <c r="AW16" s="18" t="n">
        <v>40897</v>
      </c>
      <c r="AX16" s="18" t="n">
        <v>40927</v>
      </c>
      <c r="AZ16" s="15" t="s">
        <v>154</v>
      </c>
      <c r="BA16" s="1" t="n">
        <v>1</v>
      </c>
      <c r="BB16" s="15" t="n">
        <v>45.833</v>
      </c>
      <c r="BC16" s="15" t="n">
        <v>45.833</v>
      </c>
      <c r="BD16" s="15" t="n">
        <v>0</v>
      </c>
      <c r="BE16" s="15" t="n">
        <v>745</v>
      </c>
      <c r="BF16" s="9" t="n">
        <f aca="false">15*12</f>
        <v>180</v>
      </c>
      <c r="BG16" s="15" t="n">
        <v>180</v>
      </c>
      <c r="BH16" s="15" t="s">
        <v>238</v>
      </c>
      <c r="BI16" s="15" t="n">
        <v>1</v>
      </c>
      <c r="BJ16" s="20" t="n">
        <f aca="false">+O16</f>
        <v>290000</v>
      </c>
      <c r="BK16" s="9" t="s">
        <v>272</v>
      </c>
      <c r="BL16" s="15" t="s">
        <v>157</v>
      </c>
      <c r="BM16" s="15" t="n">
        <v>1</v>
      </c>
      <c r="BN16" s="15" t="n">
        <v>26.098349</v>
      </c>
      <c r="BO16" s="15" t="n">
        <v>1</v>
      </c>
      <c r="BP16" s="15" t="n">
        <v>0</v>
      </c>
      <c r="BY16" s="20" t="n">
        <f aca="false">+O16</f>
        <v>290000</v>
      </c>
      <c r="BZ16" s="15" t="n">
        <v>0</v>
      </c>
      <c r="CA16" s="15" t="n">
        <v>0</v>
      </c>
      <c r="CC16" s="15" t="n">
        <v>0</v>
      </c>
      <c r="CD16" s="15" t="n">
        <v>0</v>
      </c>
      <c r="CE16" s="18" t="n">
        <v>40909</v>
      </c>
      <c r="CF16" s="15" t="n">
        <v>1</v>
      </c>
      <c r="CG16" s="15" t="n">
        <v>0</v>
      </c>
      <c r="CH16" s="15" t="n">
        <v>0</v>
      </c>
      <c r="CI16" s="15" t="n">
        <v>0</v>
      </c>
      <c r="CJ16" s="15" t="n">
        <v>0</v>
      </c>
      <c r="CK16" s="15" t="n">
        <v>1</v>
      </c>
      <c r="CL16" s="15" t="n">
        <v>1</v>
      </c>
      <c r="CM16" s="15" t="s">
        <v>176</v>
      </c>
      <c r="CO16" s="15" t="n">
        <v>66</v>
      </c>
      <c r="CQ16" s="15" t="s">
        <v>159</v>
      </c>
      <c r="CS16" s="15" t="n">
        <v>0</v>
      </c>
      <c r="CT16" s="15" t="n">
        <v>0</v>
      </c>
      <c r="CU16" s="15" t="n">
        <v>0</v>
      </c>
      <c r="DA16" s="15" t="s">
        <v>160</v>
      </c>
      <c r="DB16" s="15" t="n">
        <v>1000100100</v>
      </c>
      <c r="DC16" s="15" t="n">
        <v>0</v>
      </c>
      <c r="DE16" s="15" t="n">
        <v>6</v>
      </c>
      <c r="DF16" s="15" t="n">
        <v>2</v>
      </c>
      <c r="DG16" s="15" t="n">
        <v>2641.44</v>
      </c>
      <c r="DH16" s="11" t="s">
        <v>161</v>
      </c>
      <c r="DJ16" s="15" t="n">
        <v>0</v>
      </c>
      <c r="DL16" s="15" t="n">
        <f aca="false">+R16</f>
        <v>4.25</v>
      </c>
      <c r="DQ16" s="15" t="n">
        <v>0</v>
      </c>
      <c r="DR16" s="15" t="n">
        <v>100</v>
      </c>
      <c r="DU16" s="15" t="n">
        <v>0</v>
      </c>
      <c r="DV16" s="15" t="n">
        <v>0</v>
      </c>
      <c r="DW16" s="15" t="n">
        <v>0</v>
      </c>
      <c r="DX16" s="15" t="s">
        <v>162</v>
      </c>
      <c r="EH16" s="10" t="s">
        <v>281</v>
      </c>
      <c r="EI16" s="15" t="n">
        <v>554646</v>
      </c>
      <c r="EJ16" s="10" t="s">
        <v>282</v>
      </c>
      <c r="EK16" s="10" t="s">
        <v>277</v>
      </c>
      <c r="EL16" s="10" t="s">
        <v>168</v>
      </c>
      <c r="EM16" s="10" t="s">
        <v>278</v>
      </c>
    </row>
    <row collapsed="false" customFormat="true" customHeight="false" hidden="false" ht="14.9" outlineLevel="0" r="17" s="15">
      <c r="A17" s="15" t="s">
        <v>263</v>
      </c>
      <c r="B17" s="10" t="s">
        <v>283</v>
      </c>
      <c r="C17" s="10" t="s">
        <v>284</v>
      </c>
      <c r="H17" s="10" t="s">
        <v>285</v>
      </c>
      <c r="I17" s="10" t="s">
        <v>168</v>
      </c>
      <c r="J17" s="10" t="s">
        <v>286</v>
      </c>
      <c r="K17" s="11" t="s">
        <v>287</v>
      </c>
      <c r="L17" s="11" t="s">
        <v>288</v>
      </c>
      <c r="M17" s="15" t="n">
        <v>1</v>
      </c>
      <c r="N17" s="15" t="s">
        <v>185</v>
      </c>
      <c r="O17" s="12" t="n">
        <v>292575</v>
      </c>
      <c r="P17" s="12" t="n">
        <v>292575</v>
      </c>
      <c r="Q17" s="15" t="n">
        <v>1462.875</v>
      </c>
      <c r="R17" s="15" t="n">
        <v>4.99</v>
      </c>
      <c r="S17" s="13" t="n">
        <v>40896</v>
      </c>
      <c r="T17" s="13" t="n">
        <v>40896</v>
      </c>
      <c r="U17" s="18" t="n">
        <v>40940</v>
      </c>
      <c r="V17" s="18" t="n">
        <v>48245</v>
      </c>
      <c r="W17" s="19" t="n">
        <v>0</v>
      </c>
      <c r="X17" s="3" t="n">
        <v>120827</v>
      </c>
      <c r="Y17" s="19"/>
      <c r="Z17" s="15" t="n">
        <v>1</v>
      </c>
      <c r="AB17" s="15" t="s">
        <v>270</v>
      </c>
      <c r="AD17" s="10" t="s">
        <v>285</v>
      </c>
      <c r="AE17" s="10" t="s">
        <v>168</v>
      </c>
      <c r="AF17" s="10" t="s">
        <v>286</v>
      </c>
      <c r="AG17" s="11"/>
      <c r="AH17" s="11"/>
      <c r="AQ17" s="11"/>
      <c r="AT17" s="9" t="s">
        <v>152</v>
      </c>
      <c r="AU17" s="11" t="s">
        <v>153</v>
      </c>
      <c r="AV17" s="15" t="n">
        <v>100</v>
      </c>
      <c r="AW17" s="18" t="n">
        <v>40897</v>
      </c>
      <c r="AX17" s="18" t="n">
        <v>40927</v>
      </c>
      <c r="AZ17" s="15" t="s">
        <v>154</v>
      </c>
      <c r="BA17" s="1" t="n">
        <v>2</v>
      </c>
      <c r="BB17" s="15" t="n">
        <v>89.209</v>
      </c>
      <c r="BC17" s="15" t="n">
        <v>89.209</v>
      </c>
      <c r="BD17" s="15" t="n">
        <v>0</v>
      </c>
      <c r="BE17" s="15" t="n">
        <v>735</v>
      </c>
      <c r="BF17" s="15" t="n">
        <v>240</v>
      </c>
      <c r="BG17" s="15" t="n">
        <v>240</v>
      </c>
      <c r="BH17" s="15" t="s">
        <v>238</v>
      </c>
      <c r="BI17" s="15" t="n">
        <v>1</v>
      </c>
      <c r="BJ17" s="20" t="n">
        <f aca="false">+O17</f>
        <v>292575</v>
      </c>
      <c r="BK17" s="9" t="s">
        <v>272</v>
      </c>
      <c r="BL17" s="15" t="s">
        <v>174</v>
      </c>
      <c r="BM17" s="15" t="n">
        <v>1</v>
      </c>
      <c r="BN17" s="15" t="n">
        <v>33.272985</v>
      </c>
      <c r="BO17" s="15" t="n">
        <v>1</v>
      </c>
      <c r="BP17" s="15" t="n">
        <v>0</v>
      </c>
      <c r="BY17" s="20" t="n">
        <f aca="false">+O17</f>
        <v>292575</v>
      </c>
      <c r="BZ17" s="15" t="n">
        <v>0</v>
      </c>
      <c r="CA17" s="15" t="n">
        <v>0</v>
      </c>
      <c r="CC17" s="15" t="n">
        <v>0</v>
      </c>
      <c r="CD17" s="15" t="n">
        <v>0</v>
      </c>
      <c r="CE17" s="18" t="n">
        <v>40909</v>
      </c>
      <c r="CF17" s="15" t="n">
        <v>1</v>
      </c>
      <c r="CG17" s="15" t="n">
        <v>0</v>
      </c>
      <c r="CH17" s="15" t="n">
        <v>0</v>
      </c>
      <c r="CI17" s="15" t="n">
        <v>0</v>
      </c>
      <c r="CJ17" s="15" t="n">
        <v>0</v>
      </c>
      <c r="CK17" s="15" t="n">
        <v>1</v>
      </c>
      <c r="CL17" s="15" t="n">
        <v>1</v>
      </c>
      <c r="CM17" s="15" t="s">
        <v>176</v>
      </c>
      <c r="CO17" s="15" t="n">
        <v>49</v>
      </c>
      <c r="CQ17" s="15" t="s">
        <v>159</v>
      </c>
      <c r="CS17" s="15" t="n">
        <v>0</v>
      </c>
      <c r="CT17" s="15" t="n">
        <v>0</v>
      </c>
      <c r="CU17" s="15" t="n">
        <v>0</v>
      </c>
      <c r="DA17" s="15" t="s">
        <v>160</v>
      </c>
      <c r="DB17" s="15" t="n">
        <v>1000100100</v>
      </c>
      <c r="DC17" s="15" t="n">
        <v>0</v>
      </c>
      <c r="DE17" s="15" t="n">
        <v>7</v>
      </c>
      <c r="DF17" s="15" t="n">
        <v>15</v>
      </c>
      <c r="DG17" s="15" t="n">
        <v>35251.64</v>
      </c>
      <c r="DH17" s="11" t="s">
        <v>161</v>
      </c>
      <c r="DJ17" s="15" t="n">
        <v>0</v>
      </c>
      <c r="DL17" s="15" t="n">
        <f aca="false">+R17</f>
        <v>4.99</v>
      </c>
      <c r="DQ17" s="15" t="n">
        <v>0</v>
      </c>
      <c r="DR17" s="15" t="n">
        <v>100</v>
      </c>
      <c r="DU17" s="15" t="n">
        <v>0</v>
      </c>
      <c r="DV17" s="15" t="n">
        <v>0</v>
      </c>
      <c r="DW17" s="15" t="n">
        <v>0</v>
      </c>
      <c r="DX17" s="15" t="s">
        <v>162</v>
      </c>
      <c r="EH17" s="10" t="s">
        <v>289</v>
      </c>
      <c r="EI17" s="15" t="n">
        <v>66545</v>
      </c>
      <c r="EJ17" s="10" t="s">
        <v>290</v>
      </c>
      <c r="EK17" s="10" t="s">
        <v>285</v>
      </c>
      <c r="EL17" s="10" t="s">
        <v>168</v>
      </c>
      <c r="EM17" s="10" t="s">
        <v>286</v>
      </c>
    </row>
    <row collapsed="false" customFormat="true" customHeight="false" hidden="false" ht="14.9" outlineLevel="0" r="18" s="15">
      <c r="A18" s="15" t="s">
        <v>263</v>
      </c>
      <c r="B18" s="10" t="s">
        <v>291</v>
      </c>
      <c r="C18" s="10" t="s">
        <v>292</v>
      </c>
      <c r="H18" s="10" t="s">
        <v>293</v>
      </c>
      <c r="I18" s="10" t="s">
        <v>200</v>
      </c>
      <c r="J18" s="10" t="s">
        <v>294</v>
      </c>
      <c r="K18" s="11" t="s">
        <v>295</v>
      </c>
      <c r="M18" s="15" t="n">
        <v>1</v>
      </c>
      <c r="N18" s="15" t="s">
        <v>194</v>
      </c>
      <c r="O18" s="12" t="n">
        <v>188000</v>
      </c>
      <c r="P18" s="12" t="n">
        <v>188000</v>
      </c>
      <c r="Q18" s="15" t="n">
        <v>940</v>
      </c>
      <c r="R18" s="15" t="n">
        <v>4.99</v>
      </c>
      <c r="S18" s="13" t="n">
        <v>40896</v>
      </c>
      <c r="T18" s="13" t="n">
        <v>40896</v>
      </c>
      <c r="U18" s="18" t="n">
        <v>40940</v>
      </c>
      <c r="V18" s="18" t="n">
        <v>50072</v>
      </c>
      <c r="W18" s="19" t="n">
        <v>0</v>
      </c>
      <c r="X18" s="3" t="n">
        <v>159434</v>
      </c>
      <c r="Y18" s="19"/>
      <c r="Z18" s="15" t="n">
        <v>1</v>
      </c>
      <c r="AB18" s="15" t="s">
        <v>270</v>
      </c>
      <c r="AD18" s="10" t="s">
        <v>293</v>
      </c>
      <c r="AE18" s="10" t="s">
        <v>200</v>
      </c>
      <c r="AF18" s="10" t="s">
        <v>294</v>
      </c>
      <c r="AG18" s="11"/>
      <c r="AH18" s="11"/>
      <c r="AQ18" s="11"/>
      <c r="AT18" s="9" t="s">
        <v>152</v>
      </c>
      <c r="AU18" s="11" t="s">
        <v>153</v>
      </c>
      <c r="AV18" s="15" t="n">
        <v>100</v>
      </c>
      <c r="AW18" s="18" t="n">
        <v>40897</v>
      </c>
      <c r="AX18" s="18" t="n">
        <v>40927</v>
      </c>
      <c r="AZ18" s="15" t="s">
        <v>154</v>
      </c>
      <c r="BA18" s="1" t="n">
        <v>2</v>
      </c>
      <c r="BB18" s="15" t="n">
        <v>81.698</v>
      </c>
      <c r="BC18" s="15" t="n">
        <v>81.698</v>
      </c>
      <c r="BD18" s="15" t="n">
        <v>0</v>
      </c>
      <c r="BE18" s="15" t="n">
        <v>773</v>
      </c>
      <c r="BF18" s="15" t="n">
        <v>300</v>
      </c>
      <c r="BG18" s="15" t="n">
        <v>300</v>
      </c>
      <c r="BH18" s="15" t="s">
        <v>238</v>
      </c>
      <c r="BI18" s="15" t="n">
        <v>1</v>
      </c>
      <c r="BJ18" s="20" t="n">
        <f aca="false">+O18</f>
        <v>188000</v>
      </c>
      <c r="BK18" s="9" t="s">
        <v>272</v>
      </c>
      <c r="BL18" s="15" t="s">
        <v>157</v>
      </c>
      <c r="BM18" s="15" t="n">
        <v>1</v>
      </c>
      <c r="BN18" s="15" t="n">
        <v>20.801104</v>
      </c>
      <c r="BO18" s="15" t="n">
        <v>1</v>
      </c>
      <c r="BP18" s="15" t="n">
        <v>0</v>
      </c>
      <c r="BY18" s="20" t="n">
        <f aca="false">+O18</f>
        <v>188000</v>
      </c>
      <c r="BZ18" s="15" t="n">
        <v>0</v>
      </c>
      <c r="CA18" s="15" t="n">
        <v>0</v>
      </c>
      <c r="CC18" s="15" t="n">
        <v>0</v>
      </c>
      <c r="CD18" s="15" t="n">
        <v>0</v>
      </c>
      <c r="CE18" s="18" t="n">
        <v>40909</v>
      </c>
      <c r="CF18" s="15" t="n">
        <v>1</v>
      </c>
      <c r="CG18" s="15" t="n">
        <v>0</v>
      </c>
      <c r="CH18" s="15" t="n">
        <v>0</v>
      </c>
      <c r="CI18" s="15" t="n">
        <v>0</v>
      </c>
      <c r="CJ18" s="15" t="n">
        <v>0</v>
      </c>
      <c r="CK18" s="15" t="n">
        <v>1</v>
      </c>
      <c r="CL18" s="15" t="n">
        <v>1</v>
      </c>
      <c r="CM18" s="15" t="s">
        <v>176</v>
      </c>
      <c r="CO18" s="15" t="n">
        <v>45</v>
      </c>
      <c r="CQ18" s="15" t="s">
        <v>159</v>
      </c>
      <c r="CS18" s="15" t="n">
        <v>0</v>
      </c>
      <c r="CT18" s="15" t="n">
        <v>0</v>
      </c>
      <c r="CU18" s="15" t="n">
        <v>0</v>
      </c>
      <c r="DA18" s="15" t="s">
        <v>160</v>
      </c>
      <c r="DB18" s="15" t="n">
        <v>1000100100</v>
      </c>
      <c r="DC18" s="15" t="n">
        <v>0</v>
      </c>
      <c r="DE18" s="15" t="n">
        <v>4</v>
      </c>
      <c r="DF18" s="15" t="n">
        <v>0</v>
      </c>
      <c r="DG18" s="15" t="n">
        <v>196.04</v>
      </c>
      <c r="DH18" s="11" t="s">
        <v>161</v>
      </c>
      <c r="DJ18" s="15" t="n">
        <v>0</v>
      </c>
      <c r="DL18" s="15" t="n">
        <f aca="false">+R18</f>
        <v>4.99</v>
      </c>
      <c r="DQ18" s="15" t="n">
        <v>0</v>
      </c>
      <c r="DR18" s="15" t="n">
        <v>100</v>
      </c>
      <c r="DU18" s="15" t="n">
        <v>0</v>
      </c>
      <c r="DV18" s="15" t="n">
        <v>0</v>
      </c>
      <c r="DW18" s="15" t="n">
        <v>0</v>
      </c>
      <c r="DX18" s="15" t="s">
        <v>162</v>
      </c>
      <c r="EH18" s="10" t="s">
        <v>296</v>
      </c>
      <c r="EI18" s="15" t="n">
        <v>7516</v>
      </c>
      <c r="EJ18" s="10" t="s">
        <v>297</v>
      </c>
      <c r="EK18" s="10" t="s">
        <v>293</v>
      </c>
      <c r="EL18" s="10" t="s">
        <v>200</v>
      </c>
      <c r="EM18" s="10" t="s">
        <v>294</v>
      </c>
    </row>
    <row collapsed="false" customFormat="true" customHeight="false" hidden="false" ht="14" outlineLevel="0" r="19" s="15">
      <c r="A19" s="15" t="s">
        <v>263</v>
      </c>
      <c r="B19" s="10" t="s">
        <v>298</v>
      </c>
      <c r="C19" s="10" t="s">
        <v>299</v>
      </c>
      <c r="H19" s="10" t="s">
        <v>300</v>
      </c>
      <c r="I19" s="10" t="s">
        <v>168</v>
      </c>
      <c r="J19" s="10" t="s">
        <v>301</v>
      </c>
      <c r="K19" s="11" t="s">
        <v>269</v>
      </c>
      <c r="L19" s="11" t="s">
        <v>302</v>
      </c>
      <c r="M19" s="15" t="n">
        <v>1</v>
      </c>
      <c r="N19" s="15" t="s">
        <v>204</v>
      </c>
      <c r="O19" s="12" t="n">
        <v>258300</v>
      </c>
      <c r="P19" s="12" t="n">
        <v>258300</v>
      </c>
      <c r="Q19" s="15" t="n">
        <v>1291.5</v>
      </c>
      <c r="R19" s="15" t="n">
        <v>5.875</v>
      </c>
      <c r="S19" s="13" t="n">
        <v>40896</v>
      </c>
      <c r="T19" s="13" t="n">
        <v>40896</v>
      </c>
      <c r="U19" s="18" t="n">
        <v>40940</v>
      </c>
      <c r="V19" s="18" t="n">
        <v>51898</v>
      </c>
      <c r="W19" s="19" t="n">
        <v>0</v>
      </c>
      <c r="X19" s="3" t="n">
        <v>162268</v>
      </c>
      <c r="Y19" s="19"/>
      <c r="Z19" s="15" t="n">
        <v>1</v>
      </c>
      <c r="AB19" s="15" t="s">
        <v>270</v>
      </c>
      <c r="AD19" s="10" t="s">
        <v>300</v>
      </c>
      <c r="AE19" s="10" t="s">
        <v>168</v>
      </c>
      <c r="AF19" s="10" t="s">
        <v>301</v>
      </c>
      <c r="AG19" s="11"/>
      <c r="AH19" s="11"/>
      <c r="AQ19" s="11"/>
      <c r="AT19" s="9" t="s">
        <v>236</v>
      </c>
      <c r="AU19" s="11" t="s">
        <v>237</v>
      </c>
      <c r="AV19" s="15" t="n">
        <v>100</v>
      </c>
      <c r="AW19" s="18" t="n">
        <v>40897</v>
      </c>
      <c r="AX19" s="18" t="n">
        <v>40927</v>
      </c>
      <c r="AZ19" s="15" t="s">
        <v>154</v>
      </c>
      <c r="BA19" s="1" t="n">
        <v>2</v>
      </c>
      <c r="BB19" s="15" t="n">
        <v>19.776</v>
      </c>
      <c r="BC19" s="15" t="n">
        <v>19.776</v>
      </c>
      <c r="BD19" s="15" t="n">
        <v>0</v>
      </c>
      <c r="BE19" s="15" t="n">
        <v>752</v>
      </c>
      <c r="BF19" s="15" t="n">
        <v>360</v>
      </c>
      <c r="BG19" s="15" t="n">
        <v>360</v>
      </c>
      <c r="BH19" s="15" t="s">
        <v>238</v>
      </c>
      <c r="BI19" s="15" t="n">
        <v>1</v>
      </c>
      <c r="BJ19" s="20" t="n">
        <f aca="false">+O19</f>
        <v>258300</v>
      </c>
      <c r="BK19" s="9" t="s">
        <v>272</v>
      </c>
      <c r="BL19" s="15" t="s">
        <v>157</v>
      </c>
      <c r="BM19" s="15" t="n">
        <v>1</v>
      </c>
      <c r="BN19" s="15" t="n">
        <v>25.643788</v>
      </c>
      <c r="BO19" s="15" t="n">
        <v>1</v>
      </c>
      <c r="BP19" s="15" t="n">
        <v>0</v>
      </c>
      <c r="BY19" s="20" t="n">
        <f aca="false">+O19</f>
        <v>258300</v>
      </c>
      <c r="BZ19" s="15" t="n">
        <v>0</v>
      </c>
      <c r="CA19" s="15" t="n">
        <v>0</v>
      </c>
      <c r="CC19" s="15" t="n">
        <v>0</v>
      </c>
      <c r="CD19" s="15" t="n">
        <v>0</v>
      </c>
      <c r="CE19" s="18" t="n">
        <v>40909</v>
      </c>
      <c r="CF19" s="15" t="n">
        <v>1</v>
      </c>
      <c r="CG19" s="15" t="n">
        <v>0</v>
      </c>
      <c r="CH19" s="15" t="n">
        <v>0</v>
      </c>
      <c r="CI19" s="15" t="n">
        <v>0</v>
      </c>
      <c r="CJ19" s="15" t="n">
        <v>0</v>
      </c>
      <c r="CK19" s="15" t="n">
        <v>1</v>
      </c>
      <c r="CL19" s="15" t="n">
        <v>1</v>
      </c>
      <c r="CM19" s="15" t="s">
        <v>176</v>
      </c>
      <c r="CO19" s="15" t="n">
        <v>46</v>
      </c>
      <c r="CQ19" s="15" t="s">
        <v>159</v>
      </c>
      <c r="CS19" s="15" t="n">
        <v>0</v>
      </c>
      <c r="CT19" s="15" t="n">
        <v>0</v>
      </c>
      <c r="CU19" s="15" t="n">
        <v>0</v>
      </c>
      <c r="DA19" s="15" t="s">
        <v>160</v>
      </c>
      <c r="DB19" s="15" t="n">
        <v>1000100100</v>
      </c>
      <c r="DC19" s="15" t="n">
        <v>0</v>
      </c>
      <c r="DE19" s="15" t="n">
        <v>4</v>
      </c>
      <c r="DF19" s="15" t="n">
        <v>87</v>
      </c>
      <c r="DG19" s="15" t="n">
        <v>148993.24</v>
      </c>
      <c r="DH19" s="11" t="s">
        <v>161</v>
      </c>
      <c r="DJ19" s="15" t="n">
        <v>0</v>
      </c>
      <c r="DL19" s="15" t="n">
        <f aca="false">+R19</f>
        <v>5.875</v>
      </c>
      <c r="DQ19" s="15" t="n">
        <v>0</v>
      </c>
      <c r="DR19" s="15" t="n">
        <v>100</v>
      </c>
      <c r="DU19" s="15" t="n">
        <v>0</v>
      </c>
      <c r="DV19" s="15" t="n">
        <v>0</v>
      </c>
      <c r="DW19" s="15" t="n">
        <v>0</v>
      </c>
      <c r="DX19" s="15" t="s">
        <v>162</v>
      </c>
      <c r="EH19" s="10" t="s">
        <v>196</v>
      </c>
      <c r="EI19" s="15" t="n">
        <v>32158</v>
      </c>
      <c r="EJ19" s="10" t="s">
        <v>179</v>
      </c>
      <c r="EK19" s="10" t="s">
        <v>300</v>
      </c>
      <c r="EL19" s="10" t="s">
        <v>168</v>
      </c>
      <c r="EM19" s="10" t="s">
        <v>301</v>
      </c>
    </row>
    <row collapsed="false" customFormat="true" customHeight="false" hidden="false" ht="14.9" outlineLevel="0" r="20" s="15">
      <c r="A20" s="15" t="s">
        <v>263</v>
      </c>
      <c r="B20" s="10" t="s">
        <v>303</v>
      </c>
      <c r="C20" s="10" t="s">
        <v>304</v>
      </c>
      <c r="H20" s="10" t="s">
        <v>305</v>
      </c>
      <c r="I20" s="10" t="s">
        <v>168</v>
      </c>
      <c r="J20" s="10" t="s">
        <v>306</v>
      </c>
      <c r="K20" s="11" t="s">
        <v>280</v>
      </c>
      <c r="L20" s="11" t="s">
        <v>307</v>
      </c>
      <c r="M20" s="15" t="n">
        <v>1</v>
      </c>
      <c r="N20" s="15" t="s">
        <v>211</v>
      </c>
      <c r="O20" s="12" t="n">
        <v>250000</v>
      </c>
      <c r="P20" s="12" t="n">
        <v>250000</v>
      </c>
      <c r="Q20" s="15" t="n">
        <v>1250</v>
      </c>
      <c r="R20" s="15" t="n">
        <v>3.5</v>
      </c>
      <c r="S20" s="13" t="n">
        <v>40896</v>
      </c>
      <c r="T20" s="13" t="n">
        <v>40896</v>
      </c>
      <c r="U20" s="18" t="n">
        <v>40940</v>
      </c>
      <c r="V20" s="18" t="n">
        <v>51898</v>
      </c>
      <c r="W20" s="19" t="n">
        <v>0</v>
      </c>
      <c r="X20" s="3" t="n">
        <v>206844</v>
      </c>
      <c r="Y20" s="19"/>
      <c r="Z20" s="15" t="n">
        <v>1</v>
      </c>
      <c r="AB20" s="15" t="s">
        <v>270</v>
      </c>
      <c r="AD20" s="10" t="s">
        <v>305</v>
      </c>
      <c r="AE20" s="10" t="s">
        <v>168</v>
      </c>
      <c r="AF20" s="10" t="s">
        <v>306</v>
      </c>
      <c r="AG20" s="11"/>
      <c r="AH20" s="11"/>
      <c r="AQ20" s="11"/>
      <c r="AT20" s="9" t="s">
        <v>236</v>
      </c>
      <c r="AU20" s="11" t="s">
        <v>237</v>
      </c>
      <c r="AV20" s="15" t="n">
        <v>100</v>
      </c>
      <c r="AW20" s="18" t="n">
        <v>40897</v>
      </c>
      <c r="AX20" s="18" t="n">
        <v>40927</v>
      </c>
      <c r="AZ20" s="15" t="s">
        <v>154</v>
      </c>
      <c r="BA20" s="1" t="n">
        <v>2</v>
      </c>
      <c r="BB20" s="15" t="n">
        <v>81.698</v>
      </c>
      <c r="BC20" s="15" t="n">
        <v>81.698</v>
      </c>
      <c r="BD20" s="15" t="n">
        <v>0</v>
      </c>
      <c r="BE20" s="15" t="n">
        <v>658</v>
      </c>
      <c r="BF20" s="15" t="n">
        <v>360</v>
      </c>
      <c r="BG20" s="15" t="n">
        <v>360</v>
      </c>
      <c r="BH20" s="15" t="s">
        <v>238</v>
      </c>
      <c r="BI20" s="15" t="n">
        <v>1</v>
      </c>
      <c r="BJ20" s="20" t="n">
        <f aca="false">+O20</f>
        <v>250000</v>
      </c>
      <c r="BK20" s="9" t="s">
        <v>272</v>
      </c>
      <c r="BL20" s="15" t="s">
        <v>157</v>
      </c>
      <c r="BM20" s="15" t="n">
        <v>1</v>
      </c>
      <c r="BN20" s="15" t="n">
        <v>33.156344</v>
      </c>
      <c r="BO20" s="15" t="n">
        <v>1</v>
      </c>
      <c r="BP20" s="15" t="n">
        <v>0</v>
      </c>
      <c r="BY20" s="20" t="n">
        <f aca="false">+O20</f>
        <v>250000</v>
      </c>
      <c r="BZ20" s="15" t="n">
        <v>0</v>
      </c>
      <c r="CA20" s="15" t="n">
        <v>0</v>
      </c>
      <c r="CC20" s="15" t="n">
        <v>0</v>
      </c>
      <c r="CD20" s="15" t="n">
        <v>0</v>
      </c>
      <c r="CE20" s="18" t="n">
        <v>40909</v>
      </c>
      <c r="CF20" s="15" t="n">
        <v>1</v>
      </c>
      <c r="CG20" s="15" t="n">
        <v>0</v>
      </c>
      <c r="CH20" s="15" t="n">
        <v>0</v>
      </c>
      <c r="CI20" s="15" t="n">
        <v>0</v>
      </c>
      <c r="CJ20" s="15" t="n">
        <v>0</v>
      </c>
      <c r="CK20" s="15" t="n">
        <v>1</v>
      </c>
      <c r="CL20" s="15" t="n">
        <v>1</v>
      </c>
      <c r="CM20" s="15" t="s">
        <v>176</v>
      </c>
      <c r="CO20" s="15" t="n">
        <v>64</v>
      </c>
      <c r="CQ20" s="15" t="s">
        <v>159</v>
      </c>
      <c r="CS20" s="15" t="n">
        <v>0</v>
      </c>
      <c r="CT20" s="15" t="n">
        <v>0</v>
      </c>
      <c r="CU20" s="15" t="n">
        <v>0</v>
      </c>
      <c r="DA20" s="15" t="s">
        <v>160</v>
      </c>
      <c r="DB20" s="15" t="n">
        <v>1000100100</v>
      </c>
      <c r="DC20" s="15" t="n">
        <v>0</v>
      </c>
      <c r="DE20" s="15" t="n">
        <v>8</v>
      </c>
      <c r="DF20" s="15" t="n">
        <v>0</v>
      </c>
      <c r="DG20" s="15" t="n">
        <v>209.47</v>
      </c>
      <c r="DH20" s="11" t="s">
        <v>161</v>
      </c>
      <c r="DJ20" s="15" t="n">
        <v>0</v>
      </c>
      <c r="DL20" s="15" t="n">
        <f aca="false">+R20</f>
        <v>3.5</v>
      </c>
      <c r="DQ20" s="15" t="n">
        <v>0</v>
      </c>
      <c r="DR20" s="15" t="n">
        <v>100</v>
      </c>
      <c r="DU20" s="15" t="n">
        <v>0</v>
      </c>
      <c r="DV20" s="15" t="n">
        <v>0</v>
      </c>
      <c r="DW20" s="15" t="n">
        <v>0</v>
      </c>
      <c r="DX20" s="15" t="s">
        <v>162</v>
      </c>
      <c r="EH20" s="10" t="s">
        <v>273</v>
      </c>
      <c r="EI20" s="15" t="n">
        <v>65431</v>
      </c>
      <c r="EJ20" s="10" t="s">
        <v>273</v>
      </c>
      <c r="EK20" s="10" t="s">
        <v>305</v>
      </c>
      <c r="EL20" s="10" t="s">
        <v>168</v>
      </c>
      <c r="EM20" s="10" t="s">
        <v>306</v>
      </c>
    </row>
    <row collapsed="false" customFormat="true" customHeight="false" hidden="false" ht="14.9" outlineLevel="0" r="21" s="15">
      <c r="A21" s="15" t="s">
        <v>263</v>
      </c>
      <c r="B21" s="10" t="s">
        <v>308</v>
      </c>
      <c r="C21" s="10" t="s">
        <v>309</v>
      </c>
      <c r="H21" s="10" t="s">
        <v>310</v>
      </c>
      <c r="I21" s="10" t="s">
        <v>168</v>
      </c>
      <c r="J21" s="10" t="s">
        <v>311</v>
      </c>
      <c r="K21" s="11" t="s">
        <v>288</v>
      </c>
      <c r="L21" s="11" t="s">
        <v>312</v>
      </c>
      <c r="M21" s="15" t="n">
        <v>1</v>
      </c>
      <c r="N21" s="15" t="s">
        <v>150</v>
      </c>
      <c r="O21" s="12" t="n">
        <v>320000</v>
      </c>
      <c r="P21" s="12" t="n">
        <v>320000</v>
      </c>
      <c r="Q21" s="15" t="n">
        <v>1600</v>
      </c>
      <c r="R21" s="15" t="n">
        <v>4</v>
      </c>
      <c r="S21" s="13" t="n">
        <v>40896</v>
      </c>
      <c r="T21" s="13" t="n">
        <v>40896</v>
      </c>
      <c r="U21" s="18" t="n">
        <v>40940</v>
      </c>
      <c r="V21" s="18" t="n">
        <v>44593</v>
      </c>
      <c r="W21" s="19" t="n">
        <v>0</v>
      </c>
      <c r="X21" s="3" t="n">
        <v>168375</v>
      </c>
      <c r="Y21" s="19"/>
      <c r="Z21" s="15" t="n">
        <v>1</v>
      </c>
      <c r="AB21" s="15" t="s">
        <v>270</v>
      </c>
      <c r="AD21" s="10" t="s">
        <v>310</v>
      </c>
      <c r="AE21" s="10" t="s">
        <v>168</v>
      </c>
      <c r="AF21" s="10" t="s">
        <v>311</v>
      </c>
      <c r="AG21" s="11"/>
      <c r="AH21" s="11"/>
      <c r="AQ21" s="11"/>
      <c r="AT21" s="9" t="s">
        <v>236</v>
      </c>
      <c r="AU21" s="11" t="s">
        <v>237</v>
      </c>
      <c r="AV21" s="15" t="n">
        <v>100</v>
      </c>
      <c r="AW21" s="18" t="n">
        <v>40897</v>
      </c>
      <c r="AX21" s="18" t="n">
        <v>40927</v>
      </c>
      <c r="AZ21" s="15" t="s">
        <v>271</v>
      </c>
      <c r="BA21" s="1" t="n">
        <v>2</v>
      </c>
      <c r="BB21" s="15" t="n">
        <v>19.776</v>
      </c>
      <c r="BC21" s="15" t="n">
        <v>19.776</v>
      </c>
      <c r="BD21" s="15" t="n">
        <v>0</v>
      </c>
      <c r="BE21" s="15" t="n">
        <v>590</v>
      </c>
      <c r="BF21" s="15" t="n">
        <v>120</v>
      </c>
      <c r="BG21" s="15" t="n">
        <v>120</v>
      </c>
      <c r="BH21" s="15" t="s">
        <v>238</v>
      </c>
      <c r="BI21" s="15" t="n">
        <v>1</v>
      </c>
      <c r="BJ21" s="20" t="n">
        <f aca="false">+O21</f>
        <v>320000</v>
      </c>
      <c r="BK21" s="9" t="s">
        <v>272</v>
      </c>
      <c r="BL21" s="15" t="s">
        <v>157</v>
      </c>
      <c r="BM21" s="15" t="n">
        <v>3</v>
      </c>
      <c r="BN21" s="15" t="n">
        <v>29.360949</v>
      </c>
      <c r="BO21" s="15" t="n">
        <v>0</v>
      </c>
      <c r="BP21" s="15" t="n">
        <v>0</v>
      </c>
      <c r="BY21" s="20" t="n">
        <f aca="false">+O21</f>
        <v>320000</v>
      </c>
      <c r="BZ21" s="15" t="n">
        <v>0</v>
      </c>
      <c r="CA21" s="15" t="n">
        <v>0</v>
      </c>
      <c r="CC21" s="15" t="n">
        <v>0</v>
      </c>
      <c r="CD21" s="15" t="n">
        <v>0</v>
      </c>
      <c r="CE21" s="18" t="n">
        <v>40909</v>
      </c>
      <c r="CF21" s="15" t="n">
        <v>1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1</v>
      </c>
      <c r="CL21" s="15" t="n">
        <v>1</v>
      </c>
      <c r="CM21" s="15" t="s">
        <v>176</v>
      </c>
      <c r="CO21" s="15" t="n">
        <v>33</v>
      </c>
      <c r="CQ21" s="15" t="s">
        <v>159</v>
      </c>
      <c r="CS21" s="15" t="n">
        <v>0</v>
      </c>
      <c r="CT21" s="15" t="n">
        <v>0</v>
      </c>
      <c r="CU21" s="15" t="n">
        <v>0</v>
      </c>
      <c r="DA21" s="15" t="s">
        <v>160</v>
      </c>
      <c r="DB21" s="15" t="n">
        <v>1000100100</v>
      </c>
      <c r="DC21" s="15" t="n">
        <v>0</v>
      </c>
      <c r="DE21" s="15" t="n">
        <v>12</v>
      </c>
      <c r="DF21" s="15" t="n">
        <v>0</v>
      </c>
      <c r="DG21" s="15" t="n">
        <v>301.07</v>
      </c>
      <c r="DH21" s="11" t="s">
        <v>161</v>
      </c>
      <c r="DJ21" s="15" t="n">
        <v>0</v>
      </c>
      <c r="DL21" s="15" t="n">
        <f aca="false">+R21</f>
        <v>4</v>
      </c>
      <c r="DQ21" s="15" t="n">
        <v>0</v>
      </c>
      <c r="DR21" s="15" t="n">
        <v>100</v>
      </c>
      <c r="DU21" s="15" t="n">
        <v>0</v>
      </c>
      <c r="DV21" s="15" t="n">
        <v>0</v>
      </c>
      <c r="DW21" s="15" t="n">
        <v>0</v>
      </c>
      <c r="DX21" s="15" t="s">
        <v>162</v>
      </c>
      <c r="EH21" s="10" t="s">
        <v>281</v>
      </c>
      <c r="EI21" s="15" t="n">
        <v>554646</v>
      </c>
      <c r="EJ21" s="10" t="s">
        <v>313</v>
      </c>
      <c r="EK21" s="10" t="s">
        <v>310</v>
      </c>
      <c r="EL21" s="10" t="s">
        <v>168</v>
      </c>
      <c r="EM21" s="10" t="s">
        <v>311</v>
      </c>
    </row>
    <row collapsed="false" customFormat="true" customHeight="false" hidden="false" ht="14.9" outlineLevel="0" r="22" s="15">
      <c r="A22" s="15" t="s">
        <v>263</v>
      </c>
      <c r="B22" s="10" t="s">
        <v>314</v>
      </c>
      <c r="C22" s="10" t="s">
        <v>315</v>
      </c>
      <c r="H22" s="10" t="s">
        <v>316</v>
      </c>
      <c r="I22" s="10" t="s">
        <v>168</v>
      </c>
      <c r="J22" s="10" t="s">
        <v>317</v>
      </c>
      <c r="K22" s="11" t="s">
        <v>318</v>
      </c>
      <c r="M22" s="15" t="n">
        <v>1</v>
      </c>
      <c r="N22" s="15" t="s">
        <v>172</v>
      </c>
      <c r="O22" s="12" t="n">
        <v>233000</v>
      </c>
      <c r="P22" s="12" t="n">
        <v>233000</v>
      </c>
      <c r="Q22" s="15" t="n">
        <v>1165</v>
      </c>
      <c r="R22" s="15" t="n">
        <v>4</v>
      </c>
      <c r="S22" s="13" t="n">
        <v>40896</v>
      </c>
      <c r="T22" s="13" t="n">
        <v>40896</v>
      </c>
      <c r="U22" s="18" t="n">
        <v>40940</v>
      </c>
      <c r="V22" s="18" t="n">
        <v>46419</v>
      </c>
      <c r="W22" s="19" t="n">
        <v>0</v>
      </c>
      <c r="X22" s="3" t="n">
        <v>43114</v>
      </c>
      <c r="Y22" s="19"/>
      <c r="Z22" s="15" t="n">
        <v>1</v>
      </c>
      <c r="AB22" s="15" t="s">
        <v>270</v>
      </c>
      <c r="AD22" s="10" t="s">
        <v>316</v>
      </c>
      <c r="AE22" s="10" t="s">
        <v>168</v>
      </c>
      <c r="AF22" s="10" t="s">
        <v>317</v>
      </c>
      <c r="AG22" s="11"/>
      <c r="AH22" s="11"/>
      <c r="AQ22" s="11"/>
      <c r="AT22" s="9" t="s">
        <v>152</v>
      </c>
      <c r="AU22" s="11" t="s">
        <v>153</v>
      </c>
      <c r="AV22" s="15" t="n">
        <v>100</v>
      </c>
      <c r="AW22" s="18" t="n">
        <v>40897</v>
      </c>
      <c r="AX22" s="18" t="n">
        <v>40927</v>
      </c>
      <c r="AZ22" s="15" t="s">
        <v>154</v>
      </c>
      <c r="BA22" s="1" t="n">
        <v>1</v>
      </c>
      <c r="BB22" s="15" t="n">
        <v>50.722</v>
      </c>
      <c r="BC22" s="15" t="n">
        <v>50.722</v>
      </c>
      <c r="BD22" s="15" t="n">
        <v>0</v>
      </c>
      <c r="BE22" s="15" t="n">
        <v>757</v>
      </c>
      <c r="BF22" s="9" t="n">
        <f aca="false">15*12</f>
        <v>180</v>
      </c>
      <c r="BG22" s="15" t="n">
        <v>180</v>
      </c>
      <c r="BH22" s="15" t="s">
        <v>238</v>
      </c>
      <c r="BI22" s="15" t="n">
        <v>1</v>
      </c>
      <c r="BJ22" s="20" t="n">
        <f aca="false">+O22</f>
        <v>233000</v>
      </c>
      <c r="BK22" s="9" t="s">
        <v>272</v>
      </c>
      <c r="BL22" s="15" t="s">
        <v>157</v>
      </c>
      <c r="BM22" s="15" t="n">
        <v>1</v>
      </c>
      <c r="BN22" s="15" t="n">
        <v>48.18622</v>
      </c>
      <c r="BO22" s="15" t="n">
        <v>1</v>
      </c>
      <c r="BP22" s="15" t="n">
        <v>0</v>
      </c>
      <c r="BY22" s="20" t="n">
        <f aca="false">+O22</f>
        <v>233000</v>
      </c>
      <c r="BZ22" s="15" t="n">
        <v>0</v>
      </c>
      <c r="CA22" s="15" t="n">
        <v>0</v>
      </c>
      <c r="CC22" s="15" t="n">
        <v>0</v>
      </c>
      <c r="CD22" s="15" t="n">
        <v>0</v>
      </c>
      <c r="CE22" s="18" t="n">
        <v>40909</v>
      </c>
      <c r="CF22" s="15" t="n">
        <v>1</v>
      </c>
      <c r="CG22" s="15" t="n">
        <v>0</v>
      </c>
      <c r="CH22" s="15" t="n">
        <v>0</v>
      </c>
      <c r="CI22" s="15" t="n">
        <v>0</v>
      </c>
      <c r="CJ22" s="15" t="n">
        <v>0</v>
      </c>
      <c r="CK22" s="15" t="n">
        <v>1</v>
      </c>
      <c r="CL22" s="15" t="n">
        <v>1</v>
      </c>
      <c r="CM22" s="15" t="s">
        <v>176</v>
      </c>
      <c r="CO22" s="15" t="n">
        <v>27</v>
      </c>
      <c r="CQ22" s="15" t="s">
        <v>159</v>
      </c>
      <c r="CS22" s="15" t="n">
        <v>0</v>
      </c>
      <c r="CT22" s="15" t="n">
        <v>0</v>
      </c>
      <c r="CU22" s="15" t="n">
        <v>0</v>
      </c>
      <c r="DA22" s="15" t="s">
        <v>160</v>
      </c>
      <c r="DB22" s="15" t="n">
        <v>1000100100</v>
      </c>
      <c r="DC22" s="15" t="n">
        <v>0</v>
      </c>
      <c r="DE22" s="15" t="n">
        <v>4</v>
      </c>
      <c r="DF22" s="15" t="n">
        <v>0</v>
      </c>
      <c r="DG22" s="15" t="n">
        <v>371.31</v>
      </c>
      <c r="DH22" s="11" t="s">
        <v>161</v>
      </c>
      <c r="DJ22" s="15" t="n">
        <v>0</v>
      </c>
      <c r="DL22" s="15" t="n">
        <f aca="false">+R22</f>
        <v>4</v>
      </c>
      <c r="DQ22" s="15" t="n">
        <v>0</v>
      </c>
      <c r="DR22" s="15" t="n">
        <v>100</v>
      </c>
      <c r="DU22" s="15" t="n">
        <v>0</v>
      </c>
      <c r="DV22" s="15" t="n">
        <v>0</v>
      </c>
      <c r="DW22" s="15" t="n">
        <v>0</v>
      </c>
      <c r="DX22" s="15" t="s">
        <v>162</v>
      </c>
      <c r="EH22" s="10" t="s">
        <v>289</v>
      </c>
      <c r="EI22" s="15" t="n">
        <v>66545</v>
      </c>
      <c r="EJ22" s="10" t="s">
        <v>274</v>
      </c>
      <c r="EK22" s="10" t="s">
        <v>316</v>
      </c>
      <c r="EL22" s="10" t="s">
        <v>168</v>
      </c>
      <c r="EM22" s="10" t="s">
        <v>317</v>
      </c>
    </row>
    <row collapsed="false" customFormat="true" customHeight="false" hidden="false" ht="14.9" outlineLevel="0" r="23" s="15">
      <c r="A23" s="15" t="s">
        <v>263</v>
      </c>
      <c r="B23" s="10" t="s">
        <v>319</v>
      </c>
      <c r="C23" s="10" t="s">
        <v>292</v>
      </c>
      <c r="H23" s="10" t="s">
        <v>320</v>
      </c>
      <c r="I23" s="10" t="s">
        <v>168</v>
      </c>
      <c r="J23" s="10" t="s">
        <v>321</v>
      </c>
      <c r="K23" s="11" t="s">
        <v>302</v>
      </c>
      <c r="M23" s="15" t="n">
        <v>1</v>
      </c>
      <c r="N23" s="15" t="s">
        <v>185</v>
      </c>
      <c r="O23" s="12" t="n">
        <v>417000</v>
      </c>
      <c r="P23" s="12" t="n">
        <v>417000</v>
      </c>
      <c r="Q23" s="15" t="n">
        <v>2085</v>
      </c>
      <c r="R23" s="15" t="n">
        <v>3.875</v>
      </c>
      <c r="S23" s="13" t="n">
        <v>40896</v>
      </c>
      <c r="T23" s="13" t="n">
        <v>40896</v>
      </c>
      <c r="U23" s="18" t="n">
        <v>40940</v>
      </c>
      <c r="V23" s="18" t="n">
        <v>48245</v>
      </c>
      <c r="W23" s="19" t="n">
        <v>0</v>
      </c>
      <c r="X23" s="3" t="n">
        <v>395425</v>
      </c>
      <c r="Y23" s="19"/>
      <c r="Z23" s="15" t="n">
        <v>1</v>
      </c>
      <c r="AB23" s="15" t="s">
        <v>270</v>
      </c>
      <c r="AD23" s="10" t="s">
        <v>320</v>
      </c>
      <c r="AE23" s="10" t="s">
        <v>168</v>
      </c>
      <c r="AF23" s="10" t="s">
        <v>321</v>
      </c>
      <c r="AG23" s="11"/>
      <c r="AH23" s="11"/>
      <c r="AQ23" s="11"/>
      <c r="AT23" s="9" t="s">
        <v>152</v>
      </c>
      <c r="AU23" s="11" t="s">
        <v>153</v>
      </c>
      <c r="AV23" s="15" t="n">
        <v>100</v>
      </c>
      <c r="AW23" s="18" t="n">
        <v>40897</v>
      </c>
      <c r="AX23" s="18" t="n">
        <v>40927</v>
      </c>
      <c r="AZ23" s="15" t="s">
        <v>154</v>
      </c>
      <c r="BA23" s="1" t="n">
        <v>2</v>
      </c>
      <c r="BB23" s="15" t="n">
        <v>80</v>
      </c>
      <c r="BC23" s="15" t="n">
        <v>80</v>
      </c>
      <c r="BD23" s="15" t="n">
        <v>0</v>
      </c>
      <c r="BE23" s="15" t="n">
        <v>708</v>
      </c>
      <c r="BF23" s="15" t="n">
        <v>240</v>
      </c>
      <c r="BG23" s="15" t="n">
        <v>240</v>
      </c>
      <c r="BH23" s="15" t="s">
        <v>238</v>
      </c>
      <c r="BI23" s="15" t="n">
        <v>1</v>
      </c>
      <c r="BJ23" s="20" t="n">
        <f aca="false">+O23</f>
        <v>417000</v>
      </c>
      <c r="BK23" s="9" t="s">
        <v>272</v>
      </c>
      <c r="BL23" s="15" t="s">
        <v>157</v>
      </c>
      <c r="BM23" s="15" t="n">
        <v>1</v>
      </c>
      <c r="BN23" s="15" t="n">
        <v>46.50168</v>
      </c>
      <c r="BO23" s="15" t="n">
        <v>1</v>
      </c>
      <c r="BP23" s="15" t="n">
        <v>0</v>
      </c>
      <c r="BY23" s="20" t="n">
        <f aca="false">+O23</f>
        <v>417000</v>
      </c>
      <c r="BZ23" s="15" t="n">
        <v>0</v>
      </c>
      <c r="CA23" s="15" t="n">
        <v>0</v>
      </c>
      <c r="CC23" s="15" t="n">
        <v>0</v>
      </c>
      <c r="CD23" s="15" t="n">
        <v>0</v>
      </c>
      <c r="CE23" s="18" t="n">
        <v>40909</v>
      </c>
      <c r="CF23" s="15" t="n">
        <v>1</v>
      </c>
      <c r="CG23" s="15" t="n">
        <v>0</v>
      </c>
      <c r="CH23" s="15" t="n">
        <v>0</v>
      </c>
      <c r="CI23" s="15" t="n">
        <v>0</v>
      </c>
      <c r="CJ23" s="15" t="n">
        <v>0</v>
      </c>
      <c r="CK23" s="15" t="n">
        <v>1</v>
      </c>
      <c r="CL23" s="15" t="n">
        <v>1</v>
      </c>
      <c r="CM23" s="15" t="s">
        <v>176</v>
      </c>
      <c r="CO23" s="15" t="n">
        <v>31</v>
      </c>
      <c r="CQ23" s="15" t="s">
        <v>159</v>
      </c>
      <c r="CS23" s="15" t="n">
        <v>0</v>
      </c>
      <c r="CT23" s="15" t="n">
        <v>0</v>
      </c>
      <c r="CU23" s="15" t="n">
        <v>0</v>
      </c>
      <c r="DA23" s="15" t="s">
        <v>160</v>
      </c>
      <c r="DB23" s="15" t="n">
        <v>1000100100</v>
      </c>
      <c r="DC23" s="15" t="n">
        <v>0</v>
      </c>
      <c r="DE23" s="15" t="n">
        <v>8</v>
      </c>
      <c r="DF23" s="15" t="n">
        <v>1</v>
      </c>
      <c r="DG23" s="15" t="n">
        <v>1585.86</v>
      </c>
      <c r="DH23" s="11" t="s">
        <v>161</v>
      </c>
      <c r="DJ23" s="15" t="n">
        <v>0</v>
      </c>
      <c r="DL23" s="15" t="n">
        <f aca="false">+R23</f>
        <v>3.875</v>
      </c>
      <c r="DQ23" s="15" t="n">
        <v>0</v>
      </c>
      <c r="DR23" s="15" t="n">
        <v>100</v>
      </c>
      <c r="DU23" s="15" t="n">
        <v>0</v>
      </c>
      <c r="DV23" s="15" t="n">
        <v>0</v>
      </c>
      <c r="DW23" s="15" t="n">
        <v>0</v>
      </c>
      <c r="DX23" s="15" t="s">
        <v>162</v>
      </c>
      <c r="EH23" s="10" t="s">
        <v>296</v>
      </c>
      <c r="EI23" s="15" t="n">
        <v>7516</v>
      </c>
      <c r="EJ23" s="10" t="s">
        <v>282</v>
      </c>
      <c r="EK23" s="10" t="s">
        <v>320</v>
      </c>
      <c r="EL23" s="10" t="s">
        <v>168</v>
      </c>
      <c r="EM23" s="10" t="s">
        <v>321</v>
      </c>
    </row>
    <row collapsed="false" customFormat="true" customHeight="false" hidden="false" ht="14.9" outlineLevel="0" r="24" s="15">
      <c r="A24" s="15" t="s">
        <v>263</v>
      </c>
      <c r="B24" s="10" t="s">
        <v>322</v>
      </c>
      <c r="C24" s="10" t="s">
        <v>323</v>
      </c>
      <c r="H24" s="10" t="s">
        <v>190</v>
      </c>
      <c r="I24" s="10" t="s">
        <v>168</v>
      </c>
      <c r="J24" s="10" t="s">
        <v>324</v>
      </c>
      <c r="K24" s="11" t="s">
        <v>307</v>
      </c>
      <c r="M24" s="15" t="n">
        <v>1</v>
      </c>
      <c r="N24" s="15" t="s">
        <v>194</v>
      </c>
      <c r="O24" s="12" t="n">
        <v>264000</v>
      </c>
      <c r="P24" s="12" t="n">
        <v>264000</v>
      </c>
      <c r="Q24" s="15" t="n">
        <v>1320</v>
      </c>
      <c r="R24" s="15" t="n">
        <v>4.875</v>
      </c>
      <c r="S24" s="13" t="n">
        <v>40896</v>
      </c>
      <c r="T24" s="13" t="n">
        <v>40896</v>
      </c>
      <c r="U24" s="18" t="n">
        <v>40940</v>
      </c>
      <c r="V24" s="18" t="n">
        <v>50072</v>
      </c>
      <c r="W24" s="19" t="n">
        <v>1</v>
      </c>
      <c r="X24" s="3" t="n">
        <v>40641</v>
      </c>
      <c r="Y24" s="19"/>
      <c r="Z24" s="15" t="n">
        <v>1</v>
      </c>
      <c r="AB24" s="15" t="s">
        <v>270</v>
      </c>
      <c r="AD24" s="10" t="s">
        <v>190</v>
      </c>
      <c r="AE24" s="10" t="s">
        <v>168</v>
      </c>
      <c r="AF24" s="10" t="s">
        <v>324</v>
      </c>
      <c r="AG24" s="11"/>
      <c r="AH24" s="11"/>
      <c r="AQ24" s="11"/>
      <c r="AT24" s="9" t="s">
        <v>152</v>
      </c>
      <c r="AU24" s="11" t="s">
        <v>153</v>
      </c>
      <c r="AV24" s="15" t="n">
        <v>100</v>
      </c>
      <c r="AW24" s="18" t="n">
        <v>40897</v>
      </c>
      <c r="AX24" s="18" t="n">
        <v>40927</v>
      </c>
      <c r="AZ24" s="15" t="s">
        <v>271</v>
      </c>
      <c r="BA24" s="1" t="n">
        <v>2</v>
      </c>
      <c r="BB24" s="15" t="n">
        <v>35.831</v>
      </c>
      <c r="BC24" s="15" t="n">
        <v>35.831</v>
      </c>
      <c r="BD24" s="15" t="n">
        <v>0</v>
      </c>
      <c r="BE24" s="15" t="n">
        <v>741</v>
      </c>
      <c r="BF24" s="15" t="n">
        <v>300</v>
      </c>
      <c r="BG24" s="15" t="n">
        <v>300</v>
      </c>
      <c r="BH24" s="15" t="s">
        <v>238</v>
      </c>
      <c r="BI24" s="15" t="n">
        <v>1</v>
      </c>
      <c r="BJ24" s="20" t="n">
        <f aca="false">+O24</f>
        <v>264000</v>
      </c>
      <c r="BK24" s="9" t="s">
        <v>272</v>
      </c>
      <c r="BL24" s="15" t="s">
        <v>174</v>
      </c>
      <c r="BM24" s="15" t="n">
        <v>1</v>
      </c>
      <c r="BN24" s="15" t="n">
        <v>26.098349</v>
      </c>
      <c r="BO24" s="15" t="n">
        <v>1</v>
      </c>
      <c r="BP24" s="15" t="n">
        <v>2</v>
      </c>
      <c r="BQ24" s="15" t="s">
        <v>325</v>
      </c>
      <c r="BR24" s="15" t="n">
        <v>4</v>
      </c>
      <c r="BS24" s="18" t="n">
        <v>42248</v>
      </c>
      <c r="BT24" s="15" t="n">
        <v>2</v>
      </c>
      <c r="BU24" s="15" t="n">
        <v>12</v>
      </c>
      <c r="BV24" s="15" t="n">
        <v>2</v>
      </c>
      <c r="BW24" s="15" t="n">
        <v>5</v>
      </c>
      <c r="BX24" s="15" t="n">
        <v>2</v>
      </c>
      <c r="BY24" s="20" t="n">
        <f aca="false">+O24</f>
        <v>264000</v>
      </c>
      <c r="BZ24" s="15" t="n">
        <v>0</v>
      </c>
      <c r="CA24" s="15" t="n">
        <v>0</v>
      </c>
      <c r="CC24" s="15" t="n">
        <v>0</v>
      </c>
      <c r="CD24" s="15" t="n">
        <v>0</v>
      </c>
      <c r="CE24" s="18" t="n">
        <v>40909</v>
      </c>
      <c r="CF24" s="15" t="n">
        <v>1</v>
      </c>
      <c r="CG24" s="15" t="n">
        <v>0</v>
      </c>
      <c r="CH24" s="15" t="n">
        <v>0</v>
      </c>
      <c r="CI24" s="15" t="n">
        <v>0</v>
      </c>
      <c r="CJ24" s="15" t="n">
        <v>0</v>
      </c>
      <c r="CK24" s="15" t="n">
        <v>1</v>
      </c>
      <c r="CL24" s="15" t="n">
        <v>1</v>
      </c>
      <c r="CM24" s="15" t="s">
        <v>176</v>
      </c>
      <c r="CO24" s="15" t="n">
        <v>49</v>
      </c>
      <c r="CQ24" s="15" t="s">
        <v>159</v>
      </c>
      <c r="CS24" s="15" t="n">
        <v>0</v>
      </c>
      <c r="CT24" s="15" t="n">
        <v>0</v>
      </c>
      <c r="CU24" s="15" t="n">
        <v>0</v>
      </c>
      <c r="DA24" s="15" t="s">
        <v>160</v>
      </c>
      <c r="DB24" s="15" t="n">
        <v>1000100100</v>
      </c>
      <c r="DC24" s="15" t="n">
        <v>0</v>
      </c>
      <c r="DD24" s="15" t="n">
        <v>30</v>
      </c>
      <c r="DE24" s="15" t="n">
        <v>12</v>
      </c>
      <c r="DF24" s="15" t="n">
        <v>33</v>
      </c>
      <c r="DG24" s="15" t="n">
        <v>22272.67</v>
      </c>
      <c r="DH24" s="11" t="s">
        <v>161</v>
      </c>
      <c r="DJ24" s="15" t="n">
        <v>0</v>
      </c>
      <c r="DL24" s="15" t="n">
        <f aca="false">+R24</f>
        <v>4.875</v>
      </c>
      <c r="DM24" s="15" t="n">
        <v>1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100</v>
      </c>
      <c r="DT24" s="15" t="n">
        <v>8.875</v>
      </c>
      <c r="DU24" s="15" t="n">
        <v>0</v>
      </c>
      <c r="DV24" s="15" t="n">
        <v>0</v>
      </c>
      <c r="DW24" s="15" t="n">
        <v>0</v>
      </c>
      <c r="DX24" s="15" t="s">
        <v>162</v>
      </c>
      <c r="EH24" s="10" t="s">
        <v>196</v>
      </c>
      <c r="EI24" s="15" t="n">
        <v>32158</v>
      </c>
      <c r="EJ24" s="10" t="s">
        <v>290</v>
      </c>
      <c r="EK24" s="10" t="s">
        <v>190</v>
      </c>
      <c r="EL24" s="10" t="s">
        <v>168</v>
      </c>
      <c r="EM24" s="10" t="s">
        <v>324</v>
      </c>
    </row>
    <row collapsed="false" customFormat="true" customHeight="false" hidden="false" ht="14.9" outlineLevel="0" r="25" s="15">
      <c r="A25" s="15" t="s">
        <v>263</v>
      </c>
      <c r="B25" s="10" t="s">
        <v>326</v>
      </c>
      <c r="C25" s="10" t="s">
        <v>327</v>
      </c>
      <c r="H25" s="10" t="s">
        <v>328</v>
      </c>
      <c r="I25" s="10" t="s">
        <v>168</v>
      </c>
      <c r="J25" s="10" t="s">
        <v>329</v>
      </c>
      <c r="K25" s="11" t="s">
        <v>312</v>
      </c>
      <c r="M25" s="15" t="n">
        <v>1</v>
      </c>
      <c r="N25" s="15" t="s">
        <v>204</v>
      </c>
      <c r="O25" s="12" t="n">
        <v>185000</v>
      </c>
      <c r="P25" s="12" t="n">
        <v>185000</v>
      </c>
      <c r="Q25" s="15" t="n">
        <v>925</v>
      </c>
      <c r="R25" s="15" t="n">
        <v>5.25</v>
      </c>
      <c r="S25" s="13" t="n">
        <v>40896</v>
      </c>
      <c r="T25" s="13" t="n">
        <v>40896</v>
      </c>
      <c r="U25" s="18" t="n">
        <v>40940</v>
      </c>
      <c r="V25" s="18" t="n">
        <v>51898</v>
      </c>
      <c r="W25" s="19" t="n">
        <v>1</v>
      </c>
      <c r="X25" s="3" t="n">
        <v>85882</v>
      </c>
      <c r="Y25" s="19"/>
      <c r="Z25" s="15" t="n">
        <v>1</v>
      </c>
      <c r="AB25" s="15" t="s">
        <v>270</v>
      </c>
      <c r="AD25" s="10" t="s">
        <v>328</v>
      </c>
      <c r="AE25" s="10" t="s">
        <v>168</v>
      </c>
      <c r="AF25" s="10" t="s">
        <v>329</v>
      </c>
      <c r="AG25" s="11"/>
      <c r="AH25" s="11"/>
      <c r="AQ25" s="11"/>
      <c r="AT25" s="9" t="s">
        <v>236</v>
      </c>
      <c r="AU25" s="11" t="s">
        <v>237</v>
      </c>
      <c r="AV25" s="15" t="n">
        <v>100</v>
      </c>
      <c r="AW25" s="18" t="n">
        <v>40897</v>
      </c>
      <c r="AX25" s="18" t="n">
        <v>40927</v>
      </c>
      <c r="AZ25" s="15" t="s">
        <v>154</v>
      </c>
      <c r="BA25" s="1" t="n">
        <v>1</v>
      </c>
      <c r="BB25" s="15" t="n">
        <v>45.833</v>
      </c>
      <c r="BC25" s="15" t="n">
        <v>45.833</v>
      </c>
      <c r="BD25" s="15" t="n">
        <v>0</v>
      </c>
      <c r="BE25" s="15" t="n">
        <v>758</v>
      </c>
      <c r="BF25" s="15" t="n">
        <v>360</v>
      </c>
      <c r="BG25" s="15" t="n">
        <v>360</v>
      </c>
      <c r="BH25" s="15" t="s">
        <v>173</v>
      </c>
      <c r="BI25" s="15" t="n">
        <v>1</v>
      </c>
      <c r="BJ25" s="20" t="n">
        <f aca="false">+O25</f>
        <v>185000</v>
      </c>
      <c r="BK25" s="9" t="s">
        <v>272</v>
      </c>
      <c r="BL25" s="15" t="s">
        <v>157</v>
      </c>
      <c r="BM25" s="15" t="n">
        <v>1</v>
      </c>
      <c r="BN25" s="15" t="n">
        <v>33.272985</v>
      </c>
      <c r="BO25" s="15" t="n">
        <v>1</v>
      </c>
      <c r="BP25" s="15" t="n">
        <v>3</v>
      </c>
      <c r="BQ25" s="15" t="s">
        <v>325</v>
      </c>
      <c r="BR25" s="15" t="n">
        <v>4</v>
      </c>
      <c r="BS25" s="18" t="n">
        <v>42248</v>
      </c>
      <c r="BT25" s="15" t="n">
        <v>2</v>
      </c>
      <c r="BU25" s="15" t="n">
        <v>12</v>
      </c>
      <c r="BV25" s="15" t="n">
        <v>2</v>
      </c>
      <c r="BW25" s="15" t="n">
        <v>5</v>
      </c>
      <c r="BX25" s="15" t="n">
        <v>2</v>
      </c>
      <c r="BY25" s="20" t="n">
        <f aca="false">+O25</f>
        <v>185000</v>
      </c>
      <c r="BZ25" s="15" t="n">
        <v>0</v>
      </c>
      <c r="CA25" s="15" t="n">
        <v>0</v>
      </c>
      <c r="CC25" s="15" t="n">
        <v>0</v>
      </c>
      <c r="CD25" s="15" t="n">
        <v>0</v>
      </c>
      <c r="CE25" s="18" t="n">
        <v>40909</v>
      </c>
      <c r="CF25" s="15" t="n">
        <v>1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1</v>
      </c>
      <c r="CL25" s="15" t="n">
        <v>1</v>
      </c>
      <c r="CM25" s="15" t="s">
        <v>158</v>
      </c>
      <c r="CO25" s="15" t="n">
        <v>49</v>
      </c>
      <c r="CQ25" s="15" t="s">
        <v>159</v>
      </c>
      <c r="CS25" s="15" t="n">
        <v>0</v>
      </c>
      <c r="CT25" s="15" t="n">
        <v>0</v>
      </c>
      <c r="CU25" s="15" t="n">
        <v>0</v>
      </c>
      <c r="DA25" s="15" t="s">
        <v>160</v>
      </c>
      <c r="DB25" s="15" t="n">
        <v>1000100100</v>
      </c>
      <c r="DC25" s="15" t="n">
        <v>0</v>
      </c>
      <c r="DD25" s="15" t="n">
        <v>30</v>
      </c>
      <c r="DE25" s="15" t="n">
        <v>10</v>
      </c>
      <c r="DF25" s="15" t="n">
        <v>14</v>
      </c>
      <c r="DG25" s="15" t="n">
        <v>10266</v>
      </c>
      <c r="DH25" s="11" t="s">
        <v>161</v>
      </c>
      <c r="DJ25" s="15" t="n">
        <v>0</v>
      </c>
      <c r="DL25" s="15" t="n">
        <f aca="false">+R25</f>
        <v>5.25</v>
      </c>
      <c r="DM25" s="15" t="n">
        <v>1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100</v>
      </c>
      <c r="DT25" s="15" t="n">
        <v>8.875</v>
      </c>
      <c r="DU25" s="15" t="n">
        <v>0</v>
      </c>
      <c r="DV25" s="15" t="n">
        <v>0</v>
      </c>
      <c r="DW25" s="15" t="n">
        <v>0</v>
      </c>
      <c r="DX25" s="15" t="s">
        <v>162</v>
      </c>
      <c r="EH25" s="10" t="s">
        <v>273</v>
      </c>
      <c r="EI25" s="15" t="n">
        <v>65431</v>
      </c>
      <c r="EJ25" s="10" t="s">
        <v>297</v>
      </c>
      <c r="EK25" s="10" t="s">
        <v>328</v>
      </c>
      <c r="EL25" s="10" t="s">
        <v>168</v>
      </c>
      <c r="EM25" s="10" t="s">
        <v>329</v>
      </c>
    </row>
    <row collapsed="false" customFormat="true" customHeight="false" hidden="false" ht="14.9" outlineLevel="0" r="26" s="15">
      <c r="A26" s="15" t="s">
        <v>263</v>
      </c>
      <c r="B26" s="10" t="s">
        <v>330</v>
      </c>
      <c r="C26" s="10" t="s">
        <v>331</v>
      </c>
      <c r="H26" s="10" t="s">
        <v>332</v>
      </c>
      <c r="I26" s="10" t="s">
        <v>168</v>
      </c>
      <c r="J26" s="10" t="s">
        <v>333</v>
      </c>
      <c r="K26" s="11" t="s">
        <v>334</v>
      </c>
      <c r="M26" s="15" t="n">
        <v>1</v>
      </c>
      <c r="N26" s="15" t="s">
        <v>211</v>
      </c>
      <c r="O26" s="12" t="n">
        <v>189000</v>
      </c>
      <c r="P26" s="12" t="n">
        <v>189000</v>
      </c>
      <c r="Q26" s="15" t="n">
        <v>945</v>
      </c>
      <c r="R26" s="15" t="n">
        <v>4</v>
      </c>
      <c r="S26" s="13" t="n">
        <v>40896</v>
      </c>
      <c r="T26" s="13" t="n">
        <v>40896</v>
      </c>
      <c r="U26" s="18" t="n">
        <v>40940</v>
      </c>
      <c r="V26" s="18" t="n">
        <v>51898</v>
      </c>
      <c r="W26" s="19" t="n">
        <v>0</v>
      </c>
      <c r="X26" s="3" t="n">
        <v>77596</v>
      </c>
      <c r="Y26" s="19"/>
      <c r="Z26" s="15" t="n">
        <v>1</v>
      </c>
      <c r="AB26" s="15" t="s">
        <v>270</v>
      </c>
      <c r="AD26" s="10" t="s">
        <v>332</v>
      </c>
      <c r="AE26" s="10" t="s">
        <v>168</v>
      </c>
      <c r="AF26" s="10" t="s">
        <v>333</v>
      </c>
      <c r="AG26" s="11"/>
      <c r="AH26" s="11"/>
      <c r="AQ26" s="11"/>
      <c r="AT26" s="15" t="s">
        <v>195</v>
      </c>
      <c r="AU26" s="11" t="n">
        <v>12333333</v>
      </c>
      <c r="AV26" s="15" t="n">
        <v>100</v>
      </c>
      <c r="AW26" s="18" t="n">
        <v>40897</v>
      </c>
      <c r="AX26" s="18" t="n">
        <v>40927</v>
      </c>
      <c r="AZ26" s="15" t="s">
        <v>154</v>
      </c>
      <c r="BA26" s="1" t="n">
        <v>1</v>
      </c>
      <c r="BB26" s="15" t="n">
        <v>89.209</v>
      </c>
      <c r="BC26" s="15" t="n">
        <v>89.209</v>
      </c>
      <c r="BD26" s="15" t="n">
        <v>0</v>
      </c>
      <c r="BE26" s="15" t="n">
        <v>719</v>
      </c>
      <c r="BF26" s="15" t="n">
        <v>360</v>
      </c>
      <c r="BG26" s="15" t="n">
        <v>360</v>
      </c>
      <c r="BH26" s="15" t="s">
        <v>238</v>
      </c>
      <c r="BI26" s="15" t="n">
        <v>1</v>
      </c>
      <c r="BJ26" s="20" t="n">
        <f aca="false">+O26</f>
        <v>189000</v>
      </c>
      <c r="BK26" s="9" t="s">
        <v>272</v>
      </c>
      <c r="BL26" s="15" t="s">
        <v>157</v>
      </c>
      <c r="BM26" s="15" t="n">
        <v>1</v>
      </c>
      <c r="BN26" s="15" t="n">
        <v>56.782254</v>
      </c>
      <c r="BO26" s="15" t="n">
        <v>0</v>
      </c>
      <c r="BP26" s="15" t="n">
        <v>0</v>
      </c>
      <c r="BY26" s="20" t="n">
        <f aca="false">+O26</f>
        <v>189000</v>
      </c>
      <c r="BZ26" s="15" t="n">
        <v>0</v>
      </c>
      <c r="CA26" s="15" t="n">
        <v>0</v>
      </c>
      <c r="CC26" s="15" t="n">
        <v>0</v>
      </c>
      <c r="CD26" s="15" t="n">
        <v>0</v>
      </c>
      <c r="CE26" s="18" t="n">
        <v>40909</v>
      </c>
      <c r="CF26" s="15" t="n">
        <v>1</v>
      </c>
      <c r="CG26" s="15" t="n">
        <v>0</v>
      </c>
      <c r="CH26" s="15" t="n">
        <v>0</v>
      </c>
      <c r="CI26" s="15" t="n">
        <v>0</v>
      </c>
      <c r="CJ26" s="15" t="n">
        <v>0</v>
      </c>
      <c r="CK26" s="15" t="n">
        <v>1</v>
      </c>
      <c r="CL26" s="15" t="n">
        <v>1</v>
      </c>
      <c r="CM26" s="15" t="s">
        <v>176</v>
      </c>
      <c r="CO26" s="15" t="n">
        <v>58</v>
      </c>
      <c r="CQ26" s="15" t="s">
        <v>159</v>
      </c>
      <c r="CS26" s="15" t="n">
        <v>0</v>
      </c>
      <c r="CT26" s="15" t="n">
        <v>0</v>
      </c>
      <c r="CU26" s="15" t="n">
        <v>0</v>
      </c>
      <c r="DA26" s="15" t="s">
        <v>160</v>
      </c>
      <c r="DB26" s="15" t="n">
        <v>1000100100</v>
      </c>
      <c r="DC26" s="15" t="n">
        <v>0</v>
      </c>
      <c r="DE26" s="15" t="n">
        <v>8</v>
      </c>
      <c r="DF26" s="15" t="n">
        <v>24</v>
      </c>
      <c r="DG26" s="15" t="n">
        <v>10939.17</v>
      </c>
      <c r="DH26" s="11" t="s">
        <v>161</v>
      </c>
      <c r="DJ26" s="15" t="n">
        <v>0</v>
      </c>
      <c r="DL26" s="15" t="n">
        <f aca="false">+R26</f>
        <v>4</v>
      </c>
      <c r="DQ26" s="15" t="n">
        <v>0</v>
      </c>
      <c r="DR26" s="15" t="n">
        <v>100</v>
      </c>
      <c r="DU26" s="15" t="n">
        <v>0</v>
      </c>
      <c r="DV26" s="15" t="n">
        <v>0</v>
      </c>
      <c r="DW26" s="15" t="n">
        <v>0</v>
      </c>
      <c r="DX26" s="15" t="s">
        <v>162</v>
      </c>
      <c r="EH26" s="10" t="s">
        <v>281</v>
      </c>
      <c r="EI26" s="15" t="n">
        <v>554646</v>
      </c>
      <c r="EJ26" s="10" t="s">
        <v>179</v>
      </c>
      <c r="EK26" s="10" t="s">
        <v>332</v>
      </c>
      <c r="EL26" s="10" t="s">
        <v>168</v>
      </c>
      <c r="EM26" s="10" t="s">
        <v>333</v>
      </c>
    </row>
    <row collapsed="false" customFormat="true" customHeight="false" hidden="false" ht="14" outlineLevel="0" r="27" s="15">
      <c r="A27" s="15" t="s">
        <v>263</v>
      </c>
      <c r="B27" s="10" t="s">
        <v>335</v>
      </c>
      <c r="C27" s="10" t="s">
        <v>336</v>
      </c>
      <c r="H27" s="10" t="s">
        <v>337</v>
      </c>
      <c r="I27" s="10" t="s">
        <v>168</v>
      </c>
      <c r="J27" s="10" t="s">
        <v>338</v>
      </c>
      <c r="K27" s="11" t="s">
        <v>339</v>
      </c>
      <c r="L27" s="11" t="s">
        <v>340</v>
      </c>
      <c r="M27" s="15" t="n">
        <v>1</v>
      </c>
      <c r="N27" s="15" t="s">
        <v>150</v>
      </c>
      <c r="O27" s="12" t="n">
        <v>212000</v>
      </c>
      <c r="P27" s="12" t="n">
        <v>212000</v>
      </c>
      <c r="Q27" s="15" t="n">
        <v>1060</v>
      </c>
      <c r="R27" s="15" t="n">
        <v>3.875</v>
      </c>
      <c r="S27" s="13" t="n">
        <v>40896</v>
      </c>
      <c r="T27" s="13" t="n">
        <v>40896</v>
      </c>
      <c r="U27" s="18" t="n">
        <v>40940</v>
      </c>
      <c r="V27" s="18" t="n">
        <v>44593</v>
      </c>
      <c r="W27" s="19" t="n">
        <v>0</v>
      </c>
      <c r="X27" s="3" t="n">
        <v>87903</v>
      </c>
      <c r="Y27" s="19"/>
      <c r="Z27" s="15" t="n">
        <v>1</v>
      </c>
      <c r="AB27" s="15" t="s">
        <v>270</v>
      </c>
      <c r="AD27" s="10" t="s">
        <v>337</v>
      </c>
      <c r="AE27" s="10" t="s">
        <v>168</v>
      </c>
      <c r="AF27" s="10" t="s">
        <v>338</v>
      </c>
      <c r="AG27" s="11"/>
      <c r="AH27" s="11"/>
      <c r="AQ27" s="11"/>
      <c r="AT27" s="15" t="s">
        <v>195</v>
      </c>
      <c r="AU27" s="11" t="n">
        <v>12333333</v>
      </c>
      <c r="AV27" s="15" t="n">
        <v>100</v>
      </c>
      <c r="AW27" s="18" t="n">
        <v>40897</v>
      </c>
      <c r="AX27" s="18" t="n">
        <v>40927</v>
      </c>
      <c r="AZ27" s="15" t="s">
        <v>154</v>
      </c>
      <c r="BA27" s="1" t="n">
        <v>1</v>
      </c>
      <c r="BB27" s="15" t="n">
        <v>81.698</v>
      </c>
      <c r="BC27" s="15" t="n">
        <v>81.698</v>
      </c>
      <c r="BD27" s="15" t="n">
        <v>0</v>
      </c>
      <c r="BE27" s="15" t="n">
        <v>809</v>
      </c>
      <c r="BF27" s="15" t="n">
        <v>120</v>
      </c>
      <c r="BG27" s="15" t="n">
        <v>120</v>
      </c>
      <c r="BH27" s="15" t="s">
        <v>155</v>
      </c>
      <c r="BI27" s="15" t="n">
        <v>1</v>
      </c>
      <c r="BJ27" s="20" t="n">
        <f aca="false">+O27</f>
        <v>212000</v>
      </c>
      <c r="BK27" s="9" t="s">
        <v>272</v>
      </c>
      <c r="BL27" s="15" t="s">
        <v>157</v>
      </c>
      <c r="BM27" s="15" t="n">
        <v>1</v>
      </c>
      <c r="BN27" s="15" t="n">
        <v>47.847961</v>
      </c>
      <c r="BO27" s="15" t="n">
        <v>1</v>
      </c>
      <c r="BP27" s="15" t="n">
        <v>0</v>
      </c>
      <c r="BY27" s="20" t="n">
        <f aca="false">+O27</f>
        <v>212000</v>
      </c>
      <c r="BZ27" s="15" t="n">
        <v>0</v>
      </c>
      <c r="CA27" s="15" t="n">
        <v>0</v>
      </c>
      <c r="CC27" s="15" t="n">
        <v>0</v>
      </c>
      <c r="CD27" s="15" t="n">
        <v>0</v>
      </c>
      <c r="CE27" s="18" t="n">
        <v>40909</v>
      </c>
      <c r="CF27" s="15" t="n">
        <v>1</v>
      </c>
      <c r="CG27" s="15" t="n">
        <v>0</v>
      </c>
      <c r="CH27" s="15" t="n">
        <v>0</v>
      </c>
      <c r="CI27" s="15" t="n">
        <v>0</v>
      </c>
      <c r="CJ27" s="15" t="n">
        <v>0</v>
      </c>
      <c r="CK27" s="15" t="n">
        <v>1</v>
      </c>
      <c r="CL27" s="15" t="n">
        <v>1</v>
      </c>
      <c r="CM27" s="15" t="s">
        <v>176</v>
      </c>
      <c r="CO27" s="15" t="n">
        <v>52</v>
      </c>
      <c r="CQ27" s="15" t="s">
        <v>159</v>
      </c>
      <c r="CS27" s="15" t="n">
        <v>0</v>
      </c>
      <c r="CT27" s="15" t="n">
        <v>0</v>
      </c>
      <c r="CU27" s="15" t="n">
        <v>0</v>
      </c>
      <c r="DA27" s="15" t="s">
        <v>160</v>
      </c>
      <c r="DB27" s="15" t="n">
        <v>1000100100</v>
      </c>
      <c r="DC27" s="15" t="n">
        <v>0</v>
      </c>
      <c r="DE27" s="15" t="n">
        <v>14</v>
      </c>
      <c r="DF27" s="15" t="n">
        <v>21</v>
      </c>
      <c r="DG27" s="15" t="n">
        <v>19900.41</v>
      </c>
      <c r="DH27" s="11" t="s">
        <v>161</v>
      </c>
      <c r="DJ27" s="15" t="n">
        <v>0</v>
      </c>
      <c r="DL27" s="15" t="n">
        <f aca="false">+R27</f>
        <v>3.875</v>
      </c>
      <c r="DQ27" s="15" t="n">
        <v>0</v>
      </c>
      <c r="DR27" s="15" t="n">
        <v>100</v>
      </c>
      <c r="DU27" s="15" t="n">
        <v>0</v>
      </c>
      <c r="DV27" s="15" t="n">
        <v>0</v>
      </c>
      <c r="DW27" s="15" t="n">
        <v>0</v>
      </c>
      <c r="DX27" s="15" t="s">
        <v>162</v>
      </c>
      <c r="EH27" s="10" t="s">
        <v>289</v>
      </c>
      <c r="EI27" s="15" t="n">
        <v>66545</v>
      </c>
      <c r="EJ27" s="10" t="s">
        <v>273</v>
      </c>
      <c r="EK27" s="10" t="s">
        <v>337</v>
      </c>
      <c r="EL27" s="10" t="s">
        <v>168</v>
      </c>
      <c r="EM27" s="10" t="s">
        <v>338</v>
      </c>
    </row>
    <row collapsed="false" customFormat="true" customHeight="false" hidden="false" ht="14.9" outlineLevel="0" r="28" s="15">
      <c r="A28" s="15" t="s">
        <v>263</v>
      </c>
      <c r="B28" s="10" t="s">
        <v>341</v>
      </c>
      <c r="C28" s="10" t="s">
        <v>342</v>
      </c>
      <c r="H28" s="10" t="s">
        <v>242</v>
      </c>
      <c r="I28" s="10" t="s">
        <v>168</v>
      </c>
      <c r="J28" s="10" t="s">
        <v>343</v>
      </c>
      <c r="K28" s="11" t="s">
        <v>344</v>
      </c>
      <c r="M28" s="15" t="n">
        <v>1</v>
      </c>
      <c r="N28" s="15" t="s">
        <v>172</v>
      </c>
      <c r="O28" s="12" t="n">
        <v>223000</v>
      </c>
      <c r="P28" s="12" t="n">
        <v>223000</v>
      </c>
      <c r="Q28" s="15" t="n">
        <v>1115</v>
      </c>
      <c r="R28" s="15" t="n">
        <v>4.875</v>
      </c>
      <c r="S28" s="13" t="n">
        <v>40896</v>
      </c>
      <c r="T28" s="13" t="n">
        <v>40896</v>
      </c>
      <c r="U28" s="18" t="n">
        <v>40940</v>
      </c>
      <c r="V28" s="18" t="n">
        <v>46419</v>
      </c>
      <c r="W28" s="19" t="n">
        <v>0</v>
      </c>
      <c r="X28" s="3" t="n">
        <v>11346</v>
      </c>
      <c r="Y28" s="19"/>
      <c r="Z28" s="15" t="n">
        <v>1</v>
      </c>
      <c r="AB28" s="15" t="s">
        <v>270</v>
      </c>
      <c r="AD28" s="10" t="s">
        <v>242</v>
      </c>
      <c r="AE28" s="10" t="s">
        <v>168</v>
      </c>
      <c r="AF28" s="10" t="s">
        <v>343</v>
      </c>
      <c r="AG28" s="11"/>
      <c r="AH28" s="11"/>
      <c r="AQ28" s="11"/>
      <c r="AT28" s="15" t="s">
        <v>195</v>
      </c>
      <c r="AU28" s="11" t="n">
        <v>12333333</v>
      </c>
      <c r="AV28" s="15" t="n">
        <v>100</v>
      </c>
      <c r="AW28" s="18" t="n">
        <v>40897</v>
      </c>
      <c r="AX28" s="18" t="n">
        <v>40927</v>
      </c>
      <c r="AZ28" s="15" t="s">
        <v>154</v>
      </c>
      <c r="BA28" s="1" t="n">
        <v>2</v>
      </c>
      <c r="BB28" s="15" t="n">
        <v>19.776</v>
      </c>
      <c r="BC28" s="15" t="n">
        <v>19.776</v>
      </c>
      <c r="BD28" s="15" t="n">
        <v>0</v>
      </c>
      <c r="BE28" s="15" t="n">
        <v>713</v>
      </c>
      <c r="BF28" s="9" t="n">
        <f aca="false">15*12</f>
        <v>180</v>
      </c>
      <c r="BG28" s="15" t="n">
        <v>180</v>
      </c>
      <c r="BH28" s="15" t="s">
        <v>155</v>
      </c>
      <c r="BI28" s="15" t="n">
        <v>1</v>
      </c>
      <c r="BJ28" s="20" t="n">
        <f aca="false">+O28</f>
        <v>223000</v>
      </c>
      <c r="BK28" s="9" t="s">
        <v>272</v>
      </c>
      <c r="BL28" s="15" t="s">
        <v>157</v>
      </c>
      <c r="BM28" s="15" t="n">
        <v>1</v>
      </c>
      <c r="BN28" s="15" t="n">
        <v>26.671097</v>
      </c>
      <c r="BO28" s="15" t="n">
        <v>1</v>
      </c>
      <c r="BP28" s="15" t="n">
        <v>0</v>
      </c>
      <c r="BY28" s="20" t="n">
        <f aca="false">+O28</f>
        <v>223000</v>
      </c>
      <c r="BZ28" s="15" t="n">
        <v>0</v>
      </c>
      <c r="CA28" s="15" t="n">
        <v>0</v>
      </c>
      <c r="CC28" s="15" t="n">
        <v>0</v>
      </c>
      <c r="CD28" s="15" t="n">
        <v>0</v>
      </c>
      <c r="CE28" s="18" t="n">
        <v>40909</v>
      </c>
      <c r="CF28" s="15" t="n">
        <v>1</v>
      </c>
      <c r="CG28" s="15" t="n">
        <v>0</v>
      </c>
      <c r="CH28" s="15" t="n">
        <v>0</v>
      </c>
      <c r="CI28" s="15" t="n">
        <v>0</v>
      </c>
      <c r="CJ28" s="15" t="n">
        <v>0</v>
      </c>
      <c r="CK28" s="15" t="n">
        <v>1</v>
      </c>
      <c r="CL28" s="15" t="n">
        <v>1</v>
      </c>
      <c r="CM28" s="15" t="s">
        <v>176</v>
      </c>
      <c r="CO28" s="15" t="n">
        <v>43</v>
      </c>
      <c r="CQ28" s="15" t="s">
        <v>159</v>
      </c>
      <c r="CS28" s="15" t="n">
        <v>0</v>
      </c>
      <c r="CT28" s="15" t="n">
        <v>0</v>
      </c>
      <c r="CU28" s="15" t="n">
        <v>0</v>
      </c>
      <c r="DA28" s="15" t="s">
        <v>160</v>
      </c>
      <c r="DB28" s="15" t="n">
        <v>1000100100</v>
      </c>
      <c r="DC28" s="15" t="n">
        <v>0</v>
      </c>
      <c r="DE28" s="15" t="n">
        <v>2</v>
      </c>
      <c r="DF28" s="15" t="n">
        <v>15</v>
      </c>
      <c r="DG28" s="15" t="n">
        <v>20808.22</v>
      </c>
      <c r="DH28" s="11" t="s">
        <v>161</v>
      </c>
      <c r="DJ28" s="15" t="n">
        <v>0</v>
      </c>
      <c r="DL28" s="15" t="n">
        <f aca="false">+R28</f>
        <v>4.875</v>
      </c>
      <c r="DQ28" s="15" t="n">
        <v>0</v>
      </c>
      <c r="DR28" s="15" t="n">
        <v>100</v>
      </c>
      <c r="DU28" s="15" t="n">
        <v>0</v>
      </c>
      <c r="DV28" s="15" t="n">
        <v>0</v>
      </c>
      <c r="DW28" s="15" t="n">
        <v>0</v>
      </c>
      <c r="DX28" s="15" t="s">
        <v>162</v>
      </c>
      <c r="EH28" s="10" t="s">
        <v>296</v>
      </c>
      <c r="EI28" s="15" t="n">
        <v>7516</v>
      </c>
      <c r="EJ28" s="10" t="s">
        <v>313</v>
      </c>
      <c r="EK28" s="10" t="s">
        <v>242</v>
      </c>
      <c r="EL28" s="10" t="s">
        <v>168</v>
      </c>
      <c r="EM28" s="10" t="s">
        <v>343</v>
      </c>
    </row>
    <row collapsed="false" customFormat="true" customHeight="false" hidden="false" ht="14.9" outlineLevel="0" r="29" s="15">
      <c r="A29" s="15" t="s">
        <v>263</v>
      </c>
      <c r="B29" s="10" t="s">
        <v>345</v>
      </c>
      <c r="C29" s="10" t="s">
        <v>346</v>
      </c>
      <c r="H29" s="10" t="s">
        <v>347</v>
      </c>
      <c r="I29" s="10" t="s">
        <v>168</v>
      </c>
      <c r="J29" s="10" t="s">
        <v>348</v>
      </c>
      <c r="K29" s="11" t="s">
        <v>349</v>
      </c>
      <c r="M29" s="15" t="n">
        <v>1</v>
      </c>
      <c r="N29" s="15" t="s">
        <v>185</v>
      </c>
      <c r="O29" s="12" t="n">
        <v>290700</v>
      </c>
      <c r="P29" s="12" t="n">
        <v>290700</v>
      </c>
      <c r="Q29" s="15" t="n">
        <v>1453.5</v>
      </c>
      <c r="R29" s="15" t="n">
        <v>5.25</v>
      </c>
      <c r="S29" s="13" t="n">
        <v>40896</v>
      </c>
      <c r="T29" s="13" t="n">
        <v>40896</v>
      </c>
      <c r="U29" s="18" t="n">
        <v>40940</v>
      </c>
      <c r="V29" s="18" t="n">
        <v>48245</v>
      </c>
      <c r="W29" s="19" t="n">
        <v>0</v>
      </c>
      <c r="X29" s="3" t="n">
        <v>170498</v>
      </c>
      <c r="Y29" s="19"/>
      <c r="Z29" s="15" t="n">
        <v>1</v>
      </c>
      <c r="AB29" s="15" t="s">
        <v>270</v>
      </c>
      <c r="AD29" s="10" t="s">
        <v>347</v>
      </c>
      <c r="AE29" s="10" t="s">
        <v>168</v>
      </c>
      <c r="AF29" s="10" t="s">
        <v>348</v>
      </c>
      <c r="AG29" s="11"/>
      <c r="AH29" s="11"/>
      <c r="AQ29" s="11"/>
      <c r="AT29" s="15" t="s">
        <v>195</v>
      </c>
      <c r="AU29" s="11" t="n">
        <v>12333333</v>
      </c>
      <c r="AV29" s="15" t="n">
        <v>100</v>
      </c>
      <c r="AW29" s="18" t="n">
        <v>40897</v>
      </c>
      <c r="AX29" s="18" t="n">
        <v>40927</v>
      </c>
      <c r="AZ29" s="15" t="s">
        <v>154</v>
      </c>
      <c r="BA29" s="1" t="n">
        <v>2</v>
      </c>
      <c r="BB29" s="15" t="n">
        <v>47.042</v>
      </c>
      <c r="BC29" s="15" t="n">
        <v>47.042</v>
      </c>
      <c r="BD29" s="15" t="n">
        <v>0</v>
      </c>
      <c r="BE29" s="15" t="n">
        <v>745</v>
      </c>
      <c r="BF29" s="15" t="n">
        <v>240</v>
      </c>
      <c r="BG29" s="15" t="n">
        <v>240</v>
      </c>
      <c r="BH29" s="15" t="s">
        <v>173</v>
      </c>
      <c r="BI29" s="15" t="n">
        <v>1</v>
      </c>
      <c r="BJ29" s="20" t="n">
        <f aca="false">+O29</f>
        <v>290700</v>
      </c>
      <c r="BK29" s="9" t="s">
        <v>272</v>
      </c>
      <c r="BL29" s="15" t="s">
        <v>157</v>
      </c>
      <c r="BM29" s="15" t="n">
        <v>1</v>
      </c>
      <c r="BN29" s="15" t="n">
        <v>27.037002</v>
      </c>
      <c r="BO29" s="15" t="n">
        <v>1</v>
      </c>
      <c r="BP29" s="15" t="n">
        <v>0</v>
      </c>
      <c r="BY29" s="20" t="n">
        <f aca="false">+O29</f>
        <v>290700</v>
      </c>
      <c r="BZ29" s="15" t="n">
        <v>0</v>
      </c>
      <c r="CA29" s="15" t="n">
        <v>0</v>
      </c>
      <c r="CC29" s="15" t="n">
        <v>0</v>
      </c>
      <c r="CD29" s="15" t="n">
        <v>0</v>
      </c>
      <c r="CE29" s="18" t="n">
        <v>40909</v>
      </c>
      <c r="CF29" s="15" t="n">
        <v>1</v>
      </c>
      <c r="CG29" s="15" t="n">
        <v>0</v>
      </c>
      <c r="CH29" s="15" t="n">
        <v>0</v>
      </c>
      <c r="CI29" s="15" t="n">
        <v>0</v>
      </c>
      <c r="CJ29" s="15" t="n">
        <v>0</v>
      </c>
      <c r="CK29" s="15" t="n">
        <v>1</v>
      </c>
      <c r="CL29" s="15" t="n">
        <v>1</v>
      </c>
      <c r="CM29" s="15" t="s">
        <v>245</v>
      </c>
      <c r="CO29" s="15" t="n">
        <v>66</v>
      </c>
      <c r="CQ29" s="15" t="s">
        <v>159</v>
      </c>
      <c r="CS29" s="15" t="n">
        <v>0</v>
      </c>
      <c r="CT29" s="15" t="n">
        <v>0</v>
      </c>
      <c r="CU29" s="15" t="n">
        <v>0</v>
      </c>
      <c r="DA29" s="15" t="s">
        <v>160</v>
      </c>
      <c r="DB29" s="15" t="n">
        <v>1000100100</v>
      </c>
      <c r="DC29" s="15" t="n">
        <v>0</v>
      </c>
      <c r="DE29" s="15" t="n">
        <v>6</v>
      </c>
      <c r="DF29" s="15" t="n">
        <v>2</v>
      </c>
      <c r="DG29" s="15" t="n">
        <v>2641.44</v>
      </c>
      <c r="DH29" s="11" t="s">
        <v>161</v>
      </c>
      <c r="DJ29" s="15" t="n">
        <v>0</v>
      </c>
      <c r="DL29" s="15" t="n">
        <f aca="false">+R29</f>
        <v>5.25</v>
      </c>
      <c r="DQ29" s="15" t="n">
        <v>0</v>
      </c>
      <c r="DR29" s="15" t="n">
        <v>100</v>
      </c>
      <c r="DU29" s="15" t="n">
        <v>0</v>
      </c>
      <c r="DV29" s="15" t="n">
        <v>0</v>
      </c>
      <c r="DW29" s="15" t="n">
        <v>0</v>
      </c>
      <c r="DX29" s="15" t="s">
        <v>162</v>
      </c>
      <c r="EH29" s="10" t="s">
        <v>196</v>
      </c>
      <c r="EI29" s="15" t="n">
        <v>32158</v>
      </c>
      <c r="EJ29" s="10" t="s">
        <v>290</v>
      </c>
      <c r="EK29" s="10" t="s">
        <v>347</v>
      </c>
      <c r="EL29" s="10" t="s">
        <v>168</v>
      </c>
      <c r="EM29" s="10" t="s">
        <v>348</v>
      </c>
    </row>
    <row collapsed="false" customFormat="true" customHeight="false" hidden="false" ht="14" outlineLevel="0" r="30" s="15">
      <c r="A30" s="15" t="s">
        <v>263</v>
      </c>
      <c r="B30" s="10" t="s">
        <v>350</v>
      </c>
      <c r="C30" s="10" t="s">
        <v>351</v>
      </c>
      <c r="H30" s="10" t="s">
        <v>352</v>
      </c>
      <c r="I30" s="10" t="s">
        <v>200</v>
      </c>
      <c r="J30" s="10" t="s">
        <v>353</v>
      </c>
      <c r="K30" s="11" t="s">
        <v>354</v>
      </c>
      <c r="L30" s="11" t="s">
        <v>355</v>
      </c>
      <c r="M30" s="15" t="n">
        <v>1</v>
      </c>
      <c r="N30" s="15" t="s">
        <v>194</v>
      </c>
      <c r="O30" s="12" t="n">
        <v>616100</v>
      </c>
      <c r="P30" s="12" t="n">
        <v>616100</v>
      </c>
      <c r="Q30" s="15" t="n">
        <v>3080.5</v>
      </c>
      <c r="R30" s="15" t="n">
        <v>4.5</v>
      </c>
      <c r="S30" s="13" t="n">
        <v>40896</v>
      </c>
      <c r="T30" s="13" t="n">
        <v>40896</v>
      </c>
      <c r="U30" s="18" t="n">
        <v>40940</v>
      </c>
      <c r="V30" s="18" t="n">
        <v>50072</v>
      </c>
      <c r="W30" s="19" t="n">
        <v>0</v>
      </c>
      <c r="X30" s="3" t="n">
        <v>493904</v>
      </c>
      <c r="Y30" s="19"/>
      <c r="Z30" s="15" t="n">
        <v>1</v>
      </c>
      <c r="AB30" s="15" t="s">
        <v>270</v>
      </c>
      <c r="AD30" s="10" t="s">
        <v>352</v>
      </c>
      <c r="AE30" s="10" t="s">
        <v>200</v>
      </c>
      <c r="AF30" s="10" t="s">
        <v>353</v>
      </c>
      <c r="AG30" s="11"/>
      <c r="AH30" s="11"/>
      <c r="AQ30" s="11"/>
      <c r="AT30" s="15" t="s">
        <v>195</v>
      </c>
      <c r="AU30" s="11" t="n">
        <v>12333333</v>
      </c>
      <c r="AV30" s="15" t="n">
        <v>100</v>
      </c>
      <c r="AW30" s="18" t="n">
        <v>40897</v>
      </c>
      <c r="AX30" s="18" t="n">
        <v>40927</v>
      </c>
      <c r="AZ30" s="15" t="s">
        <v>154</v>
      </c>
      <c r="BA30" s="1" t="n">
        <v>1</v>
      </c>
      <c r="BB30" s="15" t="n">
        <v>50.722</v>
      </c>
      <c r="BC30" s="15" t="n">
        <v>50.722</v>
      </c>
      <c r="BD30" s="15" t="n">
        <v>0</v>
      </c>
      <c r="BE30" s="15" t="n">
        <v>719</v>
      </c>
      <c r="BF30" s="15" t="n">
        <v>300</v>
      </c>
      <c r="BG30" s="15" t="n">
        <v>300</v>
      </c>
      <c r="BH30" s="15" t="s">
        <v>238</v>
      </c>
      <c r="BI30" s="15" t="n">
        <v>1</v>
      </c>
      <c r="BJ30" s="20" t="n">
        <f aca="false">+O30</f>
        <v>616100</v>
      </c>
      <c r="BK30" s="9" t="s">
        <v>272</v>
      </c>
      <c r="BL30" s="15" t="s">
        <v>157</v>
      </c>
      <c r="BM30" s="15" t="n">
        <v>1</v>
      </c>
      <c r="BN30" s="15" t="n">
        <v>20.801104</v>
      </c>
      <c r="BO30" s="15" t="n">
        <v>1</v>
      </c>
      <c r="BP30" s="15" t="n">
        <v>0</v>
      </c>
      <c r="BY30" s="20" t="n">
        <f aca="false">+O30</f>
        <v>616100</v>
      </c>
      <c r="BZ30" s="15" t="n">
        <v>0</v>
      </c>
      <c r="CA30" s="15" t="n">
        <v>0</v>
      </c>
      <c r="CC30" s="15" t="n">
        <v>0</v>
      </c>
      <c r="CD30" s="15" t="n">
        <v>0</v>
      </c>
      <c r="CE30" s="18" t="n">
        <v>40909</v>
      </c>
      <c r="CF30" s="15" t="n">
        <v>1</v>
      </c>
      <c r="CG30" s="15" t="n">
        <v>0</v>
      </c>
      <c r="CH30" s="15" t="n">
        <v>0</v>
      </c>
      <c r="CI30" s="15" t="n">
        <v>0</v>
      </c>
      <c r="CJ30" s="15" t="n">
        <v>0</v>
      </c>
      <c r="CK30" s="15" t="n">
        <v>1</v>
      </c>
      <c r="CL30" s="15" t="n">
        <v>1</v>
      </c>
      <c r="CM30" s="15" t="s">
        <v>176</v>
      </c>
      <c r="CO30" s="15" t="n">
        <v>49</v>
      </c>
      <c r="CQ30" s="15" t="s">
        <v>159</v>
      </c>
      <c r="CS30" s="15" t="n">
        <v>0</v>
      </c>
      <c r="CT30" s="15" t="n">
        <v>0</v>
      </c>
      <c r="CU30" s="15" t="n">
        <v>0</v>
      </c>
      <c r="DA30" s="15" t="s">
        <v>160</v>
      </c>
      <c r="DB30" s="15" t="n">
        <v>1000100100</v>
      </c>
      <c r="DC30" s="15" t="n">
        <v>0</v>
      </c>
      <c r="DE30" s="15" t="n">
        <v>7</v>
      </c>
      <c r="DF30" s="15" t="n">
        <v>15</v>
      </c>
      <c r="DG30" s="15" t="n">
        <v>35251.64</v>
      </c>
      <c r="DH30" s="11" t="s">
        <v>161</v>
      </c>
      <c r="DJ30" s="15" t="n">
        <v>0</v>
      </c>
      <c r="DL30" s="15" t="n">
        <f aca="false">+R30</f>
        <v>4.5</v>
      </c>
      <c r="DQ30" s="15" t="n">
        <v>0</v>
      </c>
      <c r="DR30" s="15" t="n">
        <v>100</v>
      </c>
      <c r="DU30" s="15" t="n">
        <v>0</v>
      </c>
      <c r="DV30" s="15" t="n">
        <v>0</v>
      </c>
      <c r="DW30" s="15" t="n">
        <v>0</v>
      </c>
      <c r="DX30" s="15" t="s">
        <v>162</v>
      </c>
      <c r="EH30" s="10" t="s">
        <v>273</v>
      </c>
      <c r="EI30" s="15" t="n">
        <v>65431</v>
      </c>
      <c r="EJ30" s="10" t="s">
        <v>297</v>
      </c>
      <c r="EK30" s="10" t="s">
        <v>352</v>
      </c>
      <c r="EL30" s="10" t="s">
        <v>200</v>
      </c>
      <c r="EM30" s="10" t="s">
        <v>353</v>
      </c>
    </row>
    <row collapsed="false" customFormat="true" customHeight="false" hidden="false" ht="14.9" outlineLevel="0" r="31" s="15">
      <c r="A31" s="15" t="s">
        <v>263</v>
      </c>
      <c r="B31" s="10" t="s">
        <v>356</v>
      </c>
      <c r="C31" s="10" t="s">
        <v>357</v>
      </c>
      <c r="H31" s="10" t="s">
        <v>332</v>
      </c>
      <c r="I31" s="10" t="s">
        <v>168</v>
      </c>
      <c r="J31" s="10" t="s">
        <v>358</v>
      </c>
      <c r="K31" s="11" t="s">
        <v>340</v>
      </c>
      <c r="L31" s="11" t="s">
        <v>359</v>
      </c>
      <c r="M31" s="15" t="n">
        <v>1</v>
      </c>
      <c r="N31" s="15" t="s">
        <v>204</v>
      </c>
      <c r="O31" s="12" t="n">
        <v>270500</v>
      </c>
      <c r="P31" s="12" t="n">
        <v>270500</v>
      </c>
      <c r="Q31" s="15" t="n">
        <v>1352.5</v>
      </c>
      <c r="R31" s="15" t="n">
        <v>4.875</v>
      </c>
      <c r="S31" s="13" t="n">
        <v>40896</v>
      </c>
      <c r="T31" s="13" t="n">
        <v>40896</v>
      </c>
      <c r="U31" s="18" t="n">
        <v>40940</v>
      </c>
      <c r="V31" s="18" t="n">
        <v>51898</v>
      </c>
      <c r="W31" s="19" t="n">
        <v>0</v>
      </c>
      <c r="X31" s="3" t="n">
        <v>105071</v>
      </c>
      <c r="Y31" s="19"/>
      <c r="Z31" s="15" t="n">
        <v>1</v>
      </c>
      <c r="AB31" s="15" t="s">
        <v>270</v>
      </c>
      <c r="AD31" s="10" t="s">
        <v>332</v>
      </c>
      <c r="AE31" s="10" t="s">
        <v>168</v>
      </c>
      <c r="AF31" s="10" t="s">
        <v>358</v>
      </c>
      <c r="AG31" s="11"/>
      <c r="AH31" s="11"/>
      <c r="AQ31" s="11"/>
      <c r="AT31" s="9" t="s">
        <v>236</v>
      </c>
      <c r="AU31" s="11" t="s">
        <v>237</v>
      </c>
      <c r="AV31" s="15" t="n">
        <v>100</v>
      </c>
      <c r="AW31" s="18" t="n">
        <v>40897</v>
      </c>
      <c r="AX31" s="18" t="n">
        <v>40927</v>
      </c>
      <c r="AZ31" s="15" t="s">
        <v>154</v>
      </c>
      <c r="BA31" s="1" t="n">
        <v>1</v>
      </c>
      <c r="BB31" s="15" t="n">
        <v>80</v>
      </c>
      <c r="BC31" s="15" t="n">
        <v>80</v>
      </c>
      <c r="BD31" s="15" t="n">
        <v>0</v>
      </c>
      <c r="BE31" s="15" t="n">
        <v>809</v>
      </c>
      <c r="BF31" s="15" t="n">
        <v>360</v>
      </c>
      <c r="BG31" s="15" t="n">
        <v>360</v>
      </c>
      <c r="BH31" s="15" t="s">
        <v>238</v>
      </c>
      <c r="BI31" s="15" t="n">
        <v>1</v>
      </c>
      <c r="BJ31" s="20" t="n">
        <f aca="false">+O31</f>
        <v>270500</v>
      </c>
      <c r="BK31" s="9" t="s">
        <v>272</v>
      </c>
      <c r="BL31" s="15" t="s">
        <v>157</v>
      </c>
      <c r="BM31" s="15" t="n">
        <v>3</v>
      </c>
      <c r="BN31" s="15" t="n">
        <v>56.782254</v>
      </c>
      <c r="BO31" s="15" t="n">
        <v>1</v>
      </c>
      <c r="BP31" s="15" t="n">
        <v>0</v>
      </c>
      <c r="BY31" s="20" t="n">
        <f aca="false">+O31</f>
        <v>270500</v>
      </c>
      <c r="BZ31" s="15" t="n">
        <v>0</v>
      </c>
      <c r="CA31" s="15" t="n">
        <v>0</v>
      </c>
      <c r="CC31" s="15" t="n">
        <v>0</v>
      </c>
      <c r="CD31" s="15" t="n">
        <v>0</v>
      </c>
      <c r="CE31" s="18" t="n">
        <v>40909</v>
      </c>
      <c r="CF31" s="15" t="n">
        <v>1</v>
      </c>
      <c r="CG31" s="15" t="n">
        <v>0</v>
      </c>
      <c r="CH31" s="15" t="n">
        <v>0</v>
      </c>
      <c r="CI31" s="15" t="n">
        <v>0</v>
      </c>
      <c r="CJ31" s="15" t="n">
        <v>0</v>
      </c>
      <c r="CK31" s="15" t="n">
        <v>1</v>
      </c>
      <c r="CL31" s="15" t="n">
        <v>1</v>
      </c>
      <c r="CM31" s="15" t="s">
        <v>176</v>
      </c>
      <c r="CO31" s="15" t="n">
        <v>45</v>
      </c>
      <c r="CQ31" s="15" t="s">
        <v>159</v>
      </c>
      <c r="CS31" s="15" t="n">
        <v>0</v>
      </c>
      <c r="CT31" s="15" t="n">
        <v>0</v>
      </c>
      <c r="CU31" s="15" t="n">
        <v>0</v>
      </c>
      <c r="DA31" s="15" t="s">
        <v>160</v>
      </c>
      <c r="DB31" s="15" t="n">
        <v>1000100100</v>
      </c>
      <c r="DC31" s="15" t="n">
        <v>0</v>
      </c>
      <c r="DE31" s="15" t="n">
        <v>4</v>
      </c>
      <c r="DF31" s="15" t="n">
        <v>0</v>
      </c>
      <c r="DG31" s="15" t="n">
        <v>196.04</v>
      </c>
      <c r="DH31" s="11" t="s">
        <v>161</v>
      </c>
      <c r="DJ31" s="15" t="n">
        <v>0</v>
      </c>
      <c r="DL31" s="15" t="n">
        <f aca="false">+R31</f>
        <v>4.875</v>
      </c>
      <c r="DQ31" s="15" t="n">
        <v>0</v>
      </c>
      <c r="DR31" s="15" t="n">
        <v>100</v>
      </c>
      <c r="DU31" s="15" t="n">
        <v>0</v>
      </c>
      <c r="DV31" s="15" t="n">
        <v>0</v>
      </c>
      <c r="DW31" s="15" t="n">
        <v>0</v>
      </c>
      <c r="DX31" s="15" t="s">
        <v>162</v>
      </c>
      <c r="EH31" s="10" t="s">
        <v>281</v>
      </c>
      <c r="EI31" s="15" t="n">
        <v>554646</v>
      </c>
      <c r="EJ31" s="10" t="s">
        <v>179</v>
      </c>
      <c r="EK31" s="10" t="s">
        <v>332</v>
      </c>
      <c r="EL31" s="10" t="s">
        <v>168</v>
      </c>
      <c r="EM31" s="10" t="s">
        <v>358</v>
      </c>
    </row>
    <row collapsed="false" customFormat="true" customHeight="false" hidden="false" ht="14" outlineLevel="0" r="32" s="15">
      <c r="A32" s="15" t="s">
        <v>263</v>
      </c>
      <c r="B32" s="10" t="s">
        <v>360</v>
      </c>
      <c r="C32" s="10" t="s">
        <v>361</v>
      </c>
      <c r="H32" s="10" t="s">
        <v>242</v>
      </c>
      <c r="I32" s="10" t="s">
        <v>168</v>
      </c>
      <c r="J32" s="10" t="s">
        <v>362</v>
      </c>
      <c r="K32" s="11" t="s">
        <v>363</v>
      </c>
      <c r="L32" s="11"/>
      <c r="M32" s="15" t="n">
        <v>1</v>
      </c>
      <c r="N32" s="15" t="s">
        <v>211</v>
      </c>
      <c r="O32" s="12" t="n">
        <v>185000</v>
      </c>
      <c r="P32" s="12" t="n">
        <v>185000</v>
      </c>
      <c r="Q32" s="15" t="n">
        <v>925</v>
      </c>
      <c r="R32" s="15" t="n">
        <v>5.25</v>
      </c>
      <c r="S32" s="13" t="n">
        <v>40896</v>
      </c>
      <c r="T32" s="13" t="n">
        <v>40896</v>
      </c>
      <c r="U32" s="18" t="n">
        <v>40940</v>
      </c>
      <c r="V32" s="18" t="n">
        <v>51898</v>
      </c>
      <c r="W32" s="19" t="n">
        <v>0</v>
      </c>
      <c r="X32" s="3" t="n">
        <v>125967</v>
      </c>
      <c r="Y32" s="19"/>
      <c r="Z32" s="15" t="n">
        <v>1</v>
      </c>
      <c r="AB32" s="15" t="s">
        <v>270</v>
      </c>
      <c r="AD32" s="10" t="s">
        <v>242</v>
      </c>
      <c r="AE32" s="10" t="s">
        <v>168</v>
      </c>
      <c r="AF32" s="10" t="s">
        <v>362</v>
      </c>
      <c r="AG32" s="11"/>
      <c r="AH32" s="11"/>
      <c r="AQ32" s="11"/>
      <c r="AT32" s="21" t="s">
        <v>364</v>
      </c>
      <c r="AU32" s="11" t="s">
        <v>365</v>
      </c>
      <c r="AV32" s="15" t="n">
        <v>100</v>
      </c>
      <c r="AW32" s="18" t="n">
        <v>40897</v>
      </c>
      <c r="AX32" s="18" t="n">
        <v>40927</v>
      </c>
      <c r="AZ32" s="15" t="s">
        <v>154</v>
      </c>
      <c r="BA32" s="1" t="n">
        <v>1</v>
      </c>
      <c r="BB32" s="15" t="n">
        <v>35.831</v>
      </c>
      <c r="BC32" s="15" t="n">
        <v>35.831</v>
      </c>
      <c r="BD32" s="15" t="n">
        <v>0</v>
      </c>
      <c r="BE32" s="15" t="n">
        <v>713</v>
      </c>
      <c r="BF32" s="15" t="n">
        <v>360</v>
      </c>
      <c r="BG32" s="15" t="n">
        <v>360</v>
      </c>
      <c r="BH32" s="15" t="s">
        <v>238</v>
      </c>
      <c r="BI32" s="15" t="n">
        <v>1</v>
      </c>
      <c r="BJ32" s="20" t="n">
        <f aca="false">+O32</f>
        <v>185000</v>
      </c>
      <c r="BK32" s="9" t="s">
        <v>272</v>
      </c>
      <c r="BL32" s="15" t="s">
        <v>157</v>
      </c>
      <c r="BM32" s="15" t="n">
        <v>1</v>
      </c>
      <c r="BN32" s="15" t="n">
        <v>47.847961</v>
      </c>
      <c r="BO32" s="15" t="n">
        <v>1</v>
      </c>
      <c r="BP32" s="15" t="n">
        <v>0</v>
      </c>
      <c r="BY32" s="20" t="n">
        <f aca="false">+O32</f>
        <v>185000</v>
      </c>
      <c r="BZ32" s="15" t="n">
        <v>0</v>
      </c>
      <c r="CA32" s="15" t="n">
        <v>0</v>
      </c>
      <c r="CC32" s="15" t="n">
        <v>0</v>
      </c>
      <c r="CD32" s="15" t="n">
        <v>0</v>
      </c>
      <c r="CE32" s="18" t="n">
        <v>40909</v>
      </c>
      <c r="CF32" s="15" t="n">
        <v>1</v>
      </c>
      <c r="CG32" s="15" t="n">
        <v>0</v>
      </c>
      <c r="CH32" s="15" t="n">
        <v>0</v>
      </c>
      <c r="CI32" s="15" t="n">
        <v>0</v>
      </c>
      <c r="CJ32" s="15" t="n">
        <v>0</v>
      </c>
      <c r="CK32" s="15" t="n">
        <v>1</v>
      </c>
      <c r="CL32" s="15" t="n">
        <v>1</v>
      </c>
      <c r="CM32" s="9" t="s">
        <v>245</v>
      </c>
      <c r="CO32" s="15" t="n">
        <v>46</v>
      </c>
      <c r="CQ32" s="15" t="s">
        <v>159</v>
      </c>
      <c r="CS32" s="15" t="n">
        <v>0</v>
      </c>
      <c r="CT32" s="15" t="n">
        <v>0</v>
      </c>
      <c r="CU32" s="15" t="n">
        <v>0</v>
      </c>
      <c r="DA32" s="15" t="s">
        <v>160</v>
      </c>
      <c r="DB32" s="15" t="n">
        <v>1000100100</v>
      </c>
      <c r="DC32" s="15" t="n">
        <v>0</v>
      </c>
      <c r="DE32" s="15" t="n">
        <v>4</v>
      </c>
      <c r="DF32" s="15" t="n">
        <v>87</v>
      </c>
      <c r="DG32" s="15" t="n">
        <v>148993.24</v>
      </c>
      <c r="DH32" s="11" t="s">
        <v>161</v>
      </c>
      <c r="DJ32" s="15" t="n">
        <v>0</v>
      </c>
      <c r="DL32" s="15" t="n">
        <f aca="false">+R32</f>
        <v>5.25</v>
      </c>
      <c r="DQ32" s="15" t="n">
        <v>0</v>
      </c>
      <c r="DR32" s="15" t="n">
        <v>100</v>
      </c>
      <c r="DU32" s="15" t="n">
        <v>0</v>
      </c>
      <c r="DV32" s="15" t="n">
        <v>0</v>
      </c>
      <c r="DW32" s="15" t="n">
        <v>0</v>
      </c>
      <c r="DX32" s="15" t="s">
        <v>162</v>
      </c>
      <c r="EH32" s="10" t="s">
        <v>289</v>
      </c>
      <c r="EI32" s="15" t="n">
        <v>66545</v>
      </c>
      <c r="EJ32" s="10" t="s">
        <v>273</v>
      </c>
      <c r="EK32" s="10" t="s">
        <v>242</v>
      </c>
      <c r="EL32" s="10" t="s">
        <v>168</v>
      </c>
      <c r="EM32" s="10" t="s">
        <v>362</v>
      </c>
    </row>
    <row collapsed="false" customFormat="true" customHeight="false" hidden="false" ht="14" outlineLevel="0" r="33" s="15">
      <c r="A33" s="15" t="s">
        <v>263</v>
      </c>
      <c r="B33" s="10" t="s">
        <v>366</v>
      </c>
      <c r="C33" s="10" t="s">
        <v>367</v>
      </c>
      <c r="H33" s="10" t="s">
        <v>242</v>
      </c>
      <c r="I33" s="10" t="s">
        <v>168</v>
      </c>
      <c r="J33" s="10" t="s">
        <v>368</v>
      </c>
      <c r="K33" s="11" t="s">
        <v>369</v>
      </c>
      <c r="L33" s="11"/>
      <c r="M33" s="15" t="n">
        <v>1</v>
      </c>
      <c r="N33" s="15" t="s">
        <v>222</v>
      </c>
      <c r="O33" s="12" t="n">
        <v>504000</v>
      </c>
      <c r="P33" s="12" t="n">
        <v>504000</v>
      </c>
      <c r="Q33" s="15" t="n">
        <v>2520</v>
      </c>
      <c r="R33" s="15" t="n">
        <v>4.5</v>
      </c>
      <c r="S33" s="13" t="n">
        <v>40896</v>
      </c>
      <c r="T33" s="13" t="n">
        <v>40896</v>
      </c>
      <c r="U33" s="18" t="n">
        <v>40940</v>
      </c>
      <c r="V33" s="18" t="n">
        <v>51898</v>
      </c>
      <c r="W33" s="19" t="n">
        <v>0</v>
      </c>
      <c r="X33" s="3" t="n">
        <v>282428</v>
      </c>
      <c r="Y33" s="19"/>
      <c r="Z33" s="15" t="n">
        <v>1</v>
      </c>
      <c r="AB33" s="15" t="s">
        <v>270</v>
      </c>
      <c r="AD33" s="10" t="s">
        <v>242</v>
      </c>
      <c r="AE33" s="10" t="s">
        <v>168</v>
      </c>
      <c r="AF33" s="10" t="s">
        <v>368</v>
      </c>
      <c r="AG33" s="11"/>
      <c r="AH33" s="11"/>
      <c r="AQ33" s="11"/>
      <c r="AT33" s="9" t="s">
        <v>152</v>
      </c>
      <c r="AU33" s="11" t="s">
        <v>153</v>
      </c>
      <c r="AV33" s="15" t="n">
        <v>100</v>
      </c>
      <c r="AW33" s="18" t="n">
        <v>40897</v>
      </c>
      <c r="AX33" s="18" t="n">
        <v>40927</v>
      </c>
      <c r="AZ33" s="15" t="s">
        <v>271</v>
      </c>
      <c r="BA33" s="1" t="n">
        <v>1</v>
      </c>
      <c r="BB33" s="15" t="n">
        <v>45.833</v>
      </c>
      <c r="BC33" s="15" t="n">
        <v>45.833</v>
      </c>
      <c r="BD33" s="15" t="n">
        <v>0</v>
      </c>
      <c r="BE33" s="15" t="n">
        <v>745</v>
      </c>
      <c r="BF33" s="15" t="n">
        <v>360</v>
      </c>
      <c r="BG33" s="15" t="n">
        <v>360</v>
      </c>
      <c r="BH33" s="15" t="s">
        <v>238</v>
      </c>
      <c r="BI33" s="15" t="n">
        <v>1</v>
      </c>
      <c r="BJ33" s="20" t="n">
        <f aca="false">+O33</f>
        <v>504000</v>
      </c>
      <c r="BK33" s="9" t="s">
        <v>272</v>
      </c>
      <c r="BL33" s="15" t="s">
        <v>157</v>
      </c>
      <c r="BM33" s="15" t="n">
        <v>1</v>
      </c>
      <c r="BN33" s="15" t="n">
        <v>26.671097</v>
      </c>
      <c r="BO33" s="15" t="n">
        <v>1</v>
      </c>
      <c r="BP33" s="15" t="n">
        <v>0</v>
      </c>
      <c r="BY33" s="20" t="n">
        <f aca="false">+O33</f>
        <v>504000</v>
      </c>
      <c r="BZ33" s="15" t="n">
        <v>0</v>
      </c>
      <c r="CA33" s="15" t="n">
        <v>0</v>
      </c>
      <c r="CC33" s="15" t="n">
        <v>0</v>
      </c>
      <c r="CD33" s="15" t="n">
        <v>0</v>
      </c>
      <c r="CE33" s="18" t="n">
        <v>40909</v>
      </c>
      <c r="CF33" s="15" t="n">
        <v>1</v>
      </c>
      <c r="CG33" s="15" t="n">
        <v>0</v>
      </c>
      <c r="CH33" s="15" t="n">
        <v>0</v>
      </c>
      <c r="CI33" s="15" t="n">
        <v>0</v>
      </c>
      <c r="CJ33" s="15" t="n">
        <v>0</v>
      </c>
      <c r="CK33" s="15" t="n">
        <v>1</v>
      </c>
      <c r="CL33" s="15" t="n">
        <v>1</v>
      </c>
      <c r="CM33" s="15" t="s">
        <v>176</v>
      </c>
      <c r="CO33" s="15" t="n">
        <v>64</v>
      </c>
      <c r="CQ33" s="15" t="s">
        <v>159</v>
      </c>
      <c r="CS33" s="15" t="n">
        <v>0</v>
      </c>
      <c r="CT33" s="15" t="n">
        <v>0</v>
      </c>
      <c r="CU33" s="15" t="n">
        <v>0</v>
      </c>
      <c r="DA33" s="15" t="s">
        <v>160</v>
      </c>
      <c r="DB33" s="15" t="n">
        <v>1000100100</v>
      </c>
      <c r="DC33" s="15" t="n">
        <v>0</v>
      </c>
      <c r="DE33" s="15" t="n">
        <v>8</v>
      </c>
      <c r="DF33" s="15" t="n">
        <v>0</v>
      </c>
      <c r="DG33" s="15" t="n">
        <v>209.47</v>
      </c>
      <c r="DH33" s="11" t="s">
        <v>161</v>
      </c>
      <c r="DJ33" s="15" t="n">
        <v>0</v>
      </c>
      <c r="DL33" s="15" t="n">
        <f aca="false">+R33</f>
        <v>4.5</v>
      </c>
      <c r="DQ33" s="15" t="n">
        <v>0</v>
      </c>
      <c r="DR33" s="15" t="n">
        <v>100</v>
      </c>
      <c r="DS33" s="15" t="s">
        <v>224</v>
      </c>
      <c r="DU33" s="15" t="n">
        <v>0</v>
      </c>
      <c r="DV33" s="15" t="n">
        <v>0</v>
      </c>
      <c r="DW33" s="15" t="n">
        <v>0</v>
      </c>
      <c r="DX33" s="15" t="s">
        <v>225</v>
      </c>
      <c r="EH33" s="10" t="s">
        <v>296</v>
      </c>
      <c r="EI33" s="15" t="n">
        <v>7516</v>
      </c>
      <c r="EJ33" s="10" t="s">
        <v>313</v>
      </c>
      <c r="EK33" s="10" t="s">
        <v>242</v>
      </c>
      <c r="EL33" s="10" t="s">
        <v>168</v>
      </c>
      <c r="EM33" s="10" t="s">
        <v>368</v>
      </c>
    </row>
    <row collapsed="false" customFormat="true" customHeight="false" hidden="false" ht="14.9" outlineLevel="0" r="34" s="15">
      <c r="A34" s="15" t="s">
        <v>263</v>
      </c>
      <c r="B34" s="10" t="s">
        <v>370</v>
      </c>
      <c r="C34" s="10" t="s">
        <v>371</v>
      </c>
      <c r="H34" s="10" t="s">
        <v>372</v>
      </c>
      <c r="I34" s="10" t="s">
        <v>168</v>
      </c>
      <c r="J34" s="10" t="s">
        <v>373</v>
      </c>
      <c r="K34" s="11" t="s">
        <v>355</v>
      </c>
      <c r="L34" s="11"/>
      <c r="M34" s="15" t="n">
        <v>1</v>
      </c>
      <c r="N34" s="15" t="s">
        <v>222</v>
      </c>
      <c r="O34" s="12" t="n">
        <v>250000</v>
      </c>
      <c r="P34" s="12" t="n">
        <v>250000</v>
      </c>
      <c r="Q34" s="15" t="n">
        <v>1250</v>
      </c>
      <c r="R34" s="15" t="n">
        <v>5.875</v>
      </c>
      <c r="S34" s="13" t="n">
        <v>40896</v>
      </c>
      <c r="T34" s="13" t="n">
        <v>40896</v>
      </c>
      <c r="U34" s="18" t="n">
        <v>40940</v>
      </c>
      <c r="V34" s="18" t="n">
        <v>51898</v>
      </c>
      <c r="W34" s="19" t="n">
        <v>0</v>
      </c>
      <c r="X34" s="3" t="n">
        <v>12375</v>
      </c>
      <c r="Y34" s="19"/>
      <c r="Z34" s="15" t="n">
        <v>1</v>
      </c>
      <c r="AB34" s="15" t="s">
        <v>270</v>
      </c>
      <c r="AD34" s="10" t="s">
        <v>372</v>
      </c>
      <c r="AE34" s="10" t="s">
        <v>168</v>
      </c>
      <c r="AF34" s="10" t="s">
        <v>373</v>
      </c>
      <c r="AG34" s="11"/>
      <c r="AH34" s="11"/>
      <c r="AQ34" s="11"/>
      <c r="AT34" s="9" t="s">
        <v>152</v>
      </c>
      <c r="AU34" s="11" t="s">
        <v>153</v>
      </c>
      <c r="AV34" s="15" t="n">
        <v>100</v>
      </c>
      <c r="AW34" s="18" t="n">
        <v>40897</v>
      </c>
      <c r="AX34" s="18" t="n">
        <v>40927</v>
      </c>
      <c r="AZ34" s="15" t="s">
        <v>154</v>
      </c>
      <c r="BA34" s="1" t="n">
        <v>1</v>
      </c>
      <c r="BB34" s="15" t="n">
        <v>89.209</v>
      </c>
      <c r="BC34" s="15" t="n">
        <v>89.209</v>
      </c>
      <c r="BD34" s="15" t="n">
        <v>0</v>
      </c>
      <c r="BE34" s="15" t="n">
        <v>735</v>
      </c>
      <c r="BF34" s="15" t="n">
        <v>360</v>
      </c>
      <c r="BG34" s="15" t="n">
        <v>360</v>
      </c>
      <c r="BH34" s="15" t="s">
        <v>238</v>
      </c>
      <c r="BI34" s="15" t="n">
        <v>1</v>
      </c>
      <c r="BJ34" s="20" t="n">
        <f aca="false">+O34</f>
        <v>250000</v>
      </c>
      <c r="BK34" s="9" t="s">
        <v>272</v>
      </c>
      <c r="BL34" s="15" t="s">
        <v>174</v>
      </c>
      <c r="BM34" s="15" t="n">
        <v>1</v>
      </c>
      <c r="BN34" s="15" t="n">
        <v>27.037002</v>
      </c>
      <c r="BO34" s="15" t="n">
        <v>1</v>
      </c>
      <c r="BP34" s="15" t="n">
        <v>0</v>
      </c>
      <c r="BY34" s="20" t="n">
        <f aca="false">+O34</f>
        <v>250000</v>
      </c>
      <c r="BZ34" s="15" t="n">
        <v>0</v>
      </c>
      <c r="CA34" s="15" t="n">
        <v>0</v>
      </c>
      <c r="CC34" s="15" t="n">
        <v>0</v>
      </c>
      <c r="CD34" s="15" t="n">
        <v>0</v>
      </c>
      <c r="CE34" s="18" t="n">
        <v>40909</v>
      </c>
      <c r="CF34" s="15" t="n">
        <v>1</v>
      </c>
      <c r="CG34" s="15" t="n">
        <v>0</v>
      </c>
      <c r="CH34" s="15" t="n">
        <v>0</v>
      </c>
      <c r="CI34" s="15" t="n">
        <v>0</v>
      </c>
      <c r="CJ34" s="15" t="n">
        <v>0</v>
      </c>
      <c r="CK34" s="15" t="n">
        <v>1</v>
      </c>
      <c r="CL34" s="15" t="n">
        <v>1</v>
      </c>
      <c r="CM34" s="15" t="s">
        <v>158</v>
      </c>
      <c r="CO34" s="15" t="n">
        <v>45</v>
      </c>
      <c r="CQ34" s="15" t="s">
        <v>159</v>
      </c>
      <c r="CS34" s="15" t="n">
        <v>0</v>
      </c>
      <c r="CT34" s="15" t="n">
        <v>0</v>
      </c>
      <c r="CU34" s="15" t="n">
        <v>0</v>
      </c>
      <c r="DA34" s="15" t="s">
        <v>160</v>
      </c>
      <c r="DB34" s="15" t="n">
        <v>1000100100</v>
      </c>
      <c r="DC34" s="15" t="n">
        <v>0</v>
      </c>
      <c r="DE34" s="15" t="n">
        <v>12</v>
      </c>
      <c r="DF34" s="15" t="n">
        <v>0</v>
      </c>
      <c r="DG34" s="15" t="n">
        <v>301.07</v>
      </c>
      <c r="DH34" s="11" t="s">
        <v>161</v>
      </c>
      <c r="DJ34" s="15" t="n">
        <v>0</v>
      </c>
      <c r="DL34" s="15" t="n">
        <f aca="false">+R34</f>
        <v>5.875</v>
      </c>
      <c r="DQ34" s="15" t="n">
        <v>0</v>
      </c>
      <c r="DR34" s="15" t="n">
        <v>100</v>
      </c>
      <c r="DS34" s="15" t="s">
        <v>224</v>
      </c>
      <c r="DU34" s="15" t="n">
        <v>0</v>
      </c>
      <c r="DV34" s="15" t="n">
        <v>0</v>
      </c>
      <c r="DW34" s="15" t="n">
        <v>0</v>
      </c>
      <c r="DX34" s="15" t="s">
        <v>225</v>
      </c>
      <c r="EH34" s="10" t="s">
        <v>196</v>
      </c>
      <c r="EI34" s="15" t="n">
        <v>32158</v>
      </c>
      <c r="EJ34" s="10" t="s">
        <v>274</v>
      </c>
      <c r="EK34" s="10" t="s">
        <v>372</v>
      </c>
      <c r="EL34" s="10" t="s">
        <v>168</v>
      </c>
      <c r="EM34" s="10" t="s">
        <v>373</v>
      </c>
    </row>
    <row collapsed="false" customFormat="true" customHeight="false" hidden="false" ht="14.9" outlineLevel="0" r="35" s="15">
      <c r="A35" s="15" t="s">
        <v>263</v>
      </c>
      <c r="B35" s="10" t="s">
        <v>374</v>
      </c>
      <c r="C35" s="10" t="s">
        <v>375</v>
      </c>
      <c r="H35" s="10" t="s">
        <v>293</v>
      </c>
      <c r="I35" s="10" t="s">
        <v>200</v>
      </c>
      <c r="J35" s="10" t="s">
        <v>376</v>
      </c>
      <c r="K35" s="11" t="s">
        <v>359</v>
      </c>
      <c r="L35" s="11"/>
      <c r="M35" s="15" t="n">
        <v>1</v>
      </c>
      <c r="N35" s="15" t="s">
        <v>222</v>
      </c>
      <c r="O35" s="12" t="n">
        <v>96000</v>
      </c>
      <c r="P35" s="12" t="n">
        <v>96000</v>
      </c>
      <c r="Q35" s="15" t="n">
        <v>480</v>
      </c>
      <c r="R35" s="15" t="n">
        <v>4.375</v>
      </c>
      <c r="S35" s="13" t="n">
        <v>40896</v>
      </c>
      <c r="T35" s="13" t="n">
        <v>40896</v>
      </c>
      <c r="U35" s="18" t="n">
        <v>40940</v>
      </c>
      <c r="V35" s="18" t="n">
        <v>51898</v>
      </c>
      <c r="W35" s="19" t="n">
        <v>0</v>
      </c>
      <c r="X35" s="3" t="n">
        <v>43278</v>
      </c>
      <c r="Y35" s="19"/>
      <c r="Z35" s="15" t="n">
        <v>1</v>
      </c>
      <c r="AB35" s="15" t="s">
        <v>270</v>
      </c>
      <c r="AD35" s="10" t="s">
        <v>293</v>
      </c>
      <c r="AE35" s="10" t="s">
        <v>200</v>
      </c>
      <c r="AF35" s="10" t="s">
        <v>376</v>
      </c>
      <c r="AG35" s="11"/>
      <c r="AH35" s="11"/>
      <c r="AQ35" s="11"/>
      <c r="AT35" s="9" t="s">
        <v>152</v>
      </c>
      <c r="AU35" s="11" t="s">
        <v>153</v>
      </c>
      <c r="AV35" s="15" t="n">
        <v>100</v>
      </c>
      <c r="AW35" s="18" t="n">
        <v>40897</v>
      </c>
      <c r="AX35" s="18" t="n">
        <v>40927</v>
      </c>
      <c r="AZ35" s="15" t="s">
        <v>271</v>
      </c>
      <c r="BA35" s="1" t="n">
        <v>2</v>
      </c>
      <c r="BB35" s="15" t="n">
        <v>79.167</v>
      </c>
      <c r="BC35" s="15" t="n">
        <v>79.167</v>
      </c>
      <c r="BD35" s="15" t="n">
        <v>0</v>
      </c>
      <c r="BE35" s="15" t="n">
        <v>735</v>
      </c>
      <c r="BF35" s="15" t="n">
        <v>360</v>
      </c>
      <c r="BG35" s="15" t="n">
        <v>360</v>
      </c>
      <c r="BH35" s="15" t="s">
        <v>238</v>
      </c>
      <c r="BI35" s="15" t="n">
        <v>1</v>
      </c>
      <c r="BJ35" s="20" t="n">
        <f aca="false">+O35</f>
        <v>96000</v>
      </c>
      <c r="BK35" s="9" t="s">
        <v>272</v>
      </c>
      <c r="BL35" s="15" t="s">
        <v>157</v>
      </c>
      <c r="BM35" s="15" t="n">
        <v>1</v>
      </c>
      <c r="BN35" s="15" t="n">
        <v>20.801104</v>
      </c>
      <c r="BO35" s="15" t="n">
        <v>1</v>
      </c>
      <c r="BP35" s="15" t="n">
        <v>0</v>
      </c>
      <c r="BY35" s="20" t="n">
        <f aca="false">+O35</f>
        <v>96000</v>
      </c>
      <c r="BZ35" s="15" t="n">
        <v>0</v>
      </c>
      <c r="CA35" s="15" t="n">
        <v>0</v>
      </c>
      <c r="CC35" s="15" t="n">
        <v>0</v>
      </c>
      <c r="CD35" s="15" t="n">
        <v>0</v>
      </c>
      <c r="CE35" s="18" t="n">
        <v>40909</v>
      </c>
      <c r="CF35" s="15" t="n">
        <v>1</v>
      </c>
      <c r="CG35" s="15" t="n">
        <v>0</v>
      </c>
      <c r="CH35" s="15" t="n">
        <v>0</v>
      </c>
      <c r="CI35" s="15" t="n">
        <v>0</v>
      </c>
      <c r="CJ35" s="15" t="n">
        <v>0</v>
      </c>
      <c r="CK35" s="15" t="n">
        <v>1</v>
      </c>
      <c r="CL35" s="15" t="n">
        <v>1</v>
      </c>
      <c r="CM35" s="15" t="s">
        <v>176</v>
      </c>
      <c r="CO35" s="15" t="n">
        <v>46</v>
      </c>
      <c r="CQ35" s="15" t="s">
        <v>159</v>
      </c>
      <c r="CS35" s="15" t="n">
        <v>0</v>
      </c>
      <c r="CT35" s="15" t="n">
        <v>0</v>
      </c>
      <c r="CU35" s="15" t="n">
        <v>0</v>
      </c>
      <c r="DA35" s="15" t="s">
        <v>160</v>
      </c>
      <c r="DB35" s="15" t="n">
        <v>1000100100</v>
      </c>
      <c r="DC35" s="15" t="n">
        <v>0</v>
      </c>
      <c r="DE35" s="15" t="n">
        <v>4</v>
      </c>
      <c r="DF35" s="15" t="n">
        <v>0</v>
      </c>
      <c r="DG35" s="15" t="n">
        <v>371.31</v>
      </c>
      <c r="DH35" s="11" t="s">
        <v>161</v>
      </c>
      <c r="DJ35" s="15" t="n">
        <v>0</v>
      </c>
      <c r="DL35" s="15" t="n">
        <f aca="false">+R35</f>
        <v>4.375</v>
      </c>
      <c r="DQ35" s="15" t="n">
        <v>0</v>
      </c>
      <c r="DR35" s="15" t="n">
        <v>100</v>
      </c>
      <c r="DS35" s="15" t="s">
        <v>224</v>
      </c>
      <c r="DU35" s="15" t="n">
        <v>0</v>
      </c>
      <c r="DV35" s="15" t="n">
        <v>0</v>
      </c>
      <c r="DW35" s="15" t="n">
        <v>0</v>
      </c>
      <c r="DX35" s="15" t="s">
        <v>225</v>
      </c>
      <c r="EH35" s="10" t="s">
        <v>273</v>
      </c>
      <c r="EI35" s="15" t="n">
        <v>65431</v>
      </c>
      <c r="EJ35" s="10" t="s">
        <v>282</v>
      </c>
      <c r="EK35" s="10" t="s">
        <v>293</v>
      </c>
      <c r="EL35" s="10" t="s">
        <v>200</v>
      </c>
      <c r="EM35" s="10" t="s">
        <v>376</v>
      </c>
    </row>
    <row collapsed="false" customFormat="true" customHeight="false" hidden="false" ht="14.9" outlineLevel="0" r="36" s="15">
      <c r="A36" s="15" t="s">
        <v>263</v>
      </c>
      <c r="B36" s="10" t="s">
        <v>377</v>
      </c>
      <c r="C36" s="10" t="s">
        <v>378</v>
      </c>
      <c r="H36" s="10" t="s">
        <v>305</v>
      </c>
      <c r="I36" s="10" t="s">
        <v>168</v>
      </c>
      <c r="J36" s="10" t="s">
        <v>379</v>
      </c>
      <c r="K36" s="11" t="s">
        <v>380</v>
      </c>
      <c r="L36" s="11"/>
      <c r="M36" s="15" t="n">
        <v>1</v>
      </c>
      <c r="N36" s="15" t="s">
        <v>244</v>
      </c>
      <c r="O36" s="12" t="n">
        <v>281673</v>
      </c>
      <c r="P36" s="12" t="n">
        <v>281673</v>
      </c>
      <c r="Q36" s="15" t="n">
        <v>1408.365</v>
      </c>
      <c r="R36" s="15" t="n">
        <v>5.875</v>
      </c>
      <c r="S36" s="13" t="n">
        <v>40897</v>
      </c>
      <c r="T36" s="13" t="n">
        <v>40897</v>
      </c>
      <c r="U36" s="18" t="n">
        <v>40940</v>
      </c>
      <c r="V36" s="18" t="n">
        <v>51898</v>
      </c>
      <c r="W36" s="19" t="n">
        <v>0</v>
      </c>
      <c r="X36" s="3" t="n">
        <v>119392</v>
      </c>
      <c r="Y36" s="19"/>
      <c r="Z36" s="15" t="n">
        <v>1</v>
      </c>
      <c r="AB36" s="15" t="s">
        <v>270</v>
      </c>
      <c r="AD36" s="10" t="s">
        <v>305</v>
      </c>
      <c r="AE36" s="10" t="s">
        <v>168</v>
      </c>
      <c r="AF36" s="10" t="s">
        <v>379</v>
      </c>
      <c r="AG36" s="11"/>
      <c r="AH36" s="11"/>
      <c r="AQ36" s="11"/>
      <c r="AT36" s="9" t="s">
        <v>152</v>
      </c>
      <c r="AU36" s="11" t="s">
        <v>153</v>
      </c>
      <c r="AV36" s="15" t="n">
        <v>100</v>
      </c>
      <c r="AW36" s="18" t="n">
        <v>40898</v>
      </c>
      <c r="AX36" s="18" t="n">
        <v>40928</v>
      </c>
      <c r="AZ36" s="15" t="s">
        <v>154</v>
      </c>
      <c r="BA36" s="1" t="n">
        <v>1</v>
      </c>
      <c r="BB36" s="15" t="n">
        <v>45.714</v>
      </c>
      <c r="BC36" s="15" t="n">
        <v>45.714</v>
      </c>
      <c r="BD36" s="15" t="n">
        <v>0</v>
      </c>
      <c r="BE36" s="15" t="n">
        <v>773</v>
      </c>
      <c r="BF36" s="15" t="n">
        <v>360</v>
      </c>
      <c r="BG36" s="15" t="n">
        <v>360</v>
      </c>
      <c r="BH36" s="15" t="s">
        <v>238</v>
      </c>
      <c r="BI36" s="15" t="n">
        <v>1</v>
      </c>
      <c r="BJ36" s="20" t="n">
        <f aca="false">+O36</f>
        <v>281673</v>
      </c>
      <c r="BK36" s="9" t="s">
        <v>272</v>
      </c>
      <c r="BL36" s="15" t="s">
        <v>212</v>
      </c>
      <c r="BM36" s="15" t="n">
        <v>1</v>
      </c>
      <c r="BN36" s="15" t="n">
        <v>25.643788</v>
      </c>
      <c r="BO36" s="15" t="n">
        <v>1</v>
      </c>
      <c r="BP36" s="15" t="n">
        <v>0</v>
      </c>
      <c r="BY36" s="20" t="n">
        <f aca="false">+O36</f>
        <v>281673</v>
      </c>
      <c r="BZ36" s="15" t="n">
        <v>0</v>
      </c>
      <c r="CA36" s="15" t="n">
        <v>0</v>
      </c>
      <c r="CC36" s="15" t="n">
        <v>0</v>
      </c>
      <c r="CD36" s="15" t="n">
        <v>0</v>
      </c>
      <c r="CE36" s="18" t="n">
        <v>40909</v>
      </c>
      <c r="CF36" s="15" t="n">
        <v>1</v>
      </c>
      <c r="CG36" s="15" t="n">
        <v>0</v>
      </c>
      <c r="CH36" s="15" t="n">
        <v>0</v>
      </c>
      <c r="CI36" s="15" t="n">
        <v>0</v>
      </c>
      <c r="CJ36" s="15" t="n">
        <v>0</v>
      </c>
      <c r="CK36" s="15" t="n">
        <v>1</v>
      </c>
      <c r="CL36" s="15" t="n">
        <v>1</v>
      </c>
      <c r="CM36" s="15" t="s">
        <v>176</v>
      </c>
      <c r="CO36" s="15" t="n">
        <v>64</v>
      </c>
      <c r="CQ36" s="15" t="s">
        <v>159</v>
      </c>
      <c r="CS36" s="15" t="n">
        <v>0</v>
      </c>
      <c r="CT36" s="15" t="n">
        <v>0</v>
      </c>
      <c r="CU36" s="15" t="n">
        <v>0</v>
      </c>
      <c r="DA36" s="15" t="s">
        <v>160</v>
      </c>
      <c r="DB36" s="15" t="n">
        <v>1000100100</v>
      </c>
      <c r="DC36" s="15" t="n">
        <v>0</v>
      </c>
      <c r="DE36" s="15" t="n">
        <v>8</v>
      </c>
      <c r="DF36" s="15" t="n">
        <v>1</v>
      </c>
      <c r="DG36" s="15" t="n">
        <v>1585.86</v>
      </c>
      <c r="DH36" s="11" t="s">
        <v>161</v>
      </c>
      <c r="DJ36" s="15" t="n">
        <v>0</v>
      </c>
      <c r="DL36" s="15" t="n">
        <f aca="false">+R36</f>
        <v>5.875</v>
      </c>
      <c r="DQ36" s="15" t="n">
        <v>0</v>
      </c>
      <c r="DR36" s="15" t="n">
        <v>100</v>
      </c>
      <c r="DS36" s="15" t="s">
        <v>224</v>
      </c>
      <c r="DU36" s="15" t="n">
        <v>0</v>
      </c>
      <c r="DV36" s="15" t="n">
        <v>0</v>
      </c>
      <c r="DW36" s="15" t="n">
        <v>0</v>
      </c>
      <c r="DX36" s="15" t="s">
        <v>225</v>
      </c>
      <c r="EH36" s="10" t="s">
        <v>281</v>
      </c>
      <c r="EI36" s="15" t="n">
        <v>554646</v>
      </c>
      <c r="EJ36" s="10" t="s">
        <v>290</v>
      </c>
      <c r="EK36" s="10" t="s">
        <v>305</v>
      </c>
      <c r="EL36" s="10" t="s">
        <v>168</v>
      </c>
      <c r="EM36" s="10" t="s">
        <v>379</v>
      </c>
    </row>
    <row collapsed="false" customFormat="true" customHeight="false" hidden="false" ht="14" outlineLevel="0" r="37" s="15">
      <c r="A37" s="15" t="s">
        <v>263</v>
      </c>
      <c r="B37" s="10" t="s">
        <v>381</v>
      </c>
      <c r="C37" s="10" t="s">
        <v>382</v>
      </c>
      <c r="H37" s="10" t="s">
        <v>266</v>
      </c>
      <c r="I37" s="10" t="s">
        <v>168</v>
      </c>
      <c r="J37" s="10" t="s">
        <v>383</v>
      </c>
      <c r="K37" s="11" t="s">
        <v>384</v>
      </c>
      <c r="L37" s="11"/>
      <c r="M37" s="15" t="n">
        <v>1</v>
      </c>
      <c r="N37" s="15" t="s">
        <v>244</v>
      </c>
      <c r="O37" s="12" t="n">
        <v>295000</v>
      </c>
      <c r="P37" s="12" t="n">
        <v>295000</v>
      </c>
      <c r="Q37" s="15" t="n">
        <v>1475</v>
      </c>
      <c r="R37" s="15" t="n">
        <v>4</v>
      </c>
      <c r="S37" s="13" t="n">
        <v>40897</v>
      </c>
      <c r="T37" s="13" t="n">
        <v>40897</v>
      </c>
      <c r="U37" s="18" t="n">
        <v>40940</v>
      </c>
      <c r="V37" s="18" t="n">
        <v>51898</v>
      </c>
      <c r="W37" s="19" t="n">
        <v>0</v>
      </c>
      <c r="X37" s="3" t="n">
        <v>55767</v>
      </c>
      <c r="Y37" s="19"/>
      <c r="Z37" s="15" t="n">
        <v>1</v>
      </c>
      <c r="AB37" s="15" t="s">
        <v>270</v>
      </c>
      <c r="AD37" s="10" t="s">
        <v>266</v>
      </c>
      <c r="AE37" s="10" t="s">
        <v>168</v>
      </c>
      <c r="AF37" s="10" t="s">
        <v>383</v>
      </c>
      <c r="AG37" s="11"/>
      <c r="AH37" s="11"/>
      <c r="AQ37" s="11"/>
      <c r="AT37" s="21" t="s">
        <v>364</v>
      </c>
      <c r="AU37" s="11" t="s">
        <v>365</v>
      </c>
      <c r="AV37" s="15" t="n">
        <v>100</v>
      </c>
      <c r="AW37" s="18" t="n">
        <v>40898</v>
      </c>
      <c r="AX37" s="18" t="n">
        <v>40928</v>
      </c>
      <c r="AZ37" s="15" t="s">
        <v>154</v>
      </c>
      <c r="BA37" s="1" t="n">
        <v>1</v>
      </c>
      <c r="BB37" s="15" t="n">
        <v>50.722</v>
      </c>
      <c r="BC37" s="15" t="n">
        <v>50.722</v>
      </c>
      <c r="BD37" s="15" t="n">
        <v>0</v>
      </c>
      <c r="BE37" s="15" t="n">
        <v>752</v>
      </c>
      <c r="BF37" s="15" t="n">
        <v>360</v>
      </c>
      <c r="BG37" s="15" t="n">
        <v>360</v>
      </c>
      <c r="BH37" s="15" t="s">
        <v>238</v>
      </c>
      <c r="BI37" s="15" t="n">
        <v>1</v>
      </c>
      <c r="BJ37" s="20" t="n">
        <f aca="false">+O37</f>
        <v>295000</v>
      </c>
      <c r="BK37" s="9" t="s">
        <v>272</v>
      </c>
      <c r="BL37" s="15" t="s">
        <v>157</v>
      </c>
      <c r="BM37" s="15" t="n">
        <v>1</v>
      </c>
      <c r="BN37" s="15" t="n">
        <v>33.156344</v>
      </c>
      <c r="BO37" s="15" t="n">
        <v>1</v>
      </c>
      <c r="BP37" s="15" t="n">
        <v>0</v>
      </c>
      <c r="BY37" s="20" t="n">
        <f aca="false">+O37</f>
        <v>295000</v>
      </c>
      <c r="BZ37" s="15" t="n">
        <v>0</v>
      </c>
      <c r="CA37" s="15" t="n">
        <v>0</v>
      </c>
      <c r="CC37" s="15" t="n">
        <v>0</v>
      </c>
      <c r="CD37" s="15" t="n">
        <v>0</v>
      </c>
      <c r="CE37" s="18" t="n">
        <v>40909</v>
      </c>
      <c r="CF37" s="15" t="n">
        <v>1</v>
      </c>
      <c r="CG37" s="15" t="n">
        <v>0</v>
      </c>
      <c r="CH37" s="15" t="n">
        <v>0</v>
      </c>
      <c r="CI37" s="15" t="n">
        <v>0</v>
      </c>
      <c r="CJ37" s="15" t="n">
        <v>0</v>
      </c>
      <c r="CK37" s="15" t="n">
        <v>1</v>
      </c>
      <c r="CL37" s="15" t="n">
        <v>1</v>
      </c>
      <c r="CM37" s="15" t="s">
        <v>176</v>
      </c>
      <c r="CO37" s="15" t="n">
        <v>33</v>
      </c>
      <c r="CQ37" s="15" t="s">
        <v>159</v>
      </c>
      <c r="CS37" s="15" t="n">
        <v>0</v>
      </c>
      <c r="CT37" s="15" t="n">
        <v>0</v>
      </c>
      <c r="CU37" s="15" t="n">
        <v>0</v>
      </c>
      <c r="DA37" s="15" t="s">
        <v>160</v>
      </c>
      <c r="DB37" s="15" t="n">
        <v>1000100100</v>
      </c>
      <c r="DC37" s="15" t="n">
        <v>0</v>
      </c>
      <c r="DE37" s="15" t="n">
        <v>12</v>
      </c>
      <c r="DF37" s="15" t="n">
        <v>33</v>
      </c>
      <c r="DG37" s="15" t="n">
        <v>22272.67</v>
      </c>
      <c r="DH37" s="11" t="s">
        <v>161</v>
      </c>
      <c r="DJ37" s="15" t="n">
        <v>0</v>
      </c>
      <c r="DL37" s="15" t="n">
        <f aca="false">+R37</f>
        <v>4</v>
      </c>
      <c r="DQ37" s="15" t="n">
        <v>0</v>
      </c>
      <c r="DR37" s="15" t="n">
        <v>100</v>
      </c>
      <c r="DS37" s="15" t="s">
        <v>224</v>
      </c>
      <c r="DU37" s="15" t="n">
        <v>0</v>
      </c>
      <c r="DV37" s="15" t="n">
        <v>0</v>
      </c>
      <c r="DW37" s="15" t="n">
        <v>0</v>
      </c>
      <c r="DX37" s="15" t="s">
        <v>225</v>
      </c>
      <c r="EH37" s="10" t="s">
        <v>289</v>
      </c>
      <c r="EI37" s="15" t="n">
        <v>66545</v>
      </c>
      <c r="EJ37" s="10" t="s">
        <v>297</v>
      </c>
      <c r="EK37" s="10" t="s">
        <v>266</v>
      </c>
      <c r="EL37" s="10" t="s">
        <v>168</v>
      </c>
      <c r="EM37" s="10" t="s">
        <v>383</v>
      </c>
    </row>
    <row collapsed="false" customFormat="true" customHeight="false" hidden="false" ht="14.9" outlineLevel="0" r="38" s="15">
      <c r="A38" s="15" t="s">
        <v>263</v>
      </c>
      <c r="B38" s="10" t="s">
        <v>385</v>
      </c>
      <c r="C38" s="10" t="s">
        <v>386</v>
      </c>
      <c r="H38" s="10" t="s">
        <v>387</v>
      </c>
      <c r="I38" s="10" t="s">
        <v>168</v>
      </c>
      <c r="J38" s="10" t="s">
        <v>388</v>
      </c>
      <c r="K38" s="11" t="s">
        <v>389</v>
      </c>
      <c r="L38" s="11"/>
      <c r="M38" s="15" t="n">
        <v>1</v>
      </c>
      <c r="N38" s="15" t="s">
        <v>172</v>
      </c>
      <c r="O38" s="12" t="n">
        <v>304000</v>
      </c>
      <c r="P38" s="12" t="n">
        <v>304000</v>
      </c>
      <c r="Q38" s="15" t="n">
        <v>1520</v>
      </c>
      <c r="R38" s="15" t="n">
        <v>4</v>
      </c>
      <c r="S38" s="13" t="n">
        <v>40897</v>
      </c>
      <c r="T38" s="13" t="n">
        <v>40897</v>
      </c>
      <c r="U38" s="18" t="n">
        <v>40940</v>
      </c>
      <c r="V38" s="18" t="n">
        <v>46419</v>
      </c>
      <c r="W38" s="19" t="n">
        <v>0</v>
      </c>
      <c r="X38" s="3" t="n">
        <v>137199</v>
      </c>
      <c r="Y38" s="19"/>
      <c r="Z38" s="15" t="n">
        <v>1</v>
      </c>
      <c r="AB38" s="15" t="s">
        <v>270</v>
      </c>
      <c r="AD38" s="10" t="s">
        <v>387</v>
      </c>
      <c r="AE38" s="10" t="s">
        <v>168</v>
      </c>
      <c r="AF38" s="10" t="s">
        <v>388</v>
      </c>
      <c r="AG38" s="11"/>
      <c r="AH38" s="11"/>
      <c r="AQ38" s="11"/>
      <c r="AT38" s="9" t="s">
        <v>236</v>
      </c>
      <c r="AU38" s="11" t="s">
        <v>237</v>
      </c>
      <c r="AV38" s="15" t="n">
        <v>100</v>
      </c>
      <c r="AW38" s="18" t="n">
        <v>40898</v>
      </c>
      <c r="AX38" s="18" t="n">
        <v>40928</v>
      </c>
      <c r="AZ38" s="15" t="s">
        <v>154</v>
      </c>
      <c r="BA38" s="1" t="n">
        <v>2</v>
      </c>
      <c r="BB38" s="15" t="n">
        <v>80</v>
      </c>
      <c r="BC38" s="15" t="n">
        <v>80</v>
      </c>
      <c r="BD38" s="15" t="n">
        <v>0</v>
      </c>
      <c r="BE38" s="15" t="n">
        <v>658</v>
      </c>
      <c r="BF38" s="9" t="n">
        <f aca="false">15*12</f>
        <v>180</v>
      </c>
      <c r="BG38" s="15" t="n">
        <v>180</v>
      </c>
      <c r="BH38" s="15" t="s">
        <v>238</v>
      </c>
      <c r="BI38" s="15" t="n">
        <v>1</v>
      </c>
      <c r="BJ38" s="20" t="n">
        <f aca="false">+O38</f>
        <v>304000</v>
      </c>
      <c r="BK38" s="9" t="s">
        <v>272</v>
      </c>
      <c r="BL38" s="15" t="s">
        <v>174</v>
      </c>
      <c r="BM38" s="15" t="n">
        <v>1</v>
      </c>
      <c r="BN38" s="15" t="n">
        <v>29.360949</v>
      </c>
      <c r="BO38" s="15" t="n">
        <v>1</v>
      </c>
      <c r="BP38" s="15" t="n">
        <v>0</v>
      </c>
      <c r="BY38" s="20" t="n">
        <f aca="false">+O38</f>
        <v>304000</v>
      </c>
      <c r="BZ38" s="15" t="n">
        <v>0</v>
      </c>
      <c r="CA38" s="15" t="n">
        <v>0</v>
      </c>
      <c r="CC38" s="15" t="n">
        <v>0</v>
      </c>
      <c r="CD38" s="15" t="n">
        <v>0</v>
      </c>
      <c r="CE38" s="18" t="n">
        <v>40909</v>
      </c>
      <c r="CF38" s="15" t="n">
        <v>1</v>
      </c>
      <c r="CG38" s="15" t="n">
        <v>0</v>
      </c>
      <c r="CH38" s="15" t="n">
        <v>0</v>
      </c>
      <c r="CI38" s="15" t="n">
        <v>0</v>
      </c>
      <c r="CJ38" s="15" t="n">
        <v>0</v>
      </c>
      <c r="CK38" s="15" t="n">
        <v>1</v>
      </c>
      <c r="CL38" s="15" t="n">
        <v>1</v>
      </c>
      <c r="CM38" s="15" t="s">
        <v>176</v>
      </c>
      <c r="CO38" s="15" t="n">
        <v>27</v>
      </c>
      <c r="CQ38" s="15" t="s">
        <v>159</v>
      </c>
      <c r="CS38" s="15" t="n">
        <v>0</v>
      </c>
      <c r="CT38" s="15" t="n">
        <v>0</v>
      </c>
      <c r="CU38" s="15" t="n">
        <v>0</v>
      </c>
      <c r="DA38" s="15" t="s">
        <v>160</v>
      </c>
      <c r="DB38" s="15" t="n">
        <v>1000100100</v>
      </c>
      <c r="DC38" s="15" t="n">
        <v>0</v>
      </c>
      <c r="DE38" s="15" t="n">
        <v>10</v>
      </c>
      <c r="DF38" s="15" t="n">
        <v>14</v>
      </c>
      <c r="DG38" s="15" t="n">
        <v>10266</v>
      </c>
      <c r="DH38" s="11" t="s">
        <v>161</v>
      </c>
      <c r="DJ38" s="15" t="n">
        <v>0</v>
      </c>
      <c r="DL38" s="15" t="n">
        <f aca="false">+R38</f>
        <v>4</v>
      </c>
      <c r="DQ38" s="15" t="n">
        <v>0</v>
      </c>
      <c r="DR38" s="15" t="n">
        <v>100</v>
      </c>
      <c r="DU38" s="15" t="n">
        <v>0</v>
      </c>
      <c r="DV38" s="15" t="n">
        <v>0</v>
      </c>
      <c r="DW38" s="15" t="n">
        <v>0</v>
      </c>
      <c r="DX38" s="15" t="s">
        <v>162</v>
      </c>
      <c r="EH38" s="10" t="s">
        <v>296</v>
      </c>
      <c r="EI38" s="15" t="n">
        <v>7516</v>
      </c>
      <c r="EJ38" s="10" t="s">
        <v>179</v>
      </c>
      <c r="EK38" s="10" t="s">
        <v>387</v>
      </c>
      <c r="EL38" s="10" t="s">
        <v>168</v>
      </c>
      <c r="EM38" s="10" t="s">
        <v>388</v>
      </c>
    </row>
    <row collapsed="false" customFormat="true" customHeight="false" hidden="false" ht="14" outlineLevel="0" r="39" s="15">
      <c r="A39" s="15" t="s">
        <v>263</v>
      </c>
      <c r="B39" s="10" t="s">
        <v>390</v>
      </c>
      <c r="C39" s="10" t="s">
        <v>391</v>
      </c>
      <c r="H39" s="10" t="s">
        <v>392</v>
      </c>
      <c r="I39" s="10" t="s">
        <v>168</v>
      </c>
      <c r="J39" s="10" t="s">
        <v>393</v>
      </c>
      <c r="K39" s="11" t="s">
        <v>394</v>
      </c>
      <c r="L39" s="11"/>
      <c r="M39" s="15" t="n">
        <v>1</v>
      </c>
      <c r="N39" s="15" t="s">
        <v>185</v>
      </c>
      <c r="O39" s="12" t="n">
        <v>625500</v>
      </c>
      <c r="P39" s="12" t="n">
        <v>625500</v>
      </c>
      <c r="Q39" s="15" t="n">
        <v>3127.5</v>
      </c>
      <c r="R39" s="15" t="n">
        <v>3.875</v>
      </c>
      <c r="S39" s="13" t="n">
        <v>40897</v>
      </c>
      <c r="T39" s="13" t="n">
        <v>40897</v>
      </c>
      <c r="U39" s="18" t="n">
        <v>40940</v>
      </c>
      <c r="V39" s="18" t="n">
        <v>48245</v>
      </c>
      <c r="W39" s="19" t="n">
        <v>1</v>
      </c>
      <c r="X39" s="3" t="n">
        <v>26524</v>
      </c>
      <c r="Y39" s="19"/>
      <c r="Z39" s="15" t="n">
        <v>1</v>
      </c>
      <c r="AB39" s="15" t="s">
        <v>270</v>
      </c>
      <c r="AD39" s="10" t="s">
        <v>392</v>
      </c>
      <c r="AE39" s="10" t="s">
        <v>168</v>
      </c>
      <c r="AF39" s="10" t="s">
        <v>393</v>
      </c>
      <c r="AG39" s="11"/>
      <c r="AH39" s="11"/>
      <c r="AQ39" s="11"/>
      <c r="AT39" s="9" t="s">
        <v>236</v>
      </c>
      <c r="AU39" s="11" t="s">
        <v>237</v>
      </c>
      <c r="AV39" s="15" t="n">
        <v>100</v>
      </c>
      <c r="AW39" s="18" t="n">
        <v>40898</v>
      </c>
      <c r="AX39" s="18" t="n">
        <v>40928</v>
      </c>
      <c r="AZ39" s="15" t="s">
        <v>154</v>
      </c>
      <c r="BA39" s="1" t="n">
        <v>1</v>
      </c>
      <c r="BB39" s="15" t="n">
        <v>35.831</v>
      </c>
      <c r="BC39" s="15" t="n">
        <v>35.831</v>
      </c>
      <c r="BD39" s="15" t="n">
        <v>0</v>
      </c>
      <c r="BE39" s="15" t="n">
        <v>590</v>
      </c>
      <c r="BF39" s="15" t="n">
        <v>240</v>
      </c>
      <c r="BG39" s="15" t="n">
        <v>240</v>
      </c>
      <c r="BH39" s="15" t="s">
        <v>238</v>
      </c>
      <c r="BI39" s="15" t="n">
        <v>1</v>
      </c>
      <c r="BJ39" s="20" t="n">
        <f aca="false">+O39</f>
        <v>625500</v>
      </c>
      <c r="BK39" s="9" t="s">
        <v>272</v>
      </c>
      <c r="BL39" s="15" t="s">
        <v>157</v>
      </c>
      <c r="BM39" s="15" t="n">
        <v>1</v>
      </c>
      <c r="BN39" s="15" t="n">
        <v>48.18622</v>
      </c>
      <c r="BO39" s="15" t="n">
        <v>1</v>
      </c>
      <c r="BP39" s="15" t="n">
        <v>2.25</v>
      </c>
      <c r="BQ39" s="15" t="s">
        <v>325</v>
      </c>
      <c r="BR39" s="15" t="n">
        <v>4</v>
      </c>
      <c r="BS39" s="18" t="n">
        <v>42248</v>
      </c>
      <c r="BT39" s="15" t="n">
        <v>2</v>
      </c>
      <c r="BU39" s="15" t="n">
        <v>12</v>
      </c>
      <c r="BV39" s="15" t="n">
        <v>2</v>
      </c>
      <c r="BW39" s="15" t="n">
        <v>5</v>
      </c>
      <c r="BX39" s="15" t="n">
        <v>2</v>
      </c>
      <c r="BY39" s="20" t="n">
        <f aca="false">+O39</f>
        <v>625500</v>
      </c>
      <c r="BZ39" s="15" t="n">
        <v>0</v>
      </c>
      <c r="CA39" s="15" t="n">
        <v>0</v>
      </c>
      <c r="CC39" s="15" t="n">
        <v>0</v>
      </c>
      <c r="CD39" s="15" t="n">
        <v>0</v>
      </c>
      <c r="CE39" s="18" t="n">
        <v>40909</v>
      </c>
      <c r="CF39" s="15" t="n">
        <v>1</v>
      </c>
      <c r="CG39" s="15" t="n">
        <v>0</v>
      </c>
      <c r="CH39" s="15" t="n">
        <v>0</v>
      </c>
      <c r="CI39" s="15" t="n">
        <v>0</v>
      </c>
      <c r="CJ39" s="15" t="n">
        <v>0</v>
      </c>
      <c r="CK39" s="15" t="n">
        <v>1</v>
      </c>
      <c r="CL39" s="15" t="n">
        <v>1</v>
      </c>
      <c r="CM39" s="15" t="s">
        <v>176</v>
      </c>
      <c r="CO39" s="15" t="n">
        <v>31</v>
      </c>
      <c r="CQ39" s="15" t="s">
        <v>159</v>
      </c>
      <c r="CS39" s="15" t="n">
        <v>0</v>
      </c>
      <c r="CT39" s="15" t="n">
        <v>0</v>
      </c>
      <c r="CU39" s="15" t="n">
        <v>0</v>
      </c>
      <c r="DA39" s="15" t="s">
        <v>160</v>
      </c>
      <c r="DB39" s="15" t="n">
        <v>1000100100</v>
      </c>
      <c r="DC39" s="15" t="n">
        <v>0</v>
      </c>
      <c r="DD39" s="15" t="n">
        <v>30</v>
      </c>
      <c r="DE39" s="15" t="n">
        <v>8</v>
      </c>
      <c r="DF39" s="15" t="n">
        <v>24</v>
      </c>
      <c r="DG39" s="15" t="n">
        <v>10939.17</v>
      </c>
      <c r="DH39" s="11" t="s">
        <v>161</v>
      </c>
      <c r="DJ39" s="15" t="n">
        <v>0</v>
      </c>
      <c r="DL39" s="15" t="n">
        <f aca="false">+R39</f>
        <v>3.875</v>
      </c>
      <c r="DM39" s="15" t="n">
        <v>1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100</v>
      </c>
      <c r="DT39" s="15" t="n">
        <v>8.875</v>
      </c>
      <c r="DU39" s="15" t="n">
        <v>0</v>
      </c>
      <c r="DV39" s="15" t="n">
        <v>0</v>
      </c>
      <c r="DW39" s="15" t="n">
        <v>0</v>
      </c>
      <c r="DX39" s="15" t="s">
        <v>162</v>
      </c>
      <c r="EH39" s="10" t="s">
        <v>196</v>
      </c>
      <c r="EI39" s="15" t="n">
        <v>32158</v>
      </c>
      <c r="EJ39" s="10" t="s">
        <v>290</v>
      </c>
      <c r="EK39" s="10" t="s">
        <v>392</v>
      </c>
      <c r="EL39" s="10" t="s">
        <v>168</v>
      </c>
      <c r="EM39" s="10" t="s">
        <v>393</v>
      </c>
    </row>
    <row collapsed="false" customFormat="true" customHeight="false" hidden="false" ht="14" outlineLevel="0" r="40" s="15">
      <c r="A40" s="15" t="s">
        <v>263</v>
      </c>
      <c r="B40" s="10" t="s">
        <v>395</v>
      </c>
      <c r="C40" s="10" t="s">
        <v>396</v>
      </c>
      <c r="H40" s="10" t="s">
        <v>253</v>
      </c>
      <c r="I40" s="10" t="s">
        <v>168</v>
      </c>
      <c r="J40" s="10" t="s">
        <v>397</v>
      </c>
      <c r="K40" s="11" t="s">
        <v>398</v>
      </c>
      <c r="L40" s="11"/>
      <c r="M40" s="15" t="n">
        <v>1</v>
      </c>
      <c r="N40" s="15" t="s">
        <v>194</v>
      </c>
      <c r="O40" s="12" t="n">
        <v>178500</v>
      </c>
      <c r="P40" s="12" t="n">
        <v>178500</v>
      </c>
      <c r="Q40" s="15" t="n">
        <v>892.5</v>
      </c>
      <c r="R40" s="15" t="n">
        <v>3.875</v>
      </c>
      <c r="S40" s="13" t="n">
        <v>40897</v>
      </c>
      <c r="T40" s="13" t="n">
        <v>40897</v>
      </c>
      <c r="U40" s="18" t="n">
        <v>40940</v>
      </c>
      <c r="V40" s="18" t="n">
        <v>50072</v>
      </c>
      <c r="W40" s="19" t="n">
        <v>0</v>
      </c>
      <c r="X40" s="3" t="n">
        <v>107669</v>
      </c>
      <c r="Y40" s="19"/>
      <c r="Z40" s="15" t="n">
        <v>1</v>
      </c>
      <c r="AB40" s="15" t="s">
        <v>270</v>
      </c>
      <c r="AD40" s="10" t="s">
        <v>253</v>
      </c>
      <c r="AE40" s="10" t="s">
        <v>168</v>
      </c>
      <c r="AF40" s="10" t="s">
        <v>397</v>
      </c>
      <c r="AG40" s="11"/>
      <c r="AH40" s="11"/>
      <c r="AQ40" s="11"/>
      <c r="AT40" s="9" t="s">
        <v>236</v>
      </c>
      <c r="AU40" s="11" t="s">
        <v>237</v>
      </c>
      <c r="AV40" s="15" t="n">
        <v>100</v>
      </c>
      <c r="AW40" s="18" t="n">
        <v>40898</v>
      </c>
      <c r="AX40" s="18" t="n">
        <v>40928</v>
      </c>
      <c r="AZ40" s="15" t="s">
        <v>154</v>
      </c>
      <c r="BA40" s="1" t="n">
        <v>2</v>
      </c>
      <c r="BB40" s="15" t="n">
        <v>79.167</v>
      </c>
      <c r="BC40" s="15" t="n">
        <v>79.167</v>
      </c>
      <c r="BD40" s="15" t="n">
        <v>0</v>
      </c>
      <c r="BE40" s="15" t="n">
        <v>757</v>
      </c>
      <c r="BF40" s="15" t="n">
        <v>300</v>
      </c>
      <c r="BG40" s="15" t="n">
        <v>300</v>
      </c>
      <c r="BH40" s="15" t="s">
        <v>238</v>
      </c>
      <c r="BI40" s="15" t="n">
        <v>1</v>
      </c>
      <c r="BJ40" s="20" t="n">
        <f aca="false">+O40</f>
        <v>178500</v>
      </c>
      <c r="BK40" s="9" t="s">
        <v>272</v>
      </c>
      <c r="BL40" s="15" t="s">
        <v>157</v>
      </c>
      <c r="BM40" s="15" t="n">
        <v>1</v>
      </c>
      <c r="BN40" s="15" t="n">
        <v>46.50168</v>
      </c>
      <c r="BO40" s="15" t="n">
        <v>1</v>
      </c>
      <c r="BP40" s="15" t="n">
        <v>0</v>
      </c>
      <c r="BY40" s="20" t="n">
        <f aca="false">+O40</f>
        <v>178500</v>
      </c>
      <c r="BZ40" s="15" t="n">
        <v>0</v>
      </c>
      <c r="CA40" s="15" t="n">
        <v>0</v>
      </c>
      <c r="CC40" s="15" t="n">
        <v>0</v>
      </c>
      <c r="CD40" s="15" t="n">
        <v>0</v>
      </c>
      <c r="CE40" s="18" t="n">
        <v>40909</v>
      </c>
      <c r="CF40" s="15" t="n">
        <v>1</v>
      </c>
      <c r="CG40" s="15" t="n">
        <v>0</v>
      </c>
      <c r="CH40" s="15" t="n">
        <v>0</v>
      </c>
      <c r="CI40" s="15" t="n">
        <v>0</v>
      </c>
      <c r="CJ40" s="15" t="n">
        <v>0</v>
      </c>
      <c r="CK40" s="15" t="n">
        <v>1</v>
      </c>
      <c r="CL40" s="15" t="n">
        <v>1</v>
      </c>
      <c r="CM40" s="15" t="s">
        <v>176</v>
      </c>
      <c r="CO40" s="15" t="n">
        <v>33</v>
      </c>
      <c r="CQ40" s="15" t="s">
        <v>159</v>
      </c>
      <c r="CS40" s="15" t="n">
        <v>0</v>
      </c>
      <c r="CT40" s="15" t="n">
        <v>0</v>
      </c>
      <c r="CU40" s="15" t="n">
        <v>0</v>
      </c>
      <c r="DA40" s="15" t="s">
        <v>160</v>
      </c>
      <c r="DB40" s="15" t="n">
        <v>1000100100</v>
      </c>
      <c r="DC40" s="15" t="n">
        <v>0</v>
      </c>
      <c r="DE40" s="15" t="n">
        <v>14</v>
      </c>
      <c r="DF40" s="15" t="n">
        <v>21</v>
      </c>
      <c r="DG40" s="15" t="n">
        <v>19900.41</v>
      </c>
      <c r="DH40" s="11" t="s">
        <v>161</v>
      </c>
      <c r="DJ40" s="15" t="n">
        <v>0</v>
      </c>
      <c r="DL40" s="15" t="n">
        <f aca="false">+R40</f>
        <v>3.875</v>
      </c>
      <c r="DQ40" s="15" t="n">
        <v>0</v>
      </c>
      <c r="DR40" s="15" t="n">
        <v>100</v>
      </c>
      <c r="DU40" s="15" t="n">
        <v>0</v>
      </c>
      <c r="DV40" s="15" t="n">
        <v>0</v>
      </c>
      <c r="DW40" s="15" t="n">
        <v>0</v>
      </c>
      <c r="DX40" s="15" t="s">
        <v>162</v>
      </c>
      <c r="EH40" s="10" t="s">
        <v>196</v>
      </c>
      <c r="EI40" s="15" t="n">
        <v>32158</v>
      </c>
      <c r="EJ40" s="10" t="s">
        <v>297</v>
      </c>
      <c r="EK40" s="10" t="s">
        <v>253</v>
      </c>
      <c r="EL40" s="10" t="s">
        <v>168</v>
      </c>
      <c r="EM40" s="10" t="s">
        <v>397</v>
      </c>
    </row>
    <row collapsed="false" customFormat="true" customHeight="false" hidden="false" ht="14.9" outlineLevel="0" r="41" s="15">
      <c r="A41" s="15" t="s">
        <v>263</v>
      </c>
      <c r="B41" s="10" t="s">
        <v>399</v>
      </c>
      <c r="C41" s="10" t="s">
        <v>400</v>
      </c>
      <c r="H41" s="10" t="s">
        <v>401</v>
      </c>
      <c r="I41" s="10" t="s">
        <v>168</v>
      </c>
      <c r="J41" s="10" t="s">
        <v>402</v>
      </c>
      <c r="K41" s="11" t="s">
        <v>403</v>
      </c>
      <c r="L41" s="11"/>
      <c r="M41" s="15" t="n">
        <v>1</v>
      </c>
      <c r="N41" s="15" t="s">
        <v>204</v>
      </c>
      <c r="O41" s="12" t="n">
        <v>40000</v>
      </c>
      <c r="P41" s="12" t="n">
        <v>40000</v>
      </c>
      <c r="Q41" s="15" t="n">
        <v>200</v>
      </c>
      <c r="R41" s="15" t="n">
        <v>4.5</v>
      </c>
      <c r="S41" s="13" t="n">
        <v>40897</v>
      </c>
      <c r="T41" s="13" t="n">
        <v>40897</v>
      </c>
      <c r="U41" s="18" t="n">
        <v>40940</v>
      </c>
      <c r="V41" s="18" t="n">
        <v>51898</v>
      </c>
      <c r="W41" s="19" t="n">
        <v>0</v>
      </c>
      <c r="X41" s="3" t="n">
        <v>30981</v>
      </c>
      <c r="Y41" s="19"/>
      <c r="Z41" s="15" t="n">
        <v>1</v>
      </c>
      <c r="AB41" s="15" t="s">
        <v>404</v>
      </c>
      <c r="AD41" s="10" t="s">
        <v>401</v>
      </c>
      <c r="AE41" s="10" t="s">
        <v>168</v>
      </c>
      <c r="AF41" s="10" t="s">
        <v>402</v>
      </c>
      <c r="AG41" s="11"/>
      <c r="AH41" s="11"/>
      <c r="AQ41" s="11"/>
      <c r="AT41" s="9" t="s">
        <v>236</v>
      </c>
      <c r="AU41" s="11" t="s">
        <v>237</v>
      </c>
      <c r="AV41" s="15" t="n">
        <v>100</v>
      </c>
      <c r="AW41" s="18" t="n">
        <v>40898</v>
      </c>
      <c r="AX41" s="18" t="n">
        <v>40928</v>
      </c>
      <c r="AZ41" s="15" t="s">
        <v>154</v>
      </c>
      <c r="BA41" s="1" t="n">
        <v>1</v>
      </c>
      <c r="BB41" s="15" t="n">
        <v>45.714</v>
      </c>
      <c r="BC41" s="15" t="n">
        <v>45.714</v>
      </c>
      <c r="BD41" s="15" t="n">
        <v>0</v>
      </c>
      <c r="BE41" s="15" t="n">
        <v>708</v>
      </c>
      <c r="BF41" s="15" t="n">
        <v>360</v>
      </c>
      <c r="BG41" s="15" t="n">
        <v>360</v>
      </c>
      <c r="BH41" s="15" t="s">
        <v>238</v>
      </c>
      <c r="BI41" s="15" t="n">
        <v>1</v>
      </c>
      <c r="BJ41" s="20" t="n">
        <f aca="false">+O41</f>
        <v>40000</v>
      </c>
      <c r="BK41" s="9" t="s">
        <v>272</v>
      </c>
      <c r="BL41" s="15" t="s">
        <v>157</v>
      </c>
      <c r="BM41" s="15" t="n">
        <v>1</v>
      </c>
      <c r="BN41" s="15" t="n">
        <v>26.098349</v>
      </c>
      <c r="BO41" s="15" t="n">
        <v>1</v>
      </c>
      <c r="BP41" s="15" t="n">
        <v>0</v>
      </c>
      <c r="BY41" s="20" t="n">
        <f aca="false">+O41</f>
        <v>40000</v>
      </c>
      <c r="BZ41" s="15" t="n">
        <v>0</v>
      </c>
      <c r="CA41" s="15" t="n">
        <v>0</v>
      </c>
      <c r="CC41" s="15" t="n">
        <v>0</v>
      </c>
      <c r="CD41" s="15" t="n">
        <v>0</v>
      </c>
      <c r="CE41" s="18" t="n">
        <v>40909</v>
      </c>
      <c r="CF41" s="15" t="n">
        <v>1</v>
      </c>
      <c r="CG41" s="15" t="n">
        <v>0</v>
      </c>
      <c r="CH41" s="15" t="n">
        <v>0</v>
      </c>
      <c r="CI41" s="15" t="n">
        <v>0</v>
      </c>
      <c r="CJ41" s="15" t="n">
        <v>0</v>
      </c>
      <c r="CK41" s="15" t="n">
        <v>1</v>
      </c>
      <c r="CL41" s="15" t="n">
        <v>1</v>
      </c>
      <c r="CM41" s="15" t="s">
        <v>176</v>
      </c>
      <c r="CO41" s="15" t="n">
        <v>27</v>
      </c>
      <c r="CQ41" s="15" t="s">
        <v>159</v>
      </c>
      <c r="CS41" s="15" t="n">
        <v>0</v>
      </c>
      <c r="CT41" s="15" t="n">
        <v>0</v>
      </c>
      <c r="CU41" s="15" t="n">
        <v>0</v>
      </c>
      <c r="DA41" s="15" t="s">
        <v>160</v>
      </c>
      <c r="DB41" s="15" t="n">
        <v>1000100100</v>
      </c>
      <c r="DC41" s="15" t="n">
        <v>0</v>
      </c>
      <c r="DE41" s="15" t="n">
        <v>2</v>
      </c>
      <c r="DF41" s="15" t="n">
        <v>15</v>
      </c>
      <c r="DG41" s="15" t="n">
        <v>20808.22</v>
      </c>
      <c r="DH41" s="11" t="s">
        <v>161</v>
      </c>
      <c r="DJ41" s="15" t="n">
        <v>0</v>
      </c>
      <c r="DL41" s="15" t="n">
        <f aca="false">+R41</f>
        <v>4.5</v>
      </c>
      <c r="DQ41" s="15" t="n">
        <v>0</v>
      </c>
      <c r="DR41" s="15" t="n">
        <v>100</v>
      </c>
      <c r="DU41" s="15" t="n">
        <v>0</v>
      </c>
      <c r="DV41" s="15" t="n">
        <v>0</v>
      </c>
      <c r="DW41" s="15" t="n">
        <v>0</v>
      </c>
      <c r="DX41" s="15" t="s">
        <v>162</v>
      </c>
      <c r="EH41" s="10" t="s">
        <v>273</v>
      </c>
      <c r="EI41" s="15" t="n">
        <v>65431</v>
      </c>
      <c r="EJ41" s="10" t="s">
        <v>179</v>
      </c>
      <c r="EK41" s="10" t="s">
        <v>401</v>
      </c>
      <c r="EL41" s="10" t="s">
        <v>168</v>
      </c>
      <c r="EM41" s="10" t="s">
        <v>402</v>
      </c>
    </row>
    <row collapsed="false" customFormat="true" customHeight="false" hidden="false" ht="14" outlineLevel="0" r="42" s="15">
      <c r="A42" s="15" t="s">
        <v>263</v>
      </c>
      <c r="B42" s="10" t="s">
        <v>405</v>
      </c>
      <c r="C42" s="10" t="s">
        <v>406</v>
      </c>
      <c r="H42" s="10" t="s">
        <v>407</v>
      </c>
      <c r="I42" s="10" t="s">
        <v>168</v>
      </c>
      <c r="J42" s="10" t="s">
        <v>408</v>
      </c>
      <c r="K42" s="11" t="s">
        <v>409</v>
      </c>
      <c r="L42" s="11"/>
      <c r="M42" s="15" t="n">
        <v>1</v>
      </c>
      <c r="N42" s="15" t="s">
        <v>211</v>
      </c>
      <c r="O42" s="12" t="n">
        <v>360000</v>
      </c>
      <c r="P42" s="12" t="n">
        <v>360000</v>
      </c>
      <c r="Q42" s="15" t="n">
        <v>1800</v>
      </c>
      <c r="R42" s="15" t="n">
        <v>5.875</v>
      </c>
      <c r="S42" s="13" t="n">
        <v>40897</v>
      </c>
      <c r="T42" s="13" t="n">
        <v>40897</v>
      </c>
      <c r="U42" s="18" t="n">
        <v>40940</v>
      </c>
      <c r="V42" s="18" t="n">
        <v>51898</v>
      </c>
      <c r="W42" s="19" t="n">
        <v>1</v>
      </c>
      <c r="X42" s="3" t="n">
        <v>89163</v>
      </c>
      <c r="Y42" s="19"/>
      <c r="Z42" s="15" t="n">
        <v>1</v>
      </c>
      <c r="AB42" s="15" t="s">
        <v>404</v>
      </c>
      <c r="AD42" s="10" t="s">
        <v>407</v>
      </c>
      <c r="AE42" s="10" t="s">
        <v>168</v>
      </c>
      <c r="AF42" s="10" t="s">
        <v>408</v>
      </c>
      <c r="AG42" s="11"/>
      <c r="AH42" s="11"/>
      <c r="AQ42" s="11"/>
      <c r="AT42" s="21" t="s">
        <v>364</v>
      </c>
      <c r="AU42" s="11" t="s">
        <v>365</v>
      </c>
      <c r="AV42" s="15" t="n">
        <v>100</v>
      </c>
      <c r="AW42" s="18" t="n">
        <v>40898</v>
      </c>
      <c r="AX42" s="18" t="n">
        <v>40928</v>
      </c>
      <c r="AZ42" s="15" t="s">
        <v>154</v>
      </c>
      <c r="BA42" s="1" t="n">
        <v>2</v>
      </c>
      <c r="BB42" s="15" t="n">
        <v>19.776</v>
      </c>
      <c r="BC42" s="15" t="n">
        <v>19.776</v>
      </c>
      <c r="BD42" s="15" t="n">
        <v>0</v>
      </c>
      <c r="BE42" s="15" t="n">
        <v>590</v>
      </c>
      <c r="BF42" s="15" t="n">
        <v>360</v>
      </c>
      <c r="BG42" s="15" t="n">
        <v>360</v>
      </c>
      <c r="BH42" s="15" t="s">
        <v>155</v>
      </c>
      <c r="BI42" s="15" t="n">
        <v>1</v>
      </c>
      <c r="BJ42" s="20" t="n">
        <f aca="false">+O42</f>
        <v>360000</v>
      </c>
      <c r="BK42" s="9" t="s">
        <v>272</v>
      </c>
      <c r="BL42" s="15" t="s">
        <v>157</v>
      </c>
      <c r="BM42" s="15" t="n">
        <v>3</v>
      </c>
      <c r="BN42" s="15" t="n">
        <v>33.272985</v>
      </c>
      <c r="BO42" s="15" t="n">
        <v>1</v>
      </c>
      <c r="BP42" s="15" t="n">
        <v>2</v>
      </c>
      <c r="BQ42" s="15" t="s">
        <v>325</v>
      </c>
      <c r="BR42" s="15" t="n">
        <v>3.5</v>
      </c>
      <c r="BS42" s="18" t="n">
        <v>42248</v>
      </c>
      <c r="BT42" s="15" t="n">
        <v>1</v>
      </c>
      <c r="BU42" s="15" t="n">
        <v>12</v>
      </c>
      <c r="BV42" s="15" t="n">
        <v>1</v>
      </c>
      <c r="BW42" s="15" t="n">
        <v>5</v>
      </c>
      <c r="BX42" s="15" t="n">
        <v>2.25</v>
      </c>
      <c r="BY42" s="20" t="n">
        <f aca="false">+O42</f>
        <v>360000</v>
      </c>
      <c r="BZ42" s="15" t="n">
        <v>0</v>
      </c>
      <c r="CA42" s="15" t="n">
        <v>0</v>
      </c>
      <c r="CC42" s="15" t="n">
        <v>0</v>
      </c>
      <c r="CD42" s="15" t="n">
        <v>0</v>
      </c>
      <c r="CE42" s="18" t="n">
        <v>40909</v>
      </c>
      <c r="CF42" s="15" t="n">
        <v>1</v>
      </c>
      <c r="CG42" s="15" t="n">
        <v>0</v>
      </c>
      <c r="CH42" s="15" t="n">
        <v>0</v>
      </c>
      <c r="CI42" s="15" t="n">
        <v>0</v>
      </c>
      <c r="CJ42" s="15" t="n">
        <v>0</v>
      </c>
      <c r="CK42" s="15" t="n">
        <v>1</v>
      </c>
      <c r="CL42" s="15" t="n">
        <v>1</v>
      </c>
      <c r="CM42" s="15" t="s">
        <v>176</v>
      </c>
      <c r="CO42" s="15" t="n">
        <v>31</v>
      </c>
      <c r="CQ42" s="15" t="s">
        <v>159</v>
      </c>
      <c r="CS42" s="15" t="n">
        <v>0</v>
      </c>
      <c r="CT42" s="15" t="n">
        <v>0</v>
      </c>
      <c r="CU42" s="15" t="n">
        <v>0</v>
      </c>
      <c r="DA42" s="15" t="s">
        <v>160</v>
      </c>
      <c r="DB42" s="15" t="n">
        <v>1000100100</v>
      </c>
      <c r="DC42" s="15" t="n">
        <v>0</v>
      </c>
      <c r="DD42" s="15" t="n">
        <v>30</v>
      </c>
      <c r="DE42" s="15" t="n">
        <v>6</v>
      </c>
      <c r="DF42" s="15" t="n">
        <v>2</v>
      </c>
      <c r="DG42" s="15" t="n">
        <v>2641.44</v>
      </c>
      <c r="DH42" s="11" t="s">
        <v>161</v>
      </c>
      <c r="DJ42" s="15" t="n">
        <v>0</v>
      </c>
      <c r="DL42" s="15" t="n">
        <f aca="false">+R42</f>
        <v>5.875</v>
      </c>
      <c r="DM42" s="15" t="n">
        <v>1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100</v>
      </c>
      <c r="DT42" s="15" t="n">
        <v>8.875</v>
      </c>
      <c r="DU42" s="15" t="n">
        <v>0</v>
      </c>
      <c r="DV42" s="15" t="n">
        <v>0</v>
      </c>
      <c r="DW42" s="15" t="n">
        <v>0</v>
      </c>
      <c r="DX42" s="15" t="s">
        <v>162</v>
      </c>
      <c r="EH42" s="10" t="s">
        <v>281</v>
      </c>
      <c r="EI42" s="15" t="n">
        <v>554646</v>
      </c>
      <c r="EJ42" s="10" t="s">
        <v>273</v>
      </c>
      <c r="EK42" s="10" t="s">
        <v>407</v>
      </c>
      <c r="EL42" s="10" t="s">
        <v>168</v>
      </c>
      <c r="EM42" s="10" t="s">
        <v>408</v>
      </c>
    </row>
    <row collapsed="false" customFormat="true" customHeight="false" hidden="false" ht="14.9" outlineLevel="0" r="43" s="15">
      <c r="A43" s="15" t="s">
        <v>263</v>
      </c>
      <c r="B43" s="10" t="s">
        <v>410</v>
      </c>
      <c r="C43" s="10" t="s">
        <v>411</v>
      </c>
      <c r="H43" s="10" t="s">
        <v>332</v>
      </c>
      <c r="I43" s="10" t="s">
        <v>168</v>
      </c>
      <c r="J43" s="10" t="s">
        <v>412</v>
      </c>
      <c r="K43" s="11" t="s">
        <v>413</v>
      </c>
      <c r="L43" s="11" t="s">
        <v>255</v>
      </c>
      <c r="M43" s="15" t="n">
        <v>1</v>
      </c>
      <c r="N43" s="15" t="s">
        <v>150</v>
      </c>
      <c r="O43" s="12" t="n">
        <v>400000</v>
      </c>
      <c r="P43" s="12" t="n">
        <v>400000</v>
      </c>
      <c r="Q43" s="15" t="n">
        <v>2000</v>
      </c>
      <c r="R43" s="15" t="n">
        <v>4.375</v>
      </c>
      <c r="S43" s="13" t="n">
        <v>40897</v>
      </c>
      <c r="T43" s="13" t="n">
        <v>40897</v>
      </c>
      <c r="U43" s="18" t="n">
        <v>40940</v>
      </c>
      <c r="V43" s="18" t="n">
        <v>44593</v>
      </c>
      <c r="W43" s="19" t="n">
        <v>0</v>
      </c>
      <c r="X43" s="3" t="n">
        <v>194664</v>
      </c>
      <c r="Y43" s="19"/>
      <c r="Z43" s="15" t="n">
        <v>1</v>
      </c>
      <c r="AB43" s="15" t="s">
        <v>404</v>
      </c>
      <c r="AD43" s="10" t="s">
        <v>332</v>
      </c>
      <c r="AE43" s="10" t="s">
        <v>168</v>
      </c>
      <c r="AF43" s="10" t="s">
        <v>412</v>
      </c>
      <c r="AG43" s="11"/>
      <c r="AH43" s="11"/>
      <c r="AQ43" s="11"/>
      <c r="AT43" s="15" t="s">
        <v>195</v>
      </c>
      <c r="AU43" s="11" t="n">
        <v>12333333</v>
      </c>
      <c r="AV43" s="15" t="n">
        <v>100</v>
      </c>
      <c r="AW43" s="18" t="n">
        <v>40898</v>
      </c>
      <c r="AX43" s="18" t="n">
        <v>40928</v>
      </c>
      <c r="AZ43" s="15" t="s">
        <v>154</v>
      </c>
      <c r="BA43" s="1" t="n">
        <v>1</v>
      </c>
      <c r="BB43" s="15" t="n">
        <v>50.722</v>
      </c>
      <c r="BC43" s="15" t="n">
        <v>50.722</v>
      </c>
      <c r="BD43" s="15" t="n">
        <v>0</v>
      </c>
      <c r="BE43" s="15" t="n">
        <v>757</v>
      </c>
      <c r="BF43" s="15" t="n">
        <v>120</v>
      </c>
      <c r="BG43" s="15" t="n">
        <v>120</v>
      </c>
      <c r="BH43" s="15" t="s">
        <v>173</v>
      </c>
      <c r="BI43" s="15" t="n">
        <v>1</v>
      </c>
      <c r="BJ43" s="20" t="n">
        <f aca="false">+O43</f>
        <v>400000</v>
      </c>
      <c r="BK43" s="9" t="s">
        <v>272</v>
      </c>
      <c r="BL43" s="15" t="s">
        <v>157</v>
      </c>
      <c r="BM43" s="15" t="n">
        <v>1</v>
      </c>
      <c r="BN43" s="15" t="n">
        <v>56.782254</v>
      </c>
      <c r="BO43" s="15" t="n">
        <v>0</v>
      </c>
      <c r="BP43" s="15" t="n">
        <v>0</v>
      </c>
      <c r="BY43" s="20" t="n">
        <f aca="false">+O43</f>
        <v>400000</v>
      </c>
      <c r="BZ43" s="15" t="n">
        <v>0</v>
      </c>
      <c r="CA43" s="15" t="n">
        <v>0</v>
      </c>
      <c r="CC43" s="15" t="n">
        <v>0</v>
      </c>
      <c r="CD43" s="15" t="n">
        <v>0</v>
      </c>
      <c r="CE43" s="18" t="n">
        <v>40909</v>
      </c>
      <c r="CF43" s="15" t="n">
        <v>1</v>
      </c>
      <c r="CG43" s="15" t="n">
        <v>0</v>
      </c>
      <c r="CH43" s="15" t="n">
        <v>0</v>
      </c>
      <c r="CI43" s="15" t="n">
        <v>0</v>
      </c>
      <c r="CJ43" s="15" t="n">
        <v>0</v>
      </c>
      <c r="CK43" s="15" t="n">
        <v>1</v>
      </c>
      <c r="CL43" s="15" t="n">
        <v>1</v>
      </c>
      <c r="CM43" s="15" t="s">
        <v>176</v>
      </c>
      <c r="CO43" s="15" t="n">
        <v>49</v>
      </c>
      <c r="CQ43" s="15" t="s">
        <v>159</v>
      </c>
      <c r="CS43" s="15" t="n">
        <v>0</v>
      </c>
      <c r="CT43" s="15" t="n">
        <v>0</v>
      </c>
      <c r="CU43" s="15" t="n">
        <v>0</v>
      </c>
      <c r="DA43" s="15" t="s">
        <v>160</v>
      </c>
      <c r="DB43" s="15" t="n">
        <v>1000100100</v>
      </c>
      <c r="DC43" s="15" t="n">
        <v>0</v>
      </c>
      <c r="DE43" s="15" t="n">
        <v>7</v>
      </c>
      <c r="DF43" s="15" t="n">
        <v>15</v>
      </c>
      <c r="DG43" s="15" t="n">
        <v>35251.64</v>
      </c>
      <c r="DH43" s="11" t="s">
        <v>161</v>
      </c>
      <c r="DJ43" s="15" t="n">
        <v>0</v>
      </c>
      <c r="DL43" s="15" t="n">
        <f aca="false">+R43</f>
        <v>4.375</v>
      </c>
      <c r="DQ43" s="15" t="n">
        <v>0</v>
      </c>
      <c r="DR43" s="15" t="n">
        <v>100</v>
      </c>
      <c r="DU43" s="15" t="n">
        <v>0</v>
      </c>
      <c r="DV43" s="15" t="n">
        <v>0</v>
      </c>
      <c r="DW43" s="15" t="n">
        <v>0</v>
      </c>
      <c r="DX43" s="15" t="s">
        <v>162</v>
      </c>
      <c r="EH43" s="10" t="s">
        <v>289</v>
      </c>
      <c r="EI43" s="15" t="n">
        <v>66545</v>
      </c>
      <c r="EJ43" s="10" t="s">
        <v>313</v>
      </c>
      <c r="EK43" s="10" t="s">
        <v>332</v>
      </c>
      <c r="EL43" s="10" t="s">
        <v>168</v>
      </c>
      <c r="EM43" s="10" t="s">
        <v>412</v>
      </c>
    </row>
    <row collapsed="false" customFormat="true" customHeight="false" hidden="false" ht="14.9" outlineLevel="0" r="44" s="15">
      <c r="A44" s="15" t="s">
        <v>263</v>
      </c>
      <c r="B44" s="10" t="s">
        <v>414</v>
      </c>
      <c r="C44" s="10" t="s">
        <v>415</v>
      </c>
      <c r="H44" s="10" t="s">
        <v>416</v>
      </c>
      <c r="I44" s="10" t="s">
        <v>168</v>
      </c>
      <c r="J44" s="10" t="s">
        <v>417</v>
      </c>
      <c r="K44" s="11" t="s">
        <v>418</v>
      </c>
      <c r="L44" s="11" t="s">
        <v>261</v>
      </c>
      <c r="M44" s="15" t="n">
        <v>1</v>
      </c>
      <c r="N44" s="15" t="s">
        <v>172</v>
      </c>
      <c r="O44" s="12" t="n">
        <v>152000</v>
      </c>
      <c r="P44" s="12" t="n">
        <v>152000</v>
      </c>
      <c r="Q44" s="15" t="n">
        <v>760</v>
      </c>
      <c r="R44" s="15" t="n">
        <v>5.875</v>
      </c>
      <c r="S44" s="13" t="n">
        <v>40897</v>
      </c>
      <c r="T44" s="13" t="n">
        <v>40897</v>
      </c>
      <c r="U44" s="18" t="n">
        <v>40940</v>
      </c>
      <c r="V44" s="18" t="n">
        <v>46419</v>
      </c>
      <c r="W44" s="19" t="n">
        <v>0</v>
      </c>
      <c r="X44" s="3" t="n">
        <v>17222</v>
      </c>
      <c r="Y44" s="19"/>
      <c r="Z44" s="15" t="n">
        <v>1</v>
      </c>
      <c r="AB44" s="15" t="s">
        <v>404</v>
      </c>
      <c r="AD44" s="10" t="s">
        <v>416</v>
      </c>
      <c r="AE44" s="10" t="s">
        <v>168</v>
      </c>
      <c r="AF44" s="10" t="s">
        <v>417</v>
      </c>
      <c r="AG44" s="11"/>
      <c r="AH44" s="11"/>
      <c r="AQ44" s="11"/>
      <c r="AT44" s="21" t="s">
        <v>364</v>
      </c>
      <c r="AU44" s="11" t="s">
        <v>365</v>
      </c>
      <c r="AV44" s="15" t="n">
        <v>100</v>
      </c>
      <c r="AW44" s="18" t="n">
        <v>40898</v>
      </c>
      <c r="AX44" s="18" t="n">
        <v>40928</v>
      </c>
      <c r="AZ44" s="15" t="s">
        <v>154</v>
      </c>
      <c r="BA44" s="1" t="n">
        <v>2</v>
      </c>
      <c r="BB44" s="15" t="n">
        <v>80</v>
      </c>
      <c r="BC44" s="15" t="n">
        <v>80</v>
      </c>
      <c r="BD44" s="15" t="n">
        <v>0</v>
      </c>
      <c r="BE44" s="15" t="n">
        <v>708</v>
      </c>
      <c r="BF44" s="9" t="n">
        <f aca="false">15*12</f>
        <v>180</v>
      </c>
      <c r="BG44" s="15" t="n">
        <v>180</v>
      </c>
      <c r="BH44" s="15" t="s">
        <v>155</v>
      </c>
      <c r="BI44" s="15" t="n">
        <v>1</v>
      </c>
      <c r="BJ44" s="20" t="n">
        <f aca="false">+O44</f>
        <v>152000</v>
      </c>
      <c r="BK44" s="9" t="s">
        <v>272</v>
      </c>
      <c r="BL44" s="15" t="s">
        <v>157</v>
      </c>
      <c r="BM44" s="15" t="n">
        <v>1</v>
      </c>
      <c r="BN44" s="15" t="n">
        <v>47.847961</v>
      </c>
      <c r="BO44" s="15" t="n">
        <v>1</v>
      </c>
      <c r="BP44" s="15" t="n">
        <v>0</v>
      </c>
      <c r="BY44" s="20" t="n">
        <f aca="false">+O44</f>
        <v>152000</v>
      </c>
      <c r="BZ44" s="15" t="n">
        <v>0</v>
      </c>
      <c r="CA44" s="15" t="n">
        <v>0</v>
      </c>
      <c r="CC44" s="15" t="n">
        <v>0</v>
      </c>
      <c r="CD44" s="15" t="n">
        <v>0</v>
      </c>
      <c r="CE44" s="18" t="n">
        <v>40909</v>
      </c>
      <c r="CF44" s="15" t="n">
        <v>1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1</v>
      </c>
      <c r="CL44" s="15" t="n">
        <v>1</v>
      </c>
      <c r="CM44" s="15" t="s">
        <v>176</v>
      </c>
      <c r="CO44" s="15" t="n">
        <v>45</v>
      </c>
      <c r="CQ44" s="15" t="s">
        <v>159</v>
      </c>
      <c r="CS44" s="15" t="n">
        <v>0</v>
      </c>
      <c r="CT44" s="15" t="n">
        <v>0</v>
      </c>
      <c r="CU44" s="15" t="n">
        <v>0</v>
      </c>
      <c r="DA44" s="15" t="s">
        <v>160</v>
      </c>
      <c r="DB44" s="15" t="n">
        <v>1000100100</v>
      </c>
      <c r="DC44" s="15" t="n">
        <v>0</v>
      </c>
      <c r="DE44" s="15" t="n">
        <v>4</v>
      </c>
      <c r="DF44" s="15" t="n">
        <v>0</v>
      </c>
      <c r="DG44" s="15" t="n">
        <v>196.04</v>
      </c>
      <c r="DH44" s="11" t="s">
        <v>161</v>
      </c>
      <c r="DJ44" s="15" t="n">
        <v>0</v>
      </c>
      <c r="DL44" s="15" t="n">
        <f aca="false">+R44</f>
        <v>5.875</v>
      </c>
      <c r="DQ44" s="15" t="n">
        <v>0</v>
      </c>
      <c r="DR44" s="15" t="n">
        <v>100</v>
      </c>
      <c r="DU44" s="15" t="n">
        <v>0</v>
      </c>
      <c r="DV44" s="15" t="n">
        <v>0</v>
      </c>
      <c r="DW44" s="15" t="n">
        <v>0</v>
      </c>
      <c r="DX44" s="15" t="s">
        <v>162</v>
      </c>
      <c r="EH44" s="10" t="s">
        <v>296</v>
      </c>
      <c r="EI44" s="15" t="n">
        <v>7516</v>
      </c>
      <c r="EJ44" s="10" t="s">
        <v>274</v>
      </c>
      <c r="EK44" s="10" t="s">
        <v>416</v>
      </c>
      <c r="EL44" s="10" t="s">
        <v>168</v>
      </c>
      <c r="EM44" s="10" t="s">
        <v>417</v>
      </c>
    </row>
    <row collapsed="false" customFormat="true" customHeight="false" hidden="false" ht="14" outlineLevel="0" r="45" s="15">
      <c r="A45" s="15" t="s">
        <v>263</v>
      </c>
      <c r="B45" s="10" t="s">
        <v>419</v>
      </c>
      <c r="C45" s="10" t="s">
        <v>420</v>
      </c>
      <c r="H45" s="10" t="s">
        <v>421</v>
      </c>
      <c r="I45" s="10" t="s">
        <v>168</v>
      </c>
      <c r="J45" s="10" t="s">
        <v>422</v>
      </c>
      <c r="K45" s="11" t="s">
        <v>423</v>
      </c>
      <c r="M45" s="15" t="n">
        <v>1</v>
      </c>
      <c r="N45" s="15" t="s">
        <v>185</v>
      </c>
      <c r="O45" s="12" t="n">
        <v>147250</v>
      </c>
      <c r="P45" s="12" t="n">
        <v>147250</v>
      </c>
      <c r="Q45" s="15" t="n">
        <v>736.25</v>
      </c>
      <c r="R45" s="15" t="n">
        <v>4</v>
      </c>
      <c r="S45" s="13" t="n">
        <v>40897</v>
      </c>
      <c r="T45" s="13" t="n">
        <v>40897</v>
      </c>
      <c r="U45" s="18" t="n">
        <v>40940</v>
      </c>
      <c r="V45" s="18" t="n">
        <v>48245</v>
      </c>
      <c r="W45" s="19" t="n">
        <v>0</v>
      </c>
      <c r="X45" s="3" t="n">
        <v>41648</v>
      </c>
      <c r="Y45" s="19"/>
      <c r="Z45" s="15" t="n">
        <v>1</v>
      </c>
      <c r="AB45" s="15" t="s">
        <v>404</v>
      </c>
      <c r="AD45" s="10" t="s">
        <v>421</v>
      </c>
      <c r="AE45" s="10" t="s">
        <v>168</v>
      </c>
      <c r="AF45" s="10" t="s">
        <v>422</v>
      </c>
      <c r="AG45" s="11"/>
      <c r="AH45" s="11"/>
      <c r="AQ45" s="11"/>
      <c r="AT45" s="21" t="s">
        <v>364</v>
      </c>
      <c r="AU45" s="11" t="s">
        <v>365</v>
      </c>
      <c r="AV45" s="15" t="n">
        <v>100</v>
      </c>
      <c r="AW45" s="18" t="n">
        <v>40898</v>
      </c>
      <c r="AX45" s="18" t="n">
        <v>40928</v>
      </c>
      <c r="AZ45" s="15" t="s">
        <v>271</v>
      </c>
      <c r="BA45" s="1" t="n">
        <v>1</v>
      </c>
      <c r="BB45" s="15" t="n">
        <v>35.831</v>
      </c>
      <c r="BC45" s="15" t="n">
        <v>35.831</v>
      </c>
      <c r="BD45" s="15" t="n">
        <v>0</v>
      </c>
      <c r="BE45" s="15" t="n">
        <v>741</v>
      </c>
      <c r="BF45" s="15" t="n">
        <v>240</v>
      </c>
      <c r="BG45" s="15" t="n">
        <v>240</v>
      </c>
      <c r="BH45" s="15" t="s">
        <v>155</v>
      </c>
      <c r="BI45" s="15" t="n">
        <v>1</v>
      </c>
      <c r="BJ45" s="20" t="n">
        <f aca="false">+O45</f>
        <v>147250</v>
      </c>
      <c r="BK45" s="9" t="s">
        <v>272</v>
      </c>
      <c r="BL45" s="15" t="s">
        <v>157</v>
      </c>
      <c r="BM45" s="15" t="n">
        <v>3</v>
      </c>
      <c r="BN45" s="15" t="n">
        <v>26.671097</v>
      </c>
      <c r="BO45" s="15" t="n">
        <v>1</v>
      </c>
      <c r="BP45" s="15" t="n">
        <v>0</v>
      </c>
      <c r="BY45" s="20" t="n">
        <f aca="false">+O45</f>
        <v>147250</v>
      </c>
      <c r="BZ45" s="15" t="n">
        <v>0</v>
      </c>
      <c r="CA45" s="15" t="n">
        <v>0</v>
      </c>
      <c r="CC45" s="15" t="n">
        <v>0</v>
      </c>
      <c r="CD45" s="15" t="n">
        <v>0</v>
      </c>
      <c r="CE45" s="18" t="n">
        <v>40909</v>
      </c>
      <c r="CF45" s="15" t="n">
        <v>1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1</v>
      </c>
      <c r="CL45" s="15" t="n">
        <v>1</v>
      </c>
      <c r="CM45" s="15" t="s">
        <v>176</v>
      </c>
      <c r="CO45" s="15" t="n">
        <v>46</v>
      </c>
      <c r="CQ45" s="15" t="s">
        <v>159</v>
      </c>
      <c r="CS45" s="15" t="n">
        <v>0</v>
      </c>
      <c r="CT45" s="15" t="n">
        <v>0</v>
      </c>
      <c r="CU45" s="15" t="n">
        <v>0</v>
      </c>
      <c r="DA45" s="15" t="s">
        <v>160</v>
      </c>
      <c r="DB45" s="15" t="n">
        <v>1000100100</v>
      </c>
      <c r="DC45" s="15" t="n">
        <v>0</v>
      </c>
      <c r="DE45" s="15" t="n">
        <v>4</v>
      </c>
      <c r="DF45" s="15" t="n">
        <v>87</v>
      </c>
      <c r="DG45" s="15" t="n">
        <v>148993.24</v>
      </c>
      <c r="DH45" s="11" t="s">
        <v>161</v>
      </c>
      <c r="DJ45" s="15" t="n">
        <v>0</v>
      </c>
      <c r="DL45" s="15" t="n">
        <f aca="false">+R45</f>
        <v>4</v>
      </c>
      <c r="DQ45" s="15" t="n">
        <v>0</v>
      </c>
      <c r="DR45" s="15" t="n">
        <v>100</v>
      </c>
      <c r="DU45" s="15" t="n">
        <v>0</v>
      </c>
      <c r="DV45" s="15" t="n">
        <v>0</v>
      </c>
      <c r="DW45" s="15" t="n">
        <v>0</v>
      </c>
      <c r="DX45" s="15" t="s">
        <v>162</v>
      </c>
      <c r="EH45" s="10" t="s">
        <v>196</v>
      </c>
      <c r="EI45" s="15" t="n">
        <v>32158</v>
      </c>
      <c r="EJ45" s="10" t="s">
        <v>282</v>
      </c>
      <c r="EK45" s="10" t="s">
        <v>421</v>
      </c>
      <c r="EL45" s="10" t="s">
        <v>168</v>
      </c>
      <c r="EM45" s="10" t="s">
        <v>422</v>
      </c>
    </row>
    <row collapsed="false" customFormat="true" customHeight="false" hidden="false" ht="14.9" outlineLevel="0" r="46" s="15">
      <c r="A46" s="15" t="s">
        <v>263</v>
      </c>
      <c r="B46" s="10" t="s">
        <v>424</v>
      </c>
      <c r="C46" s="10" t="s">
        <v>425</v>
      </c>
      <c r="H46" s="10" t="s">
        <v>426</v>
      </c>
      <c r="I46" s="10" t="s">
        <v>168</v>
      </c>
      <c r="J46" s="10" t="s">
        <v>427</v>
      </c>
      <c r="K46" s="11" t="s">
        <v>428</v>
      </c>
      <c r="L46" s="11" t="s">
        <v>279</v>
      </c>
      <c r="M46" s="15" t="n">
        <v>1</v>
      </c>
      <c r="N46" s="15" t="s">
        <v>194</v>
      </c>
      <c r="O46" s="12" t="n">
        <v>314000</v>
      </c>
      <c r="P46" s="12" t="n">
        <v>314000</v>
      </c>
      <c r="Q46" s="15" t="n">
        <v>1570</v>
      </c>
      <c r="R46" s="15" t="n">
        <v>4.99</v>
      </c>
      <c r="S46" s="13" t="n">
        <v>40897</v>
      </c>
      <c r="T46" s="13" t="n">
        <v>40897</v>
      </c>
      <c r="U46" s="18" t="n">
        <v>40940</v>
      </c>
      <c r="V46" s="18" t="n">
        <v>50072</v>
      </c>
      <c r="W46" s="19" t="n">
        <v>0</v>
      </c>
      <c r="X46" s="3" t="n">
        <v>171853</v>
      </c>
      <c r="Y46" s="19"/>
      <c r="Z46" s="15" t="n">
        <v>1</v>
      </c>
      <c r="AB46" s="15" t="s">
        <v>404</v>
      </c>
      <c r="AD46" s="10" t="s">
        <v>426</v>
      </c>
      <c r="AE46" s="10" t="s">
        <v>168</v>
      </c>
      <c r="AF46" s="10" t="s">
        <v>427</v>
      </c>
      <c r="AG46" s="11"/>
      <c r="AH46" s="11"/>
      <c r="AQ46" s="11"/>
      <c r="AT46" s="9" t="s">
        <v>152</v>
      </c>
      <c r="AU46" s="11" t="s">
        <v>153</v>
      </c>
      <c r="AV46" s="15" t="n">
        <v>100</v>
      </c>
      <c r="AW46" s="18" t="n">
        <v>40898</v>
      </c>
      <c r="AX46" s="18" t="n">
        <v>40928</v>
      </c>
      <c r="AZ46" s="15" t="s">
        <v>154</v>
      </c>
      <c r="BA46" s="1" t="n">
        <v>2</v>
      </c>
      <c r="BB46" s="15" t="n">
        <v>45.833</v>
      </c>
      <c r="BC46" s="15" t="n">
        <v>45.833</v>
      </c>
      <c r="BD46" s="15" t="n">
        <v>0</v>
      </c>
      <c r="BE46" s="15" t="n">
        <v>758</v>
      </c>
      <c r="BF46" s="15" t="n">
        <v>300</v>
      </c>
      <c r="BG46" s="15" t="n">
        <v>300</v>
      </c>
      <c r="BH46" s="15" t="s">
        <v>238</v>
      </c>
      <c r="BI46" s="15" t="n">
        <v>1</v>
      </c>
      <c r="BJ46" s="20" t="n">
        <f aca="false">+O46</f>
        <v>314000</v>
      </c>
      <c r="BK46" s="9" t="s">
        <v>272</v>
      </c>
      <c r="BL46" s="15" t="s">
        <v>157</v>
      </c>
      <c r="BM46" s="15" t="n">
        <v>1</v>
      </c>
      <c r="BN46" s="15" t="n">
        <v>20.801104</v>
      </c>
      <c r="BO46" s="15" t="n">
        <v>1</v>
      </c>
      <c r="BP46" s="15" t="n">
        <v>0</v>
      </c>
      <c r="BY46" s="20" t="n">
        <f aca="false">+O46</f>
        <v>314000</v>
      </c>
      <c r="BZ46" s="15" t="n">
        <v>0</v>
      </c>
      <c r="CA46" s="15" t="n">
        <v>0</v>
      </c>
      <c r="CC46" s="15" t="n">
        <v>0</v>
      </c>
      <c r="CD46" s="15" t="n">
        <v>0</v>
      </c>
      <c r="CE46" s="18" t="n">
        <v>40909</v>
      </c>
      <c r="CF46" s="15" t="n">
        <v>1</v>
      </c>
      <c r="CG46" s="15" t="n">
        <v>0</v>
      </c>
      <c r="CH46" s="15" t="n">
        <v>0</v>
      </c>
      <c r="CI46" s="15" t="n">
        <v>0</v>
      </c>
      <c r="CJ46" s="15" t="n">
        <v>0</v>
      </c>
      <c r="CK46" s="15" t="n">
        <v>1</v>
      </c>
      <c r="CL46" s="15" t="n">
        <v>1</v>
      </c>
      <c r="CM46" s="15" t="s">
        <v>176</v>
      </c>
      <c r="CO46" s="15" t="n">
        <v>64</v>
      </c>
      <c r="CQ46" s="15" t="s">
        <v>159</v>
      </c>
      <c r="CS46" s="15" t="n">
        <v>0</v>
      </c>
      <c r="CT46" s="15" t="n">
        <v>0</v>
      </c>
      <c r="CU46" s="15" t="n">
        <v>0</v>
      </c>
      <c r="DA46" s="15" t="s">
        <v>160</v>
      </c>
      <c r="DB46" s="15" t="n">
        <v>1000100100</v>
      </c>
      <c r="DC46" s="15" t="n">
        <v>0</v>
      </c>
      <c r="DE46" s="15" t="n">
        <v>8</v>
      </c>
      <c r="DF46" s="15" t="n">
        <v>0</v>
      </c>
      <c r="DG46" s="15" t="n">
        <v>209.47</v>
      </c>
      <c r="DH46" s="11" t="s">
        <v>161</v>
      </c>
      <c r="DJ46" s="15" t="n">
        <v>0</v>
      </c>
      <c r="DL46" s="15" t="n">
        <f aca="false">+R46</f>
        <v>4.99</v>
      </c>
      <c r="DQ46" s="15" t="n">
        <v>0</v>
      </c>
      <c r="DR46" s="15" t="n">
        <v>100</v>
      </c>
      <c r="DU46" s="15" t="n">
        <v>0</v>
      </c>
      <c r="DV46" s="15" t="n">
        <v>0</v>
      </c>
      <c r="DW46" s="15" t="n">
        <v>0</v>
      </c>
      <c r="DX46" s="15" t="s">
        <v>162</v>
      </c>
      <c r="EH46" s="10" t="s">
        <v>273</v>
      </c>
      <c r="EI46" s="15" t="n">
        <v>65431</v>
      </c>
      <c r="EJ46" s="10" t="s">
        <v>290</v>
      </c>
      <c r="EK46" s="10" t="s">
        <v>426</v>
      </c>
      <c r="EL46" s="10" t="s">
        <v>168</v>
      </c>
      <c r="EM46" s="10" t="s">
        <v>427</v>
      </c>
    </row>
    <row collapsed="false" customFormat="true" customHeight="false" hidden="false" ht="14.9" outlineLevel="0" r="47" s="15">
      <c r="A47" s="15" t="s">
        <v>263</v>
      </c>
      <c r="B47" s="10" t="s">
        <v>429</v>
      </c>
      <c r="C47" s="10" t="s">
        <v>430</v>
      </c>
      <c r="H47" s="10" t="s">
        <v>431</v>
      </c>
      <c r="I47" s="10" t="s">
        <v>168</v>
      </c>
      <c r="J47" s="10" t="s">
        <v>432</v>
      </c>
      <c r="K47" s="11" t="s">
        <v>433</v>
      </c>
      <c r="L47" s="11" t="s">
        <v>287</v>
      </c>
      <c r="M47" s="15" t="n">
        <v>1</v>
      </c>
      <c r="N47" s="15" t="s">
        <v>194</v>
      </c>
      <c r="O47" s="12" t="n">
        <v>625500</v>
      </c>
      <c r="P47" s="12" t="n">
        <v>625500</v>
      </c>
      <c r="Q47" s="15" t="n">
        <v>3127.5</v>
      </c>
      <c r="R47" s="15" t="n">
        <v>4.99</v>
      </c>
      <c r="S47" s="13" t="n">
        <v>40897</v>
      </c>
      <c r="T47" s="13" t="n">
        <v>40897</v>
      </c>
      <c r="U47" s="18" t="n">
        <v>40940</v>
      </c>
      <c r="V47" s="18" t="n">
        <v>50072</v>
      </c>
      <c r="W47" s="19" t="n">
        <v>0</v>
      </c>
      <c r="X47" s="3" t="n">
        <v>314022</v>
      </c>
      <c r="Y47" s="19"/>
      <c r="Z47" s="15" t="n">
        <v>1</v>
      </c>
      <c r="AB47" s="15" t="s">
        <v>404</v>
      </c>
      <c r="AD47" s="10" t="s">
        <v>431</v>
      </c>
      <c r="AE47" s="10" t="s">
        <v>168</v>
      </c>
      <c r="AF47" s="10" t="s">
        <v>432</v>
      </c>
      <c r="AG47" s="11"/>
      <c r="AH47" s="11"/>
      <c r="AQ47" s="11"/>
      <c r="AT47" s="9" t="s">
        <v>152</v>
      </c>
      <c r="AU47" s="11" t="s">
        <v>153</v>
      </c>
      <c r="AV47" s="15" t="n">
        <v>100</v>
      </c>
      <c r="AW47" s="18" t="n">
        <v>40898</v>
      </c>
      <c r="AX47" s="18" t="n">
        <v>40928</v>
      </c>
      <c r="AZ47" s="15" t="s">
        <v>154</v>
      </c>
      <c r="BA47" s="1" t="n">
        <v>2</v>
      </c>
      <c r="BB47" s="15" t="n">
        <v>45.714</v>
      </c>
      <c r="BC47" s="15" t="n">
        <v>45.714</v>
      </c>
      <c r="BD47" s="15" t="n">
        <v>0</v>
      </c>
      <c r="BE47" s="15" t="n">
        <v>708</v>
      </c>
      <c r="BF47" s="15" t="n">
        <v>300</v>
      </c>
      <c r="BG47" s="15" t="n">
        <v>300</v>
      </c>
      <c r="BH47" s="15" t="s">
        <v>238</v>
      </c>
      <c r="BI47" s="15" t="n">
        <v>1</v>
      </c>
      <c r="BJ47" s="20" t="n">
        <f aca="false">+O47</f>
        <v>625500</v>
      </c>
      <c r="BK47" s="9" t="s">
        <v>272</v>
      </c>
      <c r="BL47" s="15" t="s">
        <v>157</v>
      </c>
      <c r="BM47" s="15" t="n">
        <v>1</v>
      </c>
      <c r="BN47" s="15" t="n">
        <v>25.643788</v>
      </c>
      <c r="BO47" s="15" t="n">
        <v>1</v>
      </c>
      <c r="BP47" s="15" t="n">
        <v>0</v>
      </c>
      <c r="BY47" s="20" t="n">
        <f aca="false">+O47</f>
        <v>625500</v>
      </c>
      <c r="BZ47" s="15" t="n">
        <v>0</v>
      </c>
      <c r="CA47" s="15" t="n">
        <v>0</v>
      </c>
      <c r="CC47" s="15" t="n">
        <v>0</v>
      </c>
      <c r="CD47" s="15" t="n">
        <v>0</v>
      </c>
      <c r="CE47" s="18" t="n">
        <v>40909</v>
      </c>
      <c r="CF47" s="15" t="n">
        <v>1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1</v>
      </c>
      <c r="CL47" s="15" t="n">
        <v>1</v>
      </c>
      <c r="CM47" s="15" t="s">
        <v>176</v>
      </c>
      <c r="CO47" s="15" t="n">
        <v>33</v>
      </c>
      <c r="CQ47" s="15" t="s">
        <v>159</v>
      </c>
      <c r="CS47" s="15" t="n">
        <v>0</v>
      </c>
      <c r="CT47" s="15" t="n">
        <v>0</v>
      </c>
      <c r="CU47" s="15" t="n">
        <v>0</v>
      </c>
      <c r="DA47" s="15" t="s">
        <v>160</v>
      </c>
      <c r="DB47" s="15" t="n">
        <v>1000100100</v>
      </c>
      <c r="DC47" s="15" t="n">
        <v>0</v>
      </c>
      <c r="DE47" s="15" t="n">
        <v>12</v>
      </c>
      <c r="DF47" s="15" t="n">
        <v>0</v>
      </c>
      <c r="DG47" s="15" t="n">
        <v>301.07</v>
      </c>
      <c r="DH47" s="11" t="s">
        <v>161</v>
      </c>
      <c r="DJ47" s="15" t="n">
        <v>0</v>
      </c>
      <c r="DL47" s="15" t="n">
        <f aca="false">+R47</f>
        <v>4.99</v>
      </c>
      <c r="DQ47" s="15" t="n">
        <v>0</v>
      </c>
      <c r="DR47" s="15" t="n">
        <v>100</v>
      </c>
      <c r="DU47" s="15" t="n">
        <v>0</v>
      </c>
      <c r="DV47" s="15" t="n">
        <v>0</v>
      </c>
      <c r="DW47" s="15" t="n">
        <v>0</v>
      </c>
      <c r="DX47" s="15" t="s">
        <v>162</v>
      </c>
      <c r="EH47" s="10" t="s">
        <v>281</v>
      </c>
      <c r="EI47" s="15" t="n">
        <v>554646</v>
      </c>
      <c r="EJ47" s="10" t="s">
        <v>297</v>
      </c>
      <c r="EK47" s="10" t="s">
        <v>431</v>
      </c>
      <c r="EL47" s="10" t="s">
        <v>168</v>
      </c>
      <c r="EM47" s="10" t="s">
        <v>432</v>
      </c>
    </row>
    <row collapsed="false" customFormat="true" customHeight="false" hidden="false" ht="14.9" outlineLevel="0" r="48" s="15">
      <c r="A48" s="15" t="s">
        <v>263</v>
      </c>
      <c r="B48" s="10" t="s">
        <v>434</v>
      </c>
      <c r="C48" s="10" t="s">
        <v>435</v>
      </c>
      <c r="H48" s="10" t="s">
        <v>436</v>
      </c>
      <c r="I48" s="10" t="s">
        <v>168</v>
      </c>
      <c r="J48" s="10" t="s">
        <v>437</v>
      </c>
      <c r="K48" s="11" t="s">
        <v>438</v>
      </c>
      <c r="L48" s="11" t="s">
        <v>295</v>
      </c>
      <c r="M48" s="15" t="n">
        <v>1</v>
      </c>
      <c r="N48" s="15" t="s">
        <v>204</v>
      </c>
      <c r="O48" s="12" t="n">
        <v>136451</v>
      </c>
      <c r="P48" s="12" t="n">
        <v>136451</v>
      </c>
      <c r="Q48" s="15" t="n">
        <v>682.255</v>
      </c>
      <c r="R48" s="15" t="n">
        <v>5.875</v>
      </c>
      <c r="S48" s="13" t="n">
        <v>40897</v>
      </c>
      <c r="T48" s="13" t="n">
        <v>40897</v>
      </c>
      <c r="U48" s="18" t="n">
        <v>40940</v>
      </c>
      <c r="V48" s="18" t="n">
        <v>51898</v>
      </c>
      <c r="W48" s="19" t="n">
        <v>1</v>
      </c>
      <c r="X48" s="3" t="n">
        <v>94946</v>
      </c>
      <c r="Y48" s="19"/>
      <c r="Z48" s="15" t="n">
        <v>1</v>
      </c>
      <c r="AB48" s="15" t="s">
        <v>404</v>
      </c>
      <c r="AD48" s="10" t="s">
        <v>436</v>
      </c>
      <c r="AE48" s="10" t="s">
        <v>168</v>
      </c>
      <c r="AF48" s="10" t="s">
        <v>437</v>
      </c>
      <c r="AG48" s="11"/>
      <c r="AH48" s="11"/>
      <c r="AQ48" s="11"/>
      <c r="AT48" s="9" t="s">
        <v>152</v>
      </c>
      <c r="AU48" s="11" t="s">
        <v>153</v>
      </c>
      <c r="AV48" s="15" t="n">
        <v>100</v>
      </c>
      <c r="AW48" s="18" t="n">
        <v>40898</v>
      </c>
      <c r="AX48" s="18" t="n">
        <v>40928</v>
      </c>
      <c r="AZ48" s="15" t="s">
        <v>154</v>
      </c>
      <c r="BA48" s="1" t="n">
        <v>2</v>
      </c>
      <c r="BB48" s="15" t="n">
        <v>35.831</v>
      </c>
      <c r="BC48" s="15" t="n">
        <v>35.831</v>
      </c>
      <c r="BD48" s="15" t="n">
        <v>0</v>
      </c>
      <c r="BE48" s="15" t="n">
        <v>741</v>
      </c>
      <c r="BF48" s="15" t="n">
        <v>360</v>
      </c>
      <c r="BG48" s="15" t="n">
        <v>360</v>
      </c>
      <c r="BH48" s="15" t="s">
        <v>238</v>
      </c>
      <c r="BI48" s="15" t="n">
        <v>1</v>
      </c>
      <c r="BJ48" s="20" t="n">
        <f aca="false">+O48</f>
        <v>136451</v>
      </c>
      <c r="BK48" s="9" t="s">
        <v>272</v>
      </c>
      <c r="BL48" s="15" t="s">
        <v>157</v>
      </c>
      <c r="BM48" s="15" t="n">
        <v>1</v>
      </c>
      <c r="BN48" s="15" t="n">
        <v>33.156344</v>
      </c>
      <c r="BO48" s="15" t="n">
        <v>1</v>
      </c>
      <c r="BP48" s="15" t="n">
        <v>3</v>
      </c>
      <c r="BQ48" s="15" t="s">
        <v>325</v>
      </c>
      <c r="BR48" s="15" t="n">
        <v>4</v>
      </c>
      <c r="BS48" s="18" t="n">
        <v>42248</v>
      </c>
      <c r="BT48" s="15" t="n">
        <v>2</v>
      </c>
      <c r="BU48" s="15" t="n">
        <v>12</v>
      </c>
      <c r="BV48" s="15" t="n">
        <v>2</v>
      </c>
      <c r="BW48" s="15" t="n">
        <v>5</v>
      </c>
      <c r="BX48" s="15" t="n">
        <v>2</v>
      </c>
      <c r="BY48" s="20" t="n">
        <f aca="false">+O48</f>
        <v>136451</v>
      </c>
      <c r="BZ48" s="15" t="n">
        <v>0</v>
      </c>
      <c r="CA48" s="15" t="n">
        <v>0</v>
      </c>
      <c r="CC48" s="15" t="n">
        <v>0</v>
      </c>
      <c r="CD48" s="15" t="n">
        <v>0</v>
      </c>
      <c r="CE48" s="18" t="n">
        <v>40909</v>
      </c>
      <c r="CF48" s="15" t="n">
        <v>1</v>
      </c>
      <c r="CG48" s="15" t="n">
        <v>0</v>
      </c>
      <c r="CH48" s="15" t="n">
        <v>0</v>
      </c>
      <c r="CI48" s="15" t="n">
        <v>0</v>
      </c>
      <c r="CJ48" s="15" t="n">
        <v>0</v>
      </c>
      <c r="CK48" s="15" t="n">
        <v>1</v>
      </c>
      <c r="CL48" s="15" t="n">
        <v>1</v>
      </c>
      <c r="CM48" s="15" t="s">
        <v>158</v>
      </c>
      <c r="CO48" s="15" t="n">
        <v>27</v>
      </c>
      <c r="CQ48" s="15" t="s">
        <v>159</v>
      </c>
      <c r="CS48" s="15" t="n">
        <v>0</v>
      </c>
      <c r="CT48" s="15" t="n">
        <v>0</v>
      </c>
      <c r="CU48" s="15" t="n">
        <v>0</v>
      </c>
      <c r="DA48" s="15" t="s">
        <v>160</v>
      </c>
      <c r="DB48" s="15" t="n">
        <v>1000100100</v>
      </c>
      <c r="DC48" s="15" t="n">
        <v>0</v>
      </c>
      <c r="DD48" s="15" t="n">
        <v>30</v>
      </c>
      <c r="DE48" s="15" t="n">
        <v>4</v>
      </c>
      <c r="DF48" s="15" t="n">
        <v>0</v>
      </c>
      <c r="DG48" s="15" t="n">
        <v>371.31</v>
      </c>
      <c r="DH48" s="11" t="s">
        <v>161</v>
      </c>
      <c r="DJ48" s="15" t="n">
        <v>0</v>
      </c>
      <c r="DL48" s="15" t="n">
        <f aca="false">+R48</f>
        <v>5.875</v>
      </c>
      <c r="DM48" s="15" t="n">
        <v>1</v>
      </c>
      <c r="DN48" s="15" t="n">
        <v>0</v>
      </c>
      <c r="DO48" s="15" t="n">
        <v>0</v>
      </c>
      <c r="DP48" s="15" t="n">
        <v>0</v>
      </c>
      <c r="DQ48" s="15" t="n">
        <v>0</v>
      </c>
      <c r="DR48" s="15" t="n">
        <v>100</v>
      </c>
      <c r="DT48" s="15" t="n">
        <v>8.875</v>
      </c>
      <c r="DU48" s="15" t="n">
        <v>0</v>
      </c>
      <c r="DV48" s="15" t="n">
        <v>0</v>
      </c>
      <c r="DW48" s="15" t="n">
        <v>0</v>
      </c>
      <c r="DX48" s="15" t="s">
        <v>162</v>
      </c>
      <c r="EH48" s="10" t="s">
        <v>196</v>
      </c>
      <c r="EI48" s="15" t="n">
        <v>32158</v>
      </c>
      <c r="EJ48" s="10" t="s">
        <v>290</v>
      </c>
      <c r="EK48" s="10" t="s">
        <v>436</v>
      </c>
      <c r="EL48" s="10" t="s">
        <v>168</v>
      </c>
      <c r="EM48" s="10" t="s">
        <v>437</v>
      </c>
    </row>
    <row collapsed="false" customFormat="true" customHeight="false" hidden="false" ht="14.9" outlineLevel="0" r="49" s="15">
      <c r="A49" s="15" t="s">
        <v>263</v>
      </c>
      <c r="B49" s="10" t="s">
        <v>439</v>
      </c>
      <c r="C49" s="10" t="s">
        <v>440</v>
      </c>
      <c r="H49" s="10" t="s">
        <v>352</v>
      </c>
      <c r="I49" s="10" t="s">
        <v>200</v>
      </c>
      <c r="J49" s="10" t="s">
        <v>353</v>
      </c>
      <c r="K49" s="11" t="s">
        <v>441</v>
      </c>
      <c r="L49" s="11"/>
      <c r="M49" s="15" t="n">
        <v>1</v>
      </c>
      <c r="N49" s="15" t="s">
        <v>211</v>
      </c>
      <c r="O49" s="12" t="n">
        <v>240000</v>
      </c>
      <c r="P49" s="12" t="n">
        <v>240000</v>
      </c>
      <c r="Q49" s="15" t="n">
        <v>1200</v>
      </c>
      <c r="R49" s="15" t="n">
        <v>3.5</v>
      </c>
      <c r="S49" s="13" t="n">
        <v>40897</v>
      </c>
      <c r="T49" s="13" t="n">
        <v>40897</v>
      </c>
      <c r="U49" s="18" t="n">
        <v>40940</v>
      </c>
      <c r="V49" s="18" t="n">
        <v>51898</v>
      </c>
      <c r="W49" s="19" t="n">
        <v>0</v>
      </c>
      <c r="X49" s="3" t="n">
        <v>94886</v>
      </c>
      <c r="Y49" s="19"/>
      <c r="Z49" s="15" t="n">
        <v>1</v>
      </c>
      <c r="AB49" s="15" t="s">
        <v>404</v>
      </c>
      <c r="AD49" s="10" t="s">
        <v>352</v>
      </c>
      <c r="AE49" s="10" t="s">
        <v>200</v>
      </c>
      <c r="AF49" s="10" t="s">
        <v>353</v>
      </c>
      <c r="AG49" s="11"/>
      <c r="AH49" s="11"/>
      <c r="AQ49" s="11"/>
      <c r="AT49" s="9" t="s">
        <v>152</v>
      </c>
      <c r="AU49" s="11" t="s">
        <v>153</v>
      </c>
      <c r="AV49" s="15" t="n">
        <v>100</v>
      </c>
      <c r="AW49" s="18" t="n">
        <v>40898</v>
      </c>
      <c r="AX49" s="18" t="n">
        <v>40928</v>
      </c>
      <c r="AZ49" s="15" t="s">
        <v>154</v>
      </c>
      <c r="BA49" s="1" t="n">
        <v>1</v>
      </c>
      <c r="BB49" s="15" t="n">
        <v>45.833</v>
      </c>
      <c r="BC49" s="15" t="n">
        <v>45.833</v>
      </c>
      <c r="BD49" s="15" t="n">
        <v>0</v>
      </c>
      <c r="BE49" s="15" t="n">
        <v>758</v>
      </c>
      <c r="BF49" s="15" t="n">
        <v>360</v>
      </c>
      <c r="BG49" s="15" t="n">
        <v>360</v>
      </c>
      <c r="BH49" s="15" t="s">
        <v>173</v>
      </c>
      <c r="BI49" s="15" t="n">
        <v>1</v>
      </c>
      <c r="BJ49" s="20" t="n">
        <f aca="false">+O49</f>
        <v>240000</v>
      </c>
      <c r="BK49" s="9" t="s">
        <v>272</v>
      </c>
      <c r="BL49" s="15" t="s">
        <v>157</v>
      </c>
      <c r="BM49" s="15" t="n">
        <v>1</v>
      </c>
      <c r="BN49" s="15" t="n">
        <v>29.360949</v>
      </c>
      <c r="BO49" s="15" t="n">
        <v>1</v>
      </c>
      <c r="BP49" s="15" t="n">
        <v>0</v>
      </c>
      <c r="BY49" s="20" t="n">
        <f aca="false">+O49</f>
        <v>240000</v>
      </c>
      <c r="BZ49" s="15" t="n">
        <v>0</v>
      </c>
      <c r="CA49" s="15" t="n">
        <v>0</v>
      </c>
      <c r="CC49" s="15" t="n">
        <v>0</v>
      </c>
      <c r="CD49" s="15" t="n">
        <v>0</v>
      </c>
      <c r="CE49" s="18" t="n">
        <v>40909</v>
      </c>
      <c r="CF49" s="15" t="n">
        <v>1</v>
      </c>
      <c r="CG49" s="15" t="n">
        <v>0</v>
      </c>
      <c r="CH49" s="15" t="n">
        <v>0</v>
      </c>
      <c r="CI49" s="15" t="n">
        <v>0</v>
      </c>
      <c r="CJ49" s="15" t="n">
        <v>0</v>
      </c>
      <c r="CK49" s="15" t="n">
        <v>1</v>
      </c>
      <c r="CL49" s="15" t="n">
        <v>1</v>
      </c>
      <c r="CM49" s="15" t="s">
        <v>176</v>
      </c>
      <c r="CO49" s="15" t="n">
        <v>31</v>
      </c>
      <c r="CQ49" s="15" t="s">
        <v>159</v>
      </c>
      <c r="CS49" s="15" t="n">
        <v>0</v>
      </c>
      <c r="CT49" s="15" t="n">
        <v>0</v>
      </c>
      <c r="CU49" s="15" t="n">
        <v>0</v>
      </c>
      <c r="DA49" s="15" t="s">
        <v>160</v>
      </c>
      <c r="DB49" s="15" t="n">
        <v>1000100100</v>
      </c>
      <c r="DC49" s="15" t="n">
        <v>0</v>
      </c>
      <c r="DE49" s="15" t="n">
        <v>8</v>
      </c>
      <c r="DF49" s="15" t="n">
        <v>1</v>
      </c>
      <c r="DG49" s="15" t="n">
        <v>1585.86</v>
      </c>
      <c r="DH49" s="11" t="s">
        <v>161</v>
      </c>
      <c r="DJ49" s="15" t="n">
        <v>0</v>
      </c>
      <c r="DL49" s="15" t="n">
        <f aca="false">+R49</f>
        <v>3.5</v>
      </c>
      <c r="DQ49" s="15" t="n">
        <v>0</v>
      </c>
      <c r="DR49" s="15" t="n">
        <v>100</v>
      </c>
      <c r="DU49" s="15" t="n">
        <v>0</v>
      </c>
      <c r="DV49" s="15" t="n">
        <v>0</v>
      </c>
      <c r="DW49" s="15" t="n">
        <v>0</v>
      </c>
      <c r="DX49" s="15" t="s">
        <v>162</v>
      </c>
      <c r="EH49" s="10" t="s">
        <v>273</v>
      </c>
      <c r="EI49" s="15" t="n">
        <v>65431</v>
      </c>
      <c r="EJ49" s="10" t="s">
        <v>297</v>
      </c>
      <c r="EK49" s="10" t="s">
        <v>352</v>
      </c>
      <c r="EL49" s="10" t="s">
        <v>200</v>
      </c>
      <c r="EM49" s="10" t="s">
        <v>353</v>
      </c>
    </row>
    <row collapsed="false" customFormat="true" customHeight="false" hidden="false" ht="14" outlineLevel="0" r="50" s="15">
      <c r="A50" s="15" t="s">
        <v>263</v>
      </c>
      <c r="B50" s="10" t="s">
        <v>442</v>
      </c>
      <c r="C50" s="10" t="s">
        <v>443</v>
      </c>
      <c r="H50" s="10" t="s">
        <v>444</v>
      </c>
      <c r="I50" s="10" t="s">
        <v>168</v>
      </c>
      <c r="J50" s="10" t="s">
        <v>445</v>
      </c>
      <c r="K50" s="11" t="s">
        <v>446</v>
      </c>
      <c r="L50" s="11"/>
      <c r="M50" s="15" t="n">
        <v>1</v>
      </c>
      <c r="N50" s="15" t="s">
        <v>150</v>
      </c>
      <c r="O50" s="12" t="n">
        <v>330000</v>
      </c>
      <c r="P50" s="12" t="n">
        <v>330000</v>
      </c>
      <c r="Q50" s="15" t="n">
        <v>1650</v>
      </c>
      <c r="R50" s="15" t="n">
        <v>4</v>
      </c>
      <c r="S50" s="13" t="n">
        <v>40897</v>
      </c>
      <c r="T50" s="13" t="n">
        <v>40897</v>
      </c>
      <c r="U50" s="18" t="n">
        <v>40940</v>
      </c>
      <c r="V50" s="18" t="n">
        <v>44593</v>
      </c>
      <c r="W50" s="19" t="n">
        <v>0</v>
      </c>
      <c r="X50" s="3" t="n">
        <v>42982</v>
      </c>
      <c r="Y50" s="19"/>
      <c r="Z50" s="15" t="n">
        <v>1</v>
      </c>
      <c r="AB50" s="15" t="s">
        <v>404</v>
      </c>
      <c r="AD50" s="10" t="s">
        <v>444</v>
      </c>
      <c r="AE50" s="10" t="s">
        <v>168</v>
      </c>
      <c r="AF50" s="10" t="s">
        <v>445</v>
      </c>
      <c r="AG50" s="11"/>
      <c r="AH50" s="11"/>
      <c r="AQ50" s="11"/>
      <c r="AT50" s="9" t="s">
        <v>152</v>
      </c>
      <c r="AU50" s="11" t="s">
        <v>153</v>
      </c>
      <c r="AV50" s="15" t="n">
        <v>100</v>
      </c>
      <c r="AW50" s="18" t="n">
        <v>40898</v>
      </c>
      <c r="AX50" s="18" t="n">
        <v>40928</v>
      </c>
      <c r="AZ50" s="15" t="s">
        <v>154</v>
      </c>
      <c r="BA50" s="1" t="n">
        <v>1</v>
      </c>
      <c r="BB50" s="15" t="n">
        <v>89.209</v>
      </c>
      <c r="BC50" s="15" t="n">
        <v>89.209</v>
      </c>
      <c r="BD50" s="15" t="n">
        <v>0</v>
      </c>
      <c r="BE50" s="15" t="n">
        <v>719</v>
      </c>
      <c r="BF50" s="15" t="n">
        <v>120</v>
      </c>
      <c r="BG50" s="15" t="n">
        <v>120</v>
      </c>
      <c r="BH50" s="15" t="s">
        <v>155</v>
      </c>
      <c r="BI50" s="15" t="n">
        <v>1</v>
      </c>
      <c r="BJ50" s="20" t="n">
        <f aca="false">+O50</f>
        <v>330000</v>
      </c>
      <c r="BK50" s="9" t="s">
        <v>447</v>
      </c>
      <c r="BL50" s="15" t="s">
        <v>157</v>
      </c>
      <c r="BM50" s="15" t="n">
        <v>1</v>
      </c>
      <c r="BN50" s="15" t="n">
        <v>48.18622</v>
      </c>
      <c r="BO50" s="15" t="n">
        <v>1</v>
      </c>
      <c r="BP50" s="15" t="n">
        <v>0</v>
      </c>
      <c r="BY50" s="20" t="n">
        <f aca="false">+O50</f>
        <v>330000</v>
      </c>
      <c r="BZ50" s="15" t="n">
        <v>0</v>
      </c>
      <c r="CA50" s="15" t="n">
        <v>0</v>
      </c>
      <c r="CC50" s="15" t="n">
        <v>0</v>
      </c>
      <c r="CD50" s="15" t="n">
        <v>0</v>
      </c>
      <c r="CE50" s="18" t="n">
        <v>40909</v>
      </c>
      <c r="CF50" s="15" t="n">
        <v>1</v>
      </c>
      <c r="CG50" s="15" t="n">
        <v>0</v>
      </c>
      <c r="CH50" s="15" t="n">
        <v>0</v>
      </c>
      <c r="CI50" s="15" t="n">
        <v>0</v>
      </c>
      <c r="CJ50" s="15" t="n">
        <v>0</v>
      </c>
      <c r="CK50" s="15" t="n">
        <v>1</v>
      </c>
      <c r="CL50" s="15" t="n">
        <v>1</v>
      </c>
      <c r="CM50" s="15" t="s">
        <v>176</v>
      </c>
      <c r="CO50" s="15" t="n">
        <v>45</v>
      </c>
      <c r="CQ50" s="15" t="s">
        <v>159</v>
      </c>
      <c r="CS50" s="15" t="n">
        <v>0</v>
      </c>
      <c r="CT50" s="15" t="n">
        <v>0</v>
      </c>
      <c r="CU50" s="15" t="n">
        <v>0</v>
      </c>
      <c r="DA50" s="15" t="s">
        <v>160</v>
      </c>
      <c r="DB50" s="15" t="n">
        <v>1000100100</v>
      </c>
      <c r="DC50" s="15" t="n">
        <v>0</v>
      </c>
      <c r="DE50" s="15" t="n">
        <v>12</v>
      </c>
      <c r="DF50" s="15" t="n">
        <v>33</v>
      </c>
      <c r="DG50" s="15" t="n">
        <v>22272.67</v>
      </c>
      <c r="DH50" s="11" t="s">
        <v>161</v>
      </c>
      <c r="DJ50" s="15" t="n">
        <v>0</v>
      </c>
      <c r="DL50" s="15" t="n">
        <f aca="false">+R50</f>
        <v>4</v>
      </c>
      <c r="DQ50" s="15" t="n">
        <v>0</v>
      </c>
      <c r="DR50" s="15" t="n">
        <v>100</v>
      </c>
      <c r="DU50" s="15" t="n">
        <v>0</v>
      </c>
      <c r="DV50" s="15" t="n">
        <v>0</v>
      </c>
      <c r="DW50" s="15" t="n">
        <v>0</v>
      </c>
      <c r="DX50" s="15" t="s">
        <v>162</v>
      </c>
      <c r="EH50" s="10" t="s">
        <v>281</v>
      </c>
      <c r="EI50" s="15" t="n">
        <v>554646</v>
      </c>
      <c r="EJ50" s="10" t="s">
        <v>179</v>
      </c>
      <c r="EK50" s="10" t="s">
        <v>444</v>
      </c>
      <c r="EL50" s="10" t="s">
        <v>168</v>
      </c>
      <c r="EM50" s="10" t="s">
        <v>445</v>
      </c>
    </row>
    <row collapsed="false" customFormat="true" customHeight="false" hidden="false" ht="14" outlineLevel="0" r="51" s="15">
      <c r="A51" s="15" t="s">
        <v>263</v>
      </c>
      <c r="B51" s="10" t="s">
        <v>448</v>
      </c>
      <c r="C51" s="10" t="s">
        <v>449</v>
      </c>
      <c r="H51" s="10" t="s">
        <v>450</v>
      </c>
      <c r="I51" s="10" t="s">
        <v>168</v>
      </c>
      <c r="J51" s="10" t="s">
        <v>311</v>
      </c>
      <c r="K51" s="11" t="s">
        <v>451</v>
      </c>
      <c r="L51" s="11"/>
      <c r="M51" s="15" t="n">
        <v>1</v>
      </c>
      <c r="N51" s="15" t="s">
        <v>172</v>
      </c>
      <c r="O51" s="12" t="n">
        <v>410000</v>
      </c>
      <c r="P51" s="12" t="n">
        <v>410000</v>
      </c>
      <c r="Q51" s="15" t="n">
        <v>2050</v>
      </c>
      <c r="R51" s="15" t="n">
        <v>4.25</v>
      </c>
      <c r="S51" s="13" t="n">
        <v>40897</v>
      </c>
      <c r="T51" s="13" t="n">
        <v>40897</v>
      </c>
      <c r="U51" s="18" t="n">
        <v>40940</v>
      </c>
      <c r="V51" s="18" t="n">
        <v>46419</v>
      </c>
      <c r="W51" s="19" t="n">
        <v>0</v>
      </c>
      <c r="X51" s="3" t="n">
        <v>214511</v>
      </c>
      <c r="Y51" s="19"/>
      <c r="Z51" s="15" t="n">
        <v>1</v>
      </c>
      <c r="AB51" s="15" t="s">
        <v>404</v>
      </c>
      <c r="AD51" s="10" t="s">
        <v>450</v>
      </c>
      <c r="AE51" s="10" t="s">
        <v>168</v>
      </c>
      <c r="AF51" s="10" t="s">
        <v>311</v>
      </c>
      <c r="AG51" s="11"/>
      <c r="AH51" s="11"/>
      <c r="AQ51" s="11"/>
      <c r="AT51" s="9" t="s">
        <v>236</v>
      </c>
      <c r="AU51" s="11" t="s">
        <v>237</v>
      </c>
      <c r="AV51" s="15" t="n">
        <v>100</v>
      </c>
      <c r="AW51" s="18" t="n">
        <v>40898</v>
      </c>
      <c r="AX51" s="18" t="n">
        <v>40928</v>
      </c>
      <c r="AZ51" s="15" t="s">
        <v>154</v>
      </c>
      <c r="BA51" s="1" t="n">
        <v>1</v>
      </c>
      <c r="BB51" s="15" t="n">
        <v>81.698</v>
      </c>
      <c r="BC51" s="15" t="n">
        <v>81.698</v>
      </c>
      <c r="BD51" s="15" t="n">
        <v>0</v>
      </c>
      <c r="BE51" s="15" t="n">
        <v>809</v>
      </c>
      <c r="BF51" s="9" t="n">
        <f aca="false">15*12</f>
        <v>180</v>
      </c>
      <c r="BG51" s="15" t="n">
        <v>180</v>
      </c>
      <c r="BH51" s="15" t="s">
        <v>173</v>
      </c>
      <c r="BI51" s="15" t="n">
        <v>1</v>
      </c>
      <c r="BJ51" s="20" t="n">
        <f aca="false">+O51</f>
        <v>410000</v>
      </c>
      <c r="BK51" s="9" t="s">
        <v>447</v>
      </c>
      <c r="BL51" s="15" t="s">
        <v>157</v>
      </c>
      <c r="BM51" s="15" t="n">
        <v>1</v>
      </c>
      <c r="BN51" s="15" t="n">
        <v>26.671097</v>
      </c>
      <c r="BO51" s="15" t="n">
        <v>1</v>
      </c>
      <c r="BP51" s="15" t="n">
        <v>0</v>
      </c>
      <c r="BY51" s="20" t="n">
        <f aca="false">+O51</f>
        <v>410000</v>
      </c>
      <c r="BZ51" s="15" t="n">
        <v>0</v>
      </c>
      <c r="CA51" s="15" t="n">
        <v>0</v>
      </c>
      <c r="CC51" s="15" t="n">
        <v>0</v>
      </c>
      <c r="CD51" s="15" t="n">
        <v>0</v>
      </c>
      <c r="CE51" s="18" t="n">
        <v>40909</v>
      </c>
      <c r="CF51" s="15" t="n">
        <v>1</v>
      </c>
      <c r="CG51" s="15" t="n">
        <v>0</v>
      </c>
      <c r="CH51" s="15" t="n">
        <v>0</v>
      </c>
      <c r="CI51" s="15" t="n">
        <v>0</v>
      </c>
      <c r="CJ51" s="15" t="n">
        <v>0</v>
      </c>
      <c r="CK51" s="15" t="n">
        <v>1</v>
      </c>
      <c r="CL51" s="15" t="n">
        <v>1</v>
      </c>
      <c r="CM51" s="15" t="s">
        <v>176</v>
      </c>
      <c r="CO51" s="15" t="n">
        <v>46</v>
      </c>
      <c r="CQ51" s="15" t="s">
        <v>159</v>
      </c>
      <c r="CS51" s="15" t="n">
        <v>0</v>
      </c>
      <c r="CT51" s="15" t="n">
        <v>0</v>
      </c>
      <c r="CU51" s="15" t="n">
        <v>0</v>
      </c>
      <c r="DA51" s="15" t="s">
        <v>160</v>
      </c>
      <c r="DB51" s="15" t="n">
        <v>1000100100</v>
      </c>
      <c r="DC51" s="15" t="n">
        <v>0</v>
      </c>
      <c r="DE51" s="15" t="n">
        <v>10</v>
      </c>
      <c r="DF51" s="15" t="n">
        <v>14</v>
      </c>
      <c r="DG51" s="15" t="n">
        <v>10266</v>
      </c>
      <c r="DH51" s="11" t="s">
        <v>161</v>
      </c>
      <c r="DJ51" s="15" t="n">
        <v>0</v>
      </c>
      <c r="DL51" s="15" t="n">
        <f aca="false">+R51</f>
        <v>4.25</v>
      </c>
      <c r="DQ51" s="15" t="n">
        <v>0</v>
      </c>
      <c r="DR51" s="15" t="n">
        <v>100</v>
      </c>
      <c r="DU51" s="15" t="n">
        <v>0</v>
      </c>
      <c r="DV51" s="15" t="n">
        <v>0</v>
      </c>
      <c r="DW51" s="15" t="n">
        <v>0</v>
      </c>
      <c r="DX51" s="15" t="s">
        <v>162</v>
      </c>
      <c r="EH51" s="10" t="s">
        <v>289</v>
      </c>
      <c r="EI51" s="15" t="n">
        <v>66545</v>
      </c>
      <c r="EJ51" s="10" t="s">
        <v>273</v>
      </c>
      <c r="EK51" s="10" t="s">
        <v>450</v>
      </c>
      <c r="EL51" s="10" t="s">
        <v>168</v>
      </c>
      <c r="EM51" s="10" t="s">
        <v>311</v>
      </c>
    </row>
    <row collapsed="false" customFormat="true" customHeight="false" hidden="false" ht="14.9" outlineLevel="0" r="52" s="15">
      <c r="A52" s="15" t="s">
        <v>263</v>
      </c>
      <c r="B52" s="10" t="s">
        <v>452</v>
      </c>
      <c r="C52" s="10" t="s">
        <v>453</v>
      </c>
      <c r="H52" s="10" t="s">
        <v>454</v>
      </c>
      <c r="I52" s="10" t="s">
        <v>455</v>
      </c>
      <c r="J52" s="10" t="s">
        <v>456</v>
      </c>
      <c r="K52" s="11" t="s">
        <v>457</v>
      </c>
      <c r="L52" s="11"/>
      <c r="M52" s="15" t="n">
        <v>1</v>
      </c>
      <c r="N52" s="15" t="s">
        <v>185</v>
      </c>
      <c r="O52" s="12" t="n">
        <v>256000</v>
      </c>
      <c r="P52" s="12" t="n">
        <v>256000</v>
      </c>
      <c r="Q52" s="15" t="n">
        <v>1280</v>
      </c>
      <c r="R52" s="15" t="n">
        <v>4.99</v>
      </c>
      <c r="S52" s="13" t="n">
        <v>40898</v>
      </c>
      <c r="T52" s="13" t="n">
        <v>40898</v>
      </c>
      <c r="U52" s="18" t="n">
        <v>40940</v>
      </c>
      <c r="V52" s="18" t="n">
        <v>48245</v>
      </c>
      <c r="W52" s="19" t="n">
        <v>0</v>
      </c>
      <c r="X52" s="3" t="n">
        <v>235912</v>
      </c>
      <c r="Y52" s="19"/>
      <c r="Z52" s="15" t="n">
        <v>1</v>
      </c>
      <c r="AB52" s="15" t="s">
        <v>404</v>
      </c>
      <c r="AD52" s="10" t="s">
        <v>454</v>
      </c>
      <c r="AE52" s="10" t="s">
        <v>455</v>
      </c>
      <c r="AF52" s="10" t="s">
        <v>456</v>
      </c>
      <c r="AG52" s="11"/>
      <c r="AH52" s="11"/>
      <c r="AQ52" s="11"/>
      <c r="AT52" s="21" t="s">
        <v>364</v>
      </c>
      <c r="AU52" s="11" t="s">
        <v>365</v>
      </c>
      <c r="AV52" s="15" t="n">
        <v>100</v>
      </c>
      <c r="AW52" s="18" t="n">
        <v>40899</v>
      </c>
      <c r="AX52" s="18" t="n">
        <v>40929</v>
      </c>
      <c r="AZ52" s="15" t="s">
        <v>154</v>
      </c>
      <c r="BA52" s="1" t="n">
        <v>2</v>
      </c>
      <c r="BB52" s="15" t="n">
        <v>19.776</v>
      </c>
      <c r="BC52" s="15" t="n">
        <v>19.776</v>
      </c>
      <c r="BD52" s="15" t="n">
        <v>0</v>
      </c>
      <c r="BE52" s="15" t="n">
        <v>713</v>
      </c>
      <c r="BF52" s="15" t="n">
        <v>240</v>
      </c>
      <c r="BG52" s="15" t="n">
        <v>240</v>
      </c>
      <c r="BH52" s="15" t="s">
        <v>155</v>
      </c>
      <c r="BI52" s="15" t="n">
        <v>1</v>
      </c>
      <c r="BJ52" s="20" t="n">
        <f aca="false">+O52</f>
        <v>256000</v>
      </c>
      <c r="BK52" s="9" t="s">
        <v>447</v>
      </c>
      <c r="BL52" s="15" t="s">
        <v>157</v>
      </c>
      <c r="BM52" s="15" t="n">
        <v>1</v>
      </c>
      <c r="BN52" s="15" t="n">
        <v>27.037002</v>
      </c>
      <c r="BO52" s="15" t="n">
        <v>0</v>
      </c>
      <c r="BP52" s="15" t="n">
        <v>0</v>
      </c>
      <c r="BY52" s="20" t="n">
        <f aca="false">+O52</f>
        <v>256000</v>
      </c>
      <c r="BZ52" s="15" t="n">
        <v>0</v>
      </c>
      <c r="CA52" s="15" t="n">
        <v>0</v>
      </c>
      <c r="CC52" s="15" t="n">
        <v>0</v>
      </c>
      <c r="CD52" s="15" t="n">
        <v>0</v>
      </c>
      <c r="CE52" s="18" t="n">
        <v>40909</v>
      </c>
      <c r="CF52" s="15" t="n">
        <v>1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1</v>
      </c>
      <c r="CL52" s="15" t="n">
        <v>1</v>
      </c>
      <c r="CM52" s="15" t="s">
        <v>176</v>
      </c>
      <c r="CO52" s="15" t="n">
        <v>64</v>
      </c>
      <c r="CQ52" s="15" t="s">
        <v>159</v>
      </c>
      <c r="CS52" s="15" t="n">
        <v>0</v>
      </c>
      <c r="CT52" s="15" t="n">
        <v>0</v>
      </c>
      <c r="CU52" s="15" t="n">
        <v>0</v>
      </c>
      <c r="DA52" s="15" t="s">
        <v>160</v>
      </c>
      <c r="DB52" s="15" t="n">
        <v>1000100100</v>
      </c>
      <c r="DC52" s="15" t="n">
        <v>0</v>
      </c>
      <c r="DE52" s="15" t="n">
        <v>8</v>
      </c>
      <c r="DF52" s="15" t="n">
        <v>24</v>
      </c>
      <c r="DG52" s="15" t="n">
        <v>10939.17</v>
      </c>
      <c r="DH52" s="11" t="s">
        <v>161</v>
      </c>
      <c r="DJ52" s="15" t="n">
        <v>0</v>
      </c>
      <c r="DL52" s="15" t="n">
        <f aca="false">+R52</f>
        <v>4.99</v>
      </c>
      <c r="DQ52" s="15" t="n">
        <v>0</v>
      </c>
      <c r="DR52" s="15" t="n">
        <v>100</v>
      </c>
      <c r="DU52" s="15" t="n">
        <v>0</v>
      </c>
      <c r="DV52" s="15" t="n">
        <v>0</v>
      </c>
      <c r="DW52" s="15" t="n">
        <v>0</v>
      </c>
      <c r="DX52" s="15" t="s">
        <v>162</v>
      </c>
      <c r="EH52" s="10" t="s">
        <v>296</v>
      </c>
      <c r="EI52" s="15" t="n">
        <v>7516</v>
      </c>
      <c r="EJ52" s="10" t="s">
        <v>313</v>
      </c>
      <c r="EK52" s="10" t="s">
        <v>454</v>
      </c>
      <c r="EL52" s="10" t="s">
        <v>455</v>
      </c>
      <c r="EM52" s="10" t="s">
        <v>456</v>
      </c>
    </row>
    <row collapsed="false" customFormat="true" customHeight="false" hidden="false" ht="14.9" outlineLevel="0" r="53" s="15">
      <c r="A53" s="15" t="s">
        <v>263</v>
      </c>
      <c r="B53" s="10" t="s">
        <v>458</v>
      </c>
      <c r="C53" s="10" t="s">
        <v>459</v>
      </c>
      <c r="H53" s="10" t="s">
        <v>460</v>
      </c>
      <c r="I53" s="10" t="s">
        <v>168</v>
      </c>
      <c r="J53" s="10" t="s">
        <v>461</v>
      </c>
      <c r="K53" s="11" t="s">
        <v>462</v>
      </c>
      <c r="L53" s="11"/>
      <c r="M53" s="15" t="n">
        <v>1</v>
      </c>
      <c r="N53" s="15" t="s">
        <v>194</v>
      </c>
      <c r="O53" s="12" t="n">
        <v>260000</v>
      </c>
      <c r="P53" s="12" t="n">
        <v>260000</v>
      </c>
      <c r="Q53" s="15" t="n">
        <v>1300</v>
      </c>
      <c r="R53" s="15" t="n">
        <v>4.99</v>
      </c>
      <c r="S53" s="13" t="n">
        <v>40898</v>
      </c>
      <c r="T53" s="13" t="n">
        <v>40898</v>
      </c>
      <c r="U53" s="18" t="n">
        <v>40940</v>
      </c>
      <c r="V53" s="18" t="n">
        <v>50072</v>
      </c>
      <c r="W53" s="19" t="n">
        <v>0</v>
      </c>
      <c r="X53" s="3" t="n">
        <v>81975</v>
      </c>
      <c r="Y53" s="19"/>
      <c r="Z53" s="15" t="n">
        <v>1</v>
      </c>
      <c r="AB53" s="15" t="s">
        <v>404</v>
      </c>
      <c r="AD53" s="10" t="s">
        <v>460</v>
      </c>
      <c r="AE53" s="10" t="s">
        <v>168</v>
      </c>
      <c r="AF53" s="10" t="s">
        <v>461</v>
      </c>
      <c r="AG53" s="11"/>
      <c r="AH53" s="11"/>
      <c r="AQ53" s="11"/>
      <c r="AT53" s="15" t="s">
        <v>195</v>
      </c>
      <c r="AU53" s="11" t="n">
        <v>12333333</v>
      </c>
      <c r="AV53" s="15" t="n">
        <v>100</v>
      </c>
      <c r="AW53" s="18" t="n">
        <v>40899</v>
      </c>
      <c r="AX53" s="18" t="n">
        <v>40929</v>
      </c>
      <c r="AZ53" s="15" t="s">
        <v>154</v>
      </c>
      <c r="BA53" s="1" t="n">
        <v>1</v>
      </c>
      <c r="BB53" s="15" t="n">
        <v>47.042</v>
      </c>
      <c r="BC53" s="15" t="n">
        <v>47.042</v>
      </c>
      <c r="BD53" s="15" t="n">
        <v>0</v>
      </c>
      <c r="BE53" s="15" t="n">
        <v>745</v>
      </c>
      <c r="BF53" s="15" t="n">
        <v>300</v>
      </c>
      <c r="BG53" s="15" t="n">
        <v>300</v>
      </c>
      <c r="BH53" s="15" t="s">
        <v>238</v>
      </c>
      <c r="BI53" s="15" t="n">
        <v>1</v>
      </c>
      <c r="BJ53" s="20" t="n">
        <f aca="false">+O53</f>
        <v>260000</v>
      </c>
      <c r="BK53" s="9" t="s">
        <v>447</v>
      </c>
      <c r="BL53" s="15" t="s">
        <v>157</v>
      </c>
      <c r="BM53" s="15" t="n">
        <v>1</v>
      </c>
      <c r="BN53" s="15" t="n">
        <v>20.801104</v>
      </c>
      <c r="BO53" s="15" t="n">
        <v>1</v>
      </c>
      <c r="BP53" s="15" t="n">
        <v>0</v>
      </c>
      <c r="BY53" s="20" t="n">
        <f aca="false">+O53</f>
        <v>260000</v>
      </c>
      <c r="BZ53" s="15" t="n">
        <v>0</v>
      </c>
      <c r="CA53" s="15" t="n">
        <v>0</v>
      </c>
      <c r="CC53" s="15" t="n">
        <v>0</v>
      </c>
      <c r="CD53" s="15" t="n">
        <v>0</v>
      </c>
      <c r="CE53" s="18" t="n">
        <v>40909</v>
      </c>
      <c r="CF53" s="15" t="n">
        <v>1</v>
      </c>
      <c r="CG53" s="15" t="n">
        <v>0</v>
      </c>
      <c r="CH53" s="15" t="n">
        <v>0</v>
      </c>
      <c r="CI53" s="15" t="n">
        <v>0</v>
      </c>
      <c r="CJ53" s="15" t="n">
        <v>0</v>
      </c>
      <c r="CK53" s="15" t="n">
        <v>1</v>
      </c>
      <c r="CL53" s="15" t="n">
        <v>1</v>
      </c>
      <c r="CM53" s="15" t="s">
        <v>176</v>
      </c>
      <c r="CO53" s="15" t="n">
        <v>33</v>
      </c>
      <c r="CQ53" s="15" t="s">
        <v>159</v>
      </c>
      <c r="CS53" s="15" t="n">
        <v>0</v>
      </c>
      <c r="CT53" s="15" t="n">
        <v>0</v>
      </c>
      <c r="CU53" s="15" t="n">
        <v>0</v>
      </c>
      <c r="DA53" s="15" t="s">
        <v>160</v>
      </c>
      <c r="DB53" s="15" t="n">
        <v>1000100100</v>
      </c>
      <c r="DC53" s="15" t="n">
        <v>0</v>
      </c>
      <c r="DE53" s="15" t="n">
        <v>14</v>
      </c>
      <c r="DF53" s="15" t="n">
        <v>21</v>
      </c>
      <c r="DG53" s="15" t="n">
        <v>19900.41</v>
      </c>
      <c r="DH53" s="11" t="s">
        <v>161</v>
      </c>
      <c r="DJ53" s="15" t="n">
        <v>0</v>
      </c>
      <c r="DL53" s="15" t="n">
        <f aca="false">+R53</f>
        <v>4.99</v>
      </c>
      <c r="DQ53" s="15" t="n">
        <v>0</v>
      </c>
      <c r="DR53" s="15" t="n">
        <v>100</v>
      </c>
      <c r="DU53" s="15" t="n">
        <v>0</v>
      </c>
      <c r="DV53" s="15" t="n">
        <v>0</v>
      </c>
      <c r="DW53" s="15" t="n">
        <v>0</v>
      </c>
      <c r="DX53" s="15" t="s">
        <v>162</v>
      </c>
      <c r="EH53" s="10" t="s">
        <v>196</v>
      </c>
      <c r="EI53" s="15" t="n">
        <v>32158</v>
      </c>
      <c r="EJ53" s="10" t="s">
        <v>274</v>
      </c>
      <c r="EK53" s="10" t="s">
        <v>460</v>
      </c>
      <c r="EL53" s="10" t="s">
        <v>168</v>
      </c>
      <c r="EM53" s="10" t="s">
        <v>461</v>
      </c>
    </row>
    <row collapsed="false" customFormat="true" customHeight="false" hidden="false" ht="14" outlineLevel="0" r="54" s="15">
      <c r="A54" s="15" t="s">
        <v>263</v>
      </c>
      <c r="B54" s="10" t="s">
        <v>463</v>
      </c>
      <c r="C54" s="10" t="s">
        <v>464</v>
      </c>
      <c r="H54" s="10" t="s">
        <v>190</v>
      </c>
      <c r="I54" s="10" t="s">
        <v>168</v>
      </c>
      <c r="J54" s="10" t="s">
        <v>324</v>
      </c>
      <c r="K54" s="11" t="s">
        <v>465</v>
      </c>
      <c r="L54" s="11"/>
      <c r="M54" s="15" t="n">
        <v>1</v>
      </c>
      <c r="N54" s="15" t="s">
        <v>211</v>
      </c>
      <c r="O54" s="12" t="n">
        <v>330000</v>
      </c>
      <c r="P54" s="12" t="n">
        <v>330000</v>
      </c>
      <c r="Q54" s="15" t="n">
        <v>1650</v>
      </c>
      <c r="R54" s="15" t="n">
        <v>5.875</v>
      </c>
      <c r="S54" s="13" t="n">
        <v>40898</v>
      </c>
      <c r="T54" s="13" t="n">
        <v>40898</v>
      </c>
      <c r="U54" s="18" t="n">
        <v>40940</v>
      </c>
      <c r="V54" s="18" t="n">
        <v>51898</v>
      </c>
      <c r="W54" s="19" t="n">
        <v>0</v>
      </c>
      <c r="X54" s="3" t="n">
        <v>155581</v>
      </c>
      <c r="Y54" s="19"/>
      <c r="Z54" s="15" t="n">
        <v>1</v>
      </c>
      <c r="AB54" s="15" t="s">
        <v>404</v>
      </c>
      <c r="AD54" s="10" t="s">
        <v>190</v>
      </c>
      <c r="AE54" s="10" t="s">
        <v>168</v>
      </c>
      <c r="AF54" s="10" t="s">
        <v>324</v>
      </c>
      <c r="AG54" s="11"/>
      <c r="AH54" s="11"/>
      <c r="AQ54" s="11"/>
      <c r="AT54" s="15" t="s">
        <v>195</v>
      </c>
      <c r="AU54" s="11" t="n">
        <v>12333333</v>
      </c>
      <c r="AV54" s="15" t="n">
        <v>100</v>
      </c>
      <c r="AW54" s="18" t="n">
        <v>40899</v>
      </c>
      <c r="AX54" s="18" t="n">
        <v>40929</v>
      </c>
      <c r="AZ54" s="15" t="s">
        <v>154</v>
      </c>
      <c r="BA54" s="1" t="n">
        <v>1</v>
      </c>
      <c r="BB54" s="15" t="n">
        <v>93.32</v>
      </c>
      <c r="BC54" s="15" t="n">
        <v>93.32</v>
      </c>
      <c r="BD54" s="15" t="n">
        <v>0</v>
      </c>
      <c r="BE54" s="15" t="n">
        <v>735</v>
      </c>
      <c r="BF54" s="15" t="n">
        <v>360</v>
      </c>
      <c r="BG54" s="15" t="n">
        <v>360</v>
      </c>
      <c r="BH54" s="15" t="s">
        <v>238</v>
      </c>
      <c r="BI54" s="15" t="n">
        <v>1</v>
      </c>
      <c r="BJ54" s="20" t="n">
        <f aca="false">+O54</f>
        <v>330000</v>
      </c>
      <c r="BK54" s="9" t="s">
        <v>447</v>
      </c>
      <c r="BL54" s="15" t="s">
        <v>157</v>
      </c>
      <c r="BM54" s="15" t="n">
        <v>3</v>
      </c>
      <c r="BN54" s="15" t="n">
        <v>25.643788</v>
      </c>
      <c r="BO54" s="15" t="n">
        <v>1</v>
      </c>
      <c r="BP54" s="15" t="n">
        <v>0</v>
      </c>
      <c r="BY54" s="20" t="n">
        <f aca="false">+O54</f>
        <v>330000</v>
      </c>
      <c r="BZ54" s="15" t="n">
        <v>0</v>
      </c>
      <c r="CA54" s="15" t="n">
        <v>0</v>
      </c>
      <c r="CC54" s="15" t="n">
        <v>0</v>
      </c>
      <c r="CD54" s="15" t="n">
        <v>0</v>
      </c>
      <c r="CE54" s="18" t="n">
        <v>40909</v>
      </c>
      <c r="CF54" s="15" t="n">
        <v>1</v>
      </c>
      <c r="CG54" s="15" t="n">
        <v>0</v>
      </c>
      <c r="CH54" s="15" t="n">
        <v>0</v>
      </c>
      <c r="CI54" s="15" t="n">
        <v>0</v>
      </c>
      <c r="CJ54" s="15" t="n">
        <v>0</v>
      </c>
      <c r="CK54" s="15" t="n">
        <v>1</v>
      </c>
      <c r="CL54" s="15" t="n">
        <v>1</v>
      </c>
      <c r="CM54" s="15" t="s">
        <v>176</v>
      </c>
      <c r="CO54" s="15" t="n">
        <v>27</v>
      </c>
      <c r="CQ54" s="15" t="s">
        <v>159</v>
      </c>
      <c r="CS54" s="15" t="n">
        <v>0</v>
      </c>
      <c r="CT54" s="15" t="n">
        <v>0</v>
      </c>
      <c r="CU54" s="15" t="n">
        <v>0</v>
      </c>
      <c r="DA54" s="15" t="s">
        <v>160</v>
      </c>
      <c r="DB54" s="15" t="n">
        <v>1000100100</v>
      </c>
      <c r="DC54" s="15" t="n">
        <v>0</v>
      </c>
      <c r="DE54" s="15" t="n">
        <v>2</v>
      </c>
      <c r="DF54" s="15" t="n">
        <v>15</v>
      </c>
      <c r="DG54" s="15" t="n">
        <v>20808.22</v>
      </c>
      <c r="DH54" s="11" t="s">
        <v>161</v>
      </c>
      <c r="DJ54" s="15" t="n">
        <v>0</v>
      </c>
      <c r="DL54" s="15" t="n">
        <f aca="false">+R54</f>
        <v>5.875</v>
      </c>
      <c r="DQ54" s="15" t="n">
        <v>0</v>
      </c>
      <c r="DR54" s="15" t="n">
        <v>100</v>
      </c>
      <c r="DU54" s="15" t="n">
        <v>0</v>
      </c>
      <c r="DV54" s="15" t="n">
        <v>0</v>
      </c>
      <c r="DW54" s="15" t="n">
        <v>0</v>
      </c>
      <c r="DX54" s="15" t="s">
        <v>162</v>
      </c>
      <c r="EH54" s="10" t="s">
        <v>273</v>
      </c>
      <c r="EI54" s="15" t="n">
        <v>65431</v>
      </c>
      <c r="EJ54" s="10" t="s">
        <v>282</v>
      </c>
      <c r="EK54" s="10" t="s">
        <v>190</v>
      </c>
      <c r="EL54" s="10" t="s">
        <v>168</v>
      </c>
      <c r="EM54" s="10" t="s">
        <v>324</v>
      </c>
    </row>
    <row collapsed="false" customFormat="true" customHeight="false" hidden="false" ht="14" outlineLevel="0" r="55" s="15">
      <c r="A55" s="15" t="s">
        <v>263</v>
      </c>
      <c r="B55" s="10" t="s">
        <v>466</v>
      </c>
      <c r="C55" s="10" t="s">
        <v>467</v>
      </c>
      <c r="H55" s="10" t="s">
        <v>468</v>
      </c>
      <c r="I55" s="10" t="s">
        <v>168</v>
      </c>
      <c r="J55" s="10" t="s">
        <v>469</v>
      </c>
      <c r="K55" s="11" t="s">
        <v>470</v>
      </c>
      <c r="L55" s="11"/>
      <c r="M55" s="15" t="n">
        <v>1</v>
      </c>
      <c r="N55" s="15" t="s">
        <v>150</v>
      </c>
      <c r="O55" s="12" t="n">
        <v>141000</v>
      </c>
      <c r="P55" s="12" t="n">
        <v>141000</v>
      </c>
      <c r="Q55" s="15" t="n">
        <v>705</v>
      </c>
      <c r="R55" s="15" t="n">
        <v>3.5</v>
      </c>
      <c r="S55" s="13" t="n">
        <v>40898</v>
      </c>
      <c r="T55" s="13" t="n">
        <v>40898</v>
      </c>
      <c r="U55" s="18" t="n">
        <v>40940</v>
      </c>
      <c r="V55" s="18" t="n">
        <v>44593</v>
      </c>
      <c r="W55" s="19" t="n">
        <v>0</v>
      </c>
      <c r="X55" s="3" t="n">
        <v>10642</v>
      </c>
      <c r="Y55" s="19"/>
      <c r="Z55" s="15" t="n">
        <v>1</v>
      </c>
      <c r="AB55" s="15" t="s">
        <v>404</v>
      </c>
      <c r="AD55" s="10" t="s">
        <v>468</v>
      </c>
      <c r="AE55" s="10" t="s">
        <v>168</v>
      </c>
      <c r="AF55" s="10" t="s">
        <v>469</v>
      </c>
      <c r="AG55" s="11"/>
      <c r="AH55" s="11"/>
      <c r="AQ55" s="11"/>
      <c r="AT55" s="15" t="s">
        <v>195</v>
      </c>
      <c r="AU55" s="11" t="n">
        <v>12333333</v>
      </c>
      <c r="AV55" s="15" t="n">
        <v>100</v>
      </c>
      <c r="AW55" s="18" t="n">
        <v>40899</v>
      </c>
      <c r="AX55" s="18" t="n">
        <v>40929</v>
      </c>
      <c r="AZ55" s="15" t="s">
        <v>154</v>
      </c>
      <c r="BA55" s="1" t="n">
        <v>2</v>
      </c>
      <c r="BB55" s="15" t="n">
        <v>88.915</v>
      </c>
      <c r="BC55" s="15" t="n">
        <v>88.915</v>
      </c>
      <c r="BD55" s="15" t="n">
        <v>0</v>
      </c>
      <c r="BE55" s="15" t="n">
        <v>773</v>
      </c>
      <c r="BF55" s="15" t="n">
        <v>120</v>
      </c>
      <c r="BG55" s="15" t="n">
        <v>120</v>
      </c>
      <c r="BH55" s="15" t="s">
        <v>238</v>
      </c>
      <c r="BI55" s="15" t="n">
        <v>1</v>
      </c>
      <c r="BJ55" s="20" t="n">
        <f aca="false">+O55</f>
        <v>141000</v>
      </c>
      <c r="BK55" s="9" t="s">
        <v>447</v>
      </c>
      <c r="BL55" s="15" t="s">
        <v>212</v>
      </c>
      <c r="BM55" s="15" t="n">
        <v>1</v>
      </c>
      <c r="BN55" s="15" t="n">
        <v>33.156344</v>
      </c>
      <c r="BO55" s="15" t="n">
        <v>1</v>
      </c>
      <c r="BP55" s="15" t="n">
        <v>0</v>
      </c>
      <c r="BY55" s="20" t="n">
        <f aca="false">+O55</f>
        <v>141000</v>
      </c>
      <c r="BZ55" s="15" t="n">
        <v>0</v>
      </c>
      <c r="CA55" s="15" t="n">
        <v>0</v>
      </c>
      <c r="CC55" s="15" t="n">
        <v>0</v>
      </c>
      <c r="CD55" s="15" t="n">
        <v>0</v>
      </c>
      <c r="CE55" s="18" t="n">
        <v>40909</v>
      </c>
      <c r="CF55" s="15" t="n">
        <v>1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1</v>
      </c>
      <c r="CL55" s="15" t="n">
        <v>1</v>
      </c>
      <c r="CM55" s="15" t="s">
        <v>176</v>
      </c>
      <c r="CO55" s="15" t="n">
        <v>31</v>
      </c>
      <c r="CQ55" s="15" t="s">
        <v>159</v>
      </c>
      <c r="CS55" s="15" t="n">
        <v>0</v>
      </c>
      <c r="CT55" s="15" t="n">
        <v>0</v>
      </c>
      <c r="CU55" s="15" t="n">
        <v>0</v>
      </c>
      <c r="DA55" s="15" t="s">
        <v>160</v>
      </c>
      <c r="DB55" s="15" t="n">
        <v>1000100100</v>
      </c>
      <c r="DC55" s="15" t="n">
        <v>0</v>
      </c>
      <c r="DE55" s="15" t="n">
        <v>6</v>
      </c>
      <c r="DF55" s="15" t="n">
        <v>2</v>
      </c>
      <c r="DG55" s="15" t="n">
        <v>2641.44</v>
      </c>
      <c r="DH55" s="11" t="s">
        <v>161</v>
      </c>
      <c r="DJ55" s="15" t="n">
        <v>0</v>
      </c>
      <c r="DL55" s="15" t="n">
        <f aca="false">+R55</f>
        <v>3.5</v>
      </c>
      <c r="DQ55" s="15" t="n">
        <v>0</v>
      </c>
      <c r="DR55" s="15" t="n">
        <v>100</v>
      </c>
      <c r="DU55" s="15" t="n">
        <v>0</v>
      </c>
      <c r="DV55" s="15" t="n">
        <v>0</v>
      </c>
      <c r="DW55" s="15" t="n">
        <v>0</v>
      </c>
      <c r="DX55" s="15" t="s">
        <v>162</v>
      </c>
      <c r="EH55" s="10" t="s">
        <v>281</v>
      </c>
      <c r="EI55" s="15" t="n">
        <v>554646</v>
      </c>
      <c r="EJ55" s="10" t="s">
        <v>290</v>
      </c>
      <c r="EK55" s="10" t="s">
        <v>468</v>
      </c>
      <c r="EL55" s="10" t="s">
        <v>168</v>
      </c>
      <c r="EM55" s="10" t="s">
        <v>469</v>
      </c>
    </row>
    <row collapsed="false" customFormat="true" customHeight="false" hidden="false" ht="14.9" outlineLevel="0" r="56" s="15">
      <c r="A56" s="15" t="s">
        <v>263</v>
      </c>
      <c r="B56" s="10" t="s">
        <v>471</v>
      </c>
      <c r="C56" s="10" t="s">
        <v>472</v>
      </c>
      <c r="H56" s="10" t="s">
        <v>473</v>
      </c>
      <c r="I56" s="10" t="s">
        <v>168</v>
      </c>
      <c r="J56" s="10" t="s">
        <v>474</v>
      </c>
      <c r="K56" s="11" t="s">
        <v>475</v>
      </c>
      <c r="L56" s="11"/>
      <c r="M56" s="15" t="n">
        <v>1</v>
      </c>
      <c r="N56" s="15" t="s">
        <v>222</v>
      </c>
      <c r="O56" s="12" t="n">
        <v>350874</v>
      </c>
      <c r="P56" s="12" t="n">
        <v>350874</v>
      </c>
      <c r="Q56" s="15" t="n">
        <v>1754.37</v>
      </c>
      <c r="R56" s="15" t="n">
        <v>5.875</v>
      </c>
      <c r="S56" s="13" t="n">
        <v>40898</v>
      </c>
      <c r="T56" s="13" t="n">
        <v>40898</v>
      </c>
      <c r="U56" s="18" t="n">
        <v>40940</v>
      </c>
      <c r="V56" s="18" t="n">
        <v>51898</v>
      </c>
      <c r="W56" s="19" t="n">
        <v>1</v>
      </c>
      <c r="X56" s="3" t="n">
        <v>273513</v>
      </c>
      <c r="Y56" s="19"/>
      <c r="Z56" s="15" t="n">
        <v>1</v>
      </c>
      <c r="AB56" s="15" t="s">
        <v>404</v>
      </c>
      <c r="AD56" s="10" t="s">
        <v>473</v>
      </c>
      <c r="AE56" s="10" t="s">
        <v>168</v>
      </c>
      <c r="AF56" s="10" t="s">
        <v>474</v>
      </c>
      <c r="AG56" s="11"/>
      <c r="AH56" s="11"/>
      <c r="AQ56" s="11"/>
      <c r="AT56" s="15" t="s">
        <v>195</v>
      </c>
      <c r="AU56" s="11" t="n">
        <v>12333333</v>
      </c>
      <c r="AV56" s="15" t="n">
        <v>100</v>
      </c>
      <c r="AW56" s="18" t="n">
        <v>40899</v>
      </c>
      <c r="AX56" s="18" t="n">
        <v>40929</v>
      </c>
      <c r="AZ56" s="15" t="s">
        <v>271</v>
      </c>
      <c r="BA56" s="1" t="n">
        <v>2</v>
      </c>
      <c r="BB56" s="15" t="n">
        <v>19.776</v>
      </c>
      <c r="BC56" s="15" t="n">
        <v>19.776</v>
      </c>
      <c r="BD56" s="15" t="n">
        <v>0</v>
      </c>
      <c r="BE56" s="15" t="n">
        <v>590</v>
      </c>
      <c r="BF56" s="15" t="n">
        <v>360</v>
      </c>
      <c r="BG56" s="15" t="n">
        <v>360</v>
      </c>
      <c r="BH56" s="15" t="s">
        <v>238</v>
      </c>
      <c r="BI56" s="15" t="n">
        <v>1</v>
      </c>
      <c r="BJ56" s="20" t="n">
        <f aca="false">+O56</f>
        <v>350874</v>
      </c>
      <c r="BK56" s="9" t="s">
        <v>447</v>
      </c>
      <c r="BL56" s="15" t="s">
        <v>157</v>
      </c>
      <c r="BM56" s="15" t="n">
        <v>1</v>
      </c>
      <c r="BN56" s="15" t="n">
        <v>29.360949</v>
      </c>
      <c r="BO56" s="15" t="n">
        <v>1</v>
      </c>
      <c r="BP56" s="15" t="n">
        <v>2</v>
      </c>
      <c r="BQ56" s="15" t="s">
        <v>223</v>
      </c>
      <c r="BR56" s="15" t="n">
        <v>4</v>
      </c>
      <c r="BS56" s="18" t="n">
        <v>42248</v>
      </c>
      <c r="BT56" s="15" t="n">
        <v>2</v>
      </c>
      <c r="BU56" s="15" t="n">
        <v>12</v>
      </c>
      <c r="BV56" s="15" t="n">
        <v>2</v>
      </c>
      <c r="BW56" s="15" t="n">
        <v>5</v>
      </c>
      <c r="BX56" s="15" t="n">
        <v>2</v>
      </c>
      <c r="BY56" s="20" t="n">
        <f aca="false">+O56</f>
        <v>350874</v>
      </c>
      <c r="BZ56" s="15" t="n">
        <v>0</v>
      </c>
      <c r="CA56" s="15" t="n">
        <v>0</v>
      </c>
      <c r="CC56" s="15" t="n">
        <v>0</v>
      </c>
      <c r="CD56" s="15" t="n">
        <v>0</v>
      </c>
      <c r="CE56" s="18" t="n">
        <v>40909</v>
      </c>
      <c r="CF56" s="15" t="n">
        <v>1</v>
      </c>
      <c r="CG56" s="15" t="n">
        <v>0</v>
      </c>
      <c r="CH56" s="15" t="n">
        <v>0</v>
      </c>
      <c r="CI56" s="15" t="n">
        <v>0</v>
      </c>
      <c r="CJ56" s="15" t="n">
        <v>0</v>
      </c>
      <c r="CK56" s="15" t="n">
        <v>1</v>
      </c>
      <c r="CL56" s="15" t="n">
        <v>1</v>
      </c>
      <c r="CM56" s="15" t="s">
        <v>176</v>
      </c>
      <c r="CO56" s="15" t="n">
        <v>49</v>
      </c>
      <c r="CQ56" s="15" t="s">
        <v>159</v>
      </c>
      <c r="CS56" s="15" t="n">
        <v>0</v>
      </c>
      <c r="CT56" s="15" t="n">
        <v>0</v>
      </c>
      <c r="CU56" s="15" t="n">
        <v>0</v>
      </c>
      <c r="DA56" s="15" t="s">
        <v>160</v>
      </c>
      <c r="DB56" s="15" t="n">
        <v>1000100100</v>
      </c>
      <c r="DC56" s="15" t="n">
        <v>0</v>
      </c>
      <c r="DD56" s="15" t="n">
        <v>30</v>
      </c>
      <c r="DE56" s="15" t="n">
        <v>7</v>
      </c>
      <c r="DF56" s="15" t="n">
        <v>15</v>
      </c>
      <c r="DG56" s="15" t="n">
        <v>35251.64</v>
      </c>
      <c r="DH56" s="11" t="s">
        <v>161</v>
      </c>
      <c r="DJ56" s="15" t="n">
        <v>0</v>
      </c>
      <c r="DL56" s="15" t="n">
        <f aca="false">+R56</f>
        <v>5.875</v>
      </c>
      <c r="DM56" s="15" t="n">
        <v>1</v>
      </c>
      <c r="DN56" s="15" t="n">
        <v>0</v>
      </c>
      <c r="DO56" s="15" t="n">
        <v>0</v>
      </c>
      <c r="DP56" s="15" t="n">
        <v>0</v>
      </c>
      <c r="DQ56" s="15" t="n">
        <v>0</v>
      </c>
      <c r="DR56" s="15" t="n">
        <v>100</v>
      </c>
      <c r="DS56" s="15" t="s">
        <v>224</v>
      </c>
      <c r="DT56" s="15" t="n">
        <v>8.875</v>
      </c>
      <c r="DU56" s="15" t="n">
        <v>0</v>
      </c>
      <c r="DV56" s="15" t="n">
        <v>0</v>
      </c>
      <c r="DW56" s="15" t="n">
        <v>0</v>
      </c>
      <c r="DX56" s="15" t="s">
        <v>225</v>
      </c>
      <c r="EH56" s="10" t="s">
        <v>289</v>
      </c>
      <c r="EI56" s="15" t="n">
        <v>66545</v>
      </c>
      <c r="EJ56" s="10" t="s">
        <v>297</v>
      </c>
      <c r="EK56" s="10" t="s">
        <v>473</v>
      </c>
      <c r="EL56" s="10" t="s">
        <v>168</v>
      </c>
      <c r="EM56" s="10" t="s">
        <v>474</v>
      </c>
    </row>
    <row collapsed="false" customFormat="true" customHeight="false" hidden="false" ht="14" outlineLevel="0" r="57" s="15">
      <c r="A57" s="15" t="s">
        <v>263</v>
      </c>
      <c r="B57" s="10" t="s">
        <v>476</v>
      </c>
      <c r="C57" s="10" t="s">
        <v>477</v>
      </c>
      <c r="H57" s="10" t="s">
        <v>478</v>
      </c>
      <c r="I57" s="10" t="s">
        <v>168</v>
      </c>
      <c r="J57" s="10" t="s">
        <v>479</v>
      </c>
      <c r="K57" s="11" t="s">
        <v>480</v>
      </c>
      <c r="L57" s="11"/>
      <c r="M57" s="15" t="n">
        <v>1</v>
      </c>
      <c r="N57" s="15" t="s">
        <v>244</v>
      </c>
      <c r="O57" s="12" t="n">
        <v>584790</v>
      </c>
      <c r="P57" s="12" t="n">
        <v>584790</v>
      </c>
      <c r="Q57" s="15" t="n">
        <v>2923.95</v>
      </c>
      <c r="R57" s="15" t="n">
        <v>3.5</v>
      </c>
      <c r="S57" s="13" t="n">
        <v>40898</v>
      </c>
      <c r="T57" s="13" t="n">
        <v>40898</v>
      </c>
      <c r="U57" s="18" t="n">
        <v>40940</v>
      </c>
      <c r="V57" s="18" t="n">
        <v>51898</v>
      </c>
      <c r="W57" s="19" t="n">
        <v>0</v>
      </c>
      <c r="X57" s="3" t="n">
        <v>515797</v>
      </c>
      <c r="Y57" s="19"/>
      <c r="Z57" s="15" t="n">
        <v>1</v>
      </c>
      <c r="AB57" s="15" t="s">
        <v>404</v>
      </c>
      <c r="AD57" s="10" t="s">
        <v>478</v>
      </c>
      <c r="AE57" s="10" t="s">
        <v>168</v>
      </c>
      <c r="AF57" s="10" t="s">
        <v>479</v>
      </c>
      <c r="AG57" s="11"/>
      <c r="AH57" s="11"/>
      <c r="AQ57" s="11"/>
      <c r="AT57" s="15" t="s">
        <v>195</v>
      </c>
      <c r="AU57" s="11" t="n">
        <v>12333333</v>
      </c>
      <c r="AV57" s="15" t="n">
        <v>100</v>
      </c>
      <c r="AW57" s="18" t="n">
        <v>40899</v>
      </c>
      <c r="AX57" s="18" t="n">
        <v>40929</v>
      </c>
      <c r="AZ57" s="15" t="s">
        <v>154</v>
      </c>
      <c r="BA57" s="1" t="n">
        <v>1</v>
      </c>
      <c r="BB57" s="15" t="n">
        <v>50.722</v>
      </c>
      <c r="BC57" s="15" t="n">
        <v>50.722</v>
      </c>
      <c r="BD57" s="15" t="n">
        <v>0</v>
      </c>
      <c r="BE57" s="15" t="n">
        <v>757</v>
      </c>
      <c r="BF57" s="15" t="n">
        <v>360</v>
      </c>
      <c r="BG57" s="15" t="n">
        <v>360</v>
      </c>
      <c r="BH57" s="15" t="s">
        <v>238</v>
      </c>
      <c r="BI57" s="15" t="n">
        <v>1</v>
      </c>
      <c r="BJ57" s="20" t="n">
        <f aca="false">+O57</f>
        <v>584790</v>
      </c>
      <c r="BK57" s="9" t="s">
        <v>447</v>
      </c>
      <c r="BL57" s="15" t="s">
        <v>157</v>
      </c>
      <c r="BM57" s="15" t="n">
        <v>1</v>
      </c>
      <c r="BN57" s="15" t="n">
        <v>48.18622</v>
      </c>
      <c r="BO57" s="15" t="n">
        <v>1</v>
      </c>
      <c r="BP57" s="15" t="n">
        <v>0</v>
      </c>
      <c r="BY57" s="20" t="n">
        <f aca="false">+O57</f>
        <v>584790</v>
      </c>
      <c r="BZ57" s="15" t="n">
        <v>0</v>
      </c>
      <c r="CA57" s="15" t="n">
        <v>0</v>
      </c>
      <c r="CC57" s="15" t="n">
        <v>0</v>
      </c>
      <c r="CD57" s="15" t="n">
        <v>0</v>
      </c>
      <c r="CE57" s="18" t="n">
        <v>40909</v>
      </c>
      <c r="CF57" s="15" t="n">
        <v>1</v>
      </c>
      <c r="CG57" s="15" t="n">
        <v>0</v>
      </c>
      <c r="CH57" s="15" t="n">
        <v>0</v>
      </c>
      <c r="CI57" s="15" t="n">
        <v>0</v>
      </c>
      <c r="CJ57" s="15" t="n">
        <v>0</v>
      </c>
      <c r="CK57" s="15" t="n">
        <v>1</v>
      </c>
      <c r="CL57" s="15" t="n">
        <v>1</v>
      </c>
      <c r="CM57" s="15" t="s">
        <v>176</v>
      </c>
      <c r="CO57" s="15" t="n">
        <v>45</v>
      </c>
      <c r="CQ57" s="15" t="s">
        <v>159</v>
      </c>
      <c r="CS57" s="15" t="n">
        <v>0</v>
      </c>
      <c r="CT57" s="15" t="n">
        <v>0</v>
      </c>
      <c r="CU57" s="15" t="n">
        <v>0</v>
      </c>
      <c r="DA57" s="15" t="s">
        <v>160</v>
      </c>
      <c r="DB57" s="15" t="n">
        <v>1000100100</v>
      </c>
      <c r="DC57" s="15" t="n">
        <v>0</v>
      </c>
      <c r="DE57" s="15" t="n">
        <v>4</v>
      </c>
      <c r="DF57" s="15" t="n">
        <v>0</v>
      </c>
      <c r="DG57" s="15" t="n">
        <v>196.04</v>
      </c>
      <c r="DH57" s="11" t="s">
        <v>161</v>
      </c>
      <c r="DJ57" s="15" t="n">
        <v>0</v>
      </c>
      <c r="DL57" s="15" t="n">
        <f aca="false">+R57</f>
        <v>3.5</v>
      </c>
      <c r="DQ57" s="15" t="n">
        <v>0</v>
      </c>
      <c r="DR57" s="15" t="n">
        <v>100</v>
      </c>
      <c r="DS57" s="15" t="s">
        <v>224</v>
      </c>
      <c r="DU57" s="15" t="n">
        <v>0</v>
      </c>
      <c r="DV57" s="15" t="n">
        <v>0</v>
      </c>
      <c r="DW57" s="15" t="n">
        <v>0</v>
      </c>
      <c r="DX57" s="15" t="s">
        <v>225</v>
      </c>
      <c r="EH57" s="10" t="s">
        <v>296</v>
      </c>
      <c r="EI57" s="15" t="n">
        <v>7516</v>
      </c>
      <c r="EJ57" s="10" t="s">
        <v>179</v>
      </c>
      <c r="EK57" s="10" t="s">
        <v>478</v>
      </c>
      <c r="EL57" s="10" t="s">
        <v>168</v>
      </c>
      <c r="EM57" s="10" t="s">
        <v>479</v>
      </c>
    </row>
    <row collapsed="false" customFormat="true" customHeight="false" hidden="false" ht="14.9" outlineLevel="0" r="58" s="15">
      <c r="A58" s="15" t="s">
        <v>263</v>
      </c>
      <c r="B58" s="10" t="s">
        <v>481</v>
      </c>
      <c r="C58" s="10" t="s">
        <v>482</v>
      </c>
      <c r="H58" s="10" t="s">
        <v>483</v>
      </c>
      <c r="I58" s="10" t="s">
        <v>200</v>
      </c>
      <c r="J58" s="10" t="s">
        <v>484</v>
      </c>
      <c r="K58" s="11" t="s">
        <v>485</v>
      </c>
      <c r="L58" s="11"/>
      <c r="M58" s="15" t="n">
        <v>0</v>
      </c>
      <c r="N58" s="15" t="s">
        <v>194</v>
      </c>
      <c r="O58" s="12" t="n">
        <v>294000</v>
      </c>
      <c r="P58" s="12" t="n">
        <v>294000</v>
      </c>
      <c r="Q58" s="15" t="n">
        <v>1470</v>
      </c>
      <c r="R58" s="15" t="n">
        <v>4</v>
      </c>
      <c r="S58" s="13" t="n">
        <v>40898</v>
      </c>
      <c r="T58" s="13" t="n">
        <v>40898</v>
      </c>
      <c r="U58" s="18" t="n">
        <v>40940</v>
      </c>
      <c r="V58" s="18" t="n">
        <v>50072</v>
      </c>
      <c r="W58" s="19" t="n">
        <v>0</v>
      </c>
      <c r="X58" s="3" t="n">
        <v>144093</v>
      </c>
      <c r="Y58" s="19"/>
      <c r="Z58" s="15" t="n">
        <v>1</v>
      </c>
      <c r="AB58" s="15" t="s">
        <v>404</v>
      </c>
      <c r="AD58" s="10" t="s">
        <v>483</v>
      </c>
      <c r="AE58" s="10" t="s">
        <v>200</v>
      </c>
      <c r="AF58" s="10" t="s">
        <v>484</v>
      </c>
      <c r="AG58" s="11"/>
      <c r="AH58" s="11"/>
      <c r="AQ58" s="11"/>
      <c r="AT58" s="15" t="s">
        <v>195</v>
      </c>
      <c r="AU58" s="11" t="n">
        <v>12333333</v>
      </c>
      <c r="AV58" s="15" t="n">
        <v>100</v>
      </c>
      <c r="AW58" s="18" t="n">
        <v>40899</v>
      </c>
      <c r="AX58" s="18" t="n">
        <v>40929</v>
      </c>
      <c r="AZ58" s="15" t="s">
        <v>154</v>
      </c>
      <c r="BA58" s="1" t="n">
        <v>1</v>
      </c>
      <c r="BB58" s="15" t="n">
        <v>80</v>
      </c>
      <c r="BC58" s="15" t="n">
        <v>80</v>
      </c>
      <c r="BD58" s="15" t="n">
        <v>0</v>
      </c>
      <c r="BE58" s="15" t="n">
        <v>708</v>
      </c>
      <c r="BF58" s="15" t="n">
        <v>300</v>
      </c>
      <c r="BG58" s="15" t="n">
        <v>300</v>
      </c>
      <c r="BH58" s="15" t="s">
        <v>238</v>
      </c>
      <c r="BI58" s="15" t="n">
        <v>1</v>
      </c>
      <c r="BJ58" s="20" t="n">
        <f aca="false">+O58</f>
        <v>294000</v>
      </c>
      <c r="BK58" s="9" t="s">
        <v>447</v>
      </c>
      <c r="BL58" s="15" t="s">
        <v>174</v>
      </c>
      <c r="BM58" s="15" t="n">
        <v>1</v>
      </c>
      <c r="BN58" s="15" t="n">
        <v>46.50168</v>
      </c>
      <c r="BO58" s="15" t="n">
        <v>1</v>
      </c>
      <c r="BP58" s="15" t="n">
        <v>0</v>
      </c>
      <c r="BY58" s="20" t="n">
        <f aca="false">+O58</f>
        <v>294000</v>
      </c>
      <c r="BZ58" s="15" t="n">
        <v>0</v>
      </c>
      <c r="CA58" s="15" t="n">
        <v>0</v>
      </c>
      <c r="CC58" s="15" t="n">
        <v>0</v>
      </c>
      <c r="CD58" s="15" t="n">
        <v>0</v>
      </c>
      <c r="CE58" s="18" t="n">
        <v>40909</v>
      </c>
      <c r="CF58" s="15" t="n">
        <v>1</v>
      </c>
      <c r="CG58" s="15" t="n">
        <v>0</v>
      </c>
      <c r="CH58" s="15" t="n">
        <v>0</v>
      </c>
      <c r="CI58" s="15" t="n">
        <v>0</v>
      </c>
      <c r="CJ58" s="15" t="n">
        <v>0</v>
      </c>
      <c r="CK58" s="15" t="n">
        <v>1</v>
      </c>
      <c r="CL58" s="15" t="n">
        <v>1</v>
      </c>
      <c r="CM58" s="15" t="s">
        <v>176</v>
      </c>
      <c r="CO58" s="15" t="n">
        <v>46</v>
      </c>
      <c r="CQ58" s="15" t="s">
        <v>159</v>
      </c>
      <c r="CS58" s="15" t="n">
        <v>0</v>
      </c>
      <c r="CT58" s="15" t="n">
        <v>0</v>
      </c>
      <c r="CU58" s="15" t="n">
        <v>0</v>
      </c>
      <c r="DA58" s="15" t="s">
        <v>160</v>
      </c>
      <c r="DB58" s="15" t="n">
        <v>1000100100</v>
      </c>
      <c r="DC58" s="15" t="n">
        <v>0</v>
      </c>
      <c r="DE58" s="15" t="n">
        <v>4</v>
      </c>
      <c r="DF58" s="15" t="n">
        <v>87</v>
      </c>
      <c r="DG58" s="15" t="n">
        <v>148993.24</v>
      </c>
      <c r="DH58" s="11" t="s">
        <v>161</v>
      </c>
      <c r="DJ58" s="15" t="n">
        <v>0</v>
      </c>
      <c r="DL58" s="15" t="n">
        <f aca="false">+R58</f>
        <v>4</v>
      </c>
      <c r="DQ58" s="15" t="n">
        <v>0</v>
      </c>
      <c r="DR58" s="15" t="n">
        <v>100</v>
      </c>
      <c r="DU58" s="15" t="n">
        <v>0</v>
      </c>
      <c r="DV58" s="15" t="n">
        <v>0</v>
      </c>
      <c r="DW58" s="15" t="n">
        <v>0</v>
      </c>
      <c r="DX58" s="15" t="s">
        <v>162</v>
      </c>
      <c r="EH58" s="10" t="s">
        <v>296</v>
      </c>
      <c r="EI58" s="15" t="n">
        <v>7516</v>
      </c>
      <c r="EJ58" s="10" t="s">
        <v>273</v>
      </c>
      <c r="EK58" s="10" t="s">
        <v>483</v>
      </c>
      <c r="EL58" s="10" t="s">
        <v>200</v>
      </c>
      <c r="EM58" s="10" t="s">
        <v>484</v>
      </c>
    </row>
    <row collapsed="false" customFormat="true" customHeight="false" hidden="false" ht="14.9" outlineLevel="0" r="59" s="15">
      <c r="A59" s="15" t="s">
        <v>263</v>
      </c>
      <c r="B59" s="10" t="s">
        <v>486</v>
      </c>
      <c r="C59" s="10" t="s">
        <v>487</v>
      </c>
      <c r="H59" s="10" t="s">
        <v>488</v>
      </c>
      <c r="I59" s="10" t="s">
        <v>168</v>
      </c>
      <c r="J59" s="10" t="s">
        <v>489</v>
      </c>
      <c r="K59" s="11" t="s">
        <v>490</v>
      </c>
      <c r="L59" s="11"/>
      <c r="M59" s="15" t="n">
        <v>1</v>
      </c>
      <c r="N59" s="15" t="s">
        <v>204</v>
      </c>
      <c r="O59" s="12" t="n">
        <v>100000</v>
      </c>
      <c r="P59" s="12" t="n">
        <v>100000</v>
      </c>
      <c r="Q59" s="15" t="n">
        <v>500</v>
      </c>
      <c r="R59" s="15" t="n">
        <v>4</v>
      </c>
      <c r="S59" s="13" t="n">
        <v>40898</v>
      </c>
      <c r="T59" s="13" t="n">
        <v>40898</v>
      </c>
      <c r="U59" s="18" t="n">
        <v>40940</v>
      </c>
      <c r="V59" s="18" t="n">
        <v>51898</v>
      </c>
      <c r="W59" s="19" t="n">
        <v>0</v>
      </c>
      <c r="X59" s="3" t="n">
        <v>83040</v>
      </c>
      <c r="Y59" s="19"/>
      <c r="Z59" s="15" t="n">
        <v>1</v>
      </c>
      <c r="AB59" s="15" t="s">
        <v>404</v>
      </c>
      <c r="AD59" s="10" t="s">
        <v>488</v>
      </c>
      <c r="AE59" s="10" t="s">
        <v>168</v>
      </c>
      <c r="AF59" s="10" t="s">
        <v>489</v>
      </c>
      <c r="AG59" s="11"/>
      <c r="AH59" s="11"/>
      <c r="AQ59" s="11"/>
      <c r="AT59" s="15" t="s">
        <v>195</v>
      </c>
      <c r="AU59" s="11" t="n">
        <v>12333333</v>
      </c>
      <c r="AV59" s="15" t="n">
        <v>100</v>
      </c>
      <c r="AW59" s="18" t="n">
        <v>40899</v>
      </c>
      <c r="AX59" s="18" t="n">
        <v>40929</v>
      </c>
      <c r="AZ59" s="15" t="s">
        <v>154</v>
      </c>
      <c r="BA59" s="1" t="n">
        <v>1</v>
      </c>
      <c r="BB59" s="15" t="n">
        <v>35.831</v>
      </c>
      <c r="BC59" s="15" t="n">
        <v>35.831</v>
      </c>
      <c r="BD59" s="15" t="n">
        <v>0</v>
      </c>
      <c r="BE59" s="15" t="n">
        <v>741</v>
      </c>
      <c r="BF59" s="15" t="n">
        <v>360</v>
      </c>
      <c r="BG59" s="15" t="n">
        <v>360</v>
      </c>
      <c r="BH59" s="15" t="s">
        <v>155</v>
      </c>
      <c r="BI59" s="15" t="n">
        <v>1</v>
      </c>
      <c r="BJ59" s="20" t="n">
        <f aca="false">+O59</f>
        <v>100000</v>
      </c>
      <c r="BK59" s="9" t="s">
        <v>447</v>
      </c>
      <c r="BL59" s="15" t="s">
        <v>157</v>
      </c>
      <c r="BM59" s="15" t="n">
        <v>1</v>
      </c>
      <c r="BN59" s="15" t="n">
        <v>26.098349</v>
      </c>
      <c r="BO59" s="15" t="n">
        <v>1</v>
      </c>
      <c r="BP59" s="15" t="n">
        <v>0</v>
      </c>
      <c r="BY59" s="20" t="n">
        <f aca="false">+O59</f>
        <v>100000</v>
      </c>
      <c r="BZ59" s="15" t="n">
        <v>0</v>
      </c>
      <c r="CA59" s="15" t="n">
        <v>0</v>
      </c>
      <c r="CC59" s="15" t="n">
        <v>0</v>
      </c>
      <c r="CD59" s="15" t="n">
        <v>0</v>
      </c>
      <c r="CE59" s="18" t="n">
        <v>40909</v>
      </c>
      <c r="CF59" s="15" t="n">
        <v>1</v>
      </c>
      <c r="CG59" s="15" t="n">
        <v>0</v>
      </c>
      <c r="CH59" s="15" t="n">
        <v>0</v>
      </c>
      <c r="CI59" s="15" t="n">
        <v>0</v>
      </c>
      <c r="CJ59" s="15" t="n">
        <v>0</v>
      </c>
      <c r="CK59" s="15" t="n">
        <v>1</v>
      </c>
      <c r="CL59" s="15" t="n">
        <v>1</v>
      </c>
      <c r="CM59" s="9" t="s">
        <v>245</v>
      </c>
      <c r="CO59" s="15" t="n">
        <v>64</v>
      </c>
      <c r="CQ59" s="15" t="s">
        <v>159</v>
      </c>
      <c r="CS59" s="15" t="n">
        <v>0</v>
      </c>
      <c r="CT59" s="15" t="n">
        <v>0</v>
      </c>
      <c r="CU59" s="15" t="n">
        <v>0</v>
      </c>
      <c r="DA59" s="15" t="s">
        <v>160</v>
      </c>
      <c r="DB59" s="15" t="n">
        <v>1000100100</v>
      </c>
      <c r="DC59" s="15" t="n">
        <v>0</v>
      </c>
      <c r="DE59" s="15" t="n">
        <v>8</v>
      </c>
      <c r="DF59" s="15" t="n">
        <v>0</v>
      </c>
      <c r="DG59" s="15" t="n">
        <v>209.47</v>
      </c>
      <c r="DH59" s="11" t="s">
        <v>161</v>
      </c>
      <c r="DJ59" s="15" t="n">
        <v>0</v>
      </c>
      <c r="DL59" s="15" t="n">
        <f aca="false">+R59</f>
        <v>4</v>
      </c>
      <c r="DQ59" s="15" t="n">
        <v>0</v>
      </c>
      <c r="DR59" s="15" t="n">
        <v>100</v>
      </c>
      <c r="DU59" s="15" t="n">
        <v>0</v>
      </c>
      <c r="DV59" s="15" t="n">
        <v>0</v>
      </c>
      <c r="DW59" s="15" t="n">
        <v>0</v>
      </c>
      <c r="DX59" s="15" t="s">
        <v>162</v>
      </c>
      <c r="EH59" s="10" t="s">
        <v>196</v>
      </c>
      <c r="EI59" s="15" t="n">
        <v>32158</v>
      </c>
      <c r="EJ59" s="10" t="s">
        <v>313</v>
      </c>
      <c r="EK59" s="10" t="s">
        <v>488</v>
      </c>
      <c r="EL59" s="10" t="s">
        <v>168</v>
      </c>
      <c r="EM59" s="10" t="s">
        <v>489</v>
      </c>
    </row>
    <row collapsed="false" customFormat="true" customHeight="false" hidden="false" ht="14.9" outlineLevel="0" r="60" s="15">
      <c r="A60" s="15" t="s">
        <v>263</v>
      </c>
      <c r="B60" s="10" t="s">
        <v>491</v>
      </c>
      <c r="C60" s="10" t="s">
        <v>492</v>
      </c>
      <c r="H60" s="10" t="s">
        <v>493</v>
      </c>
      <c r="I60" s="10" t="s">
        <v>168</v>
      </c>
      <c r="J60" s="10" t="s">
        <v>494</v>
      </c>
      <c r="K60" s="11" t="s">
        <v>495</v>
      </c>
      <c r="L60" s="11"/>
      <c r="M60" s="15" t="n">
        <v>1</v>
      </c>
      <c r="N60" s="15" t="s">
        <v>211</v>
      </c>
      <c r="O60" s="12" t="n">
        <v>312000</v>
      </c>
      <c r="P60" s="12" t="n">
        <v>312000</v>
      </c>
      <c r="Q60" s="15" t="n">
        <v>1560</v>
      </c>
      <c r="R60" s="15" t="n">
        <v>3.875</v>
      </c>
      <c r="S60" s="13" t="n">
        <v>40898</v>
      </c>
      <c r="T60" s="13" t="n">
        <v>40898</v>
      </c>
      <c r="U60" s="18" t="n">
        <v>40940</v>
      </c>
      <c r="V60" s="18" t="n">
        <v>51898</v>
      </c>
      <c r="W60" s="19" t="n">
        <v>1</v>
      </c>
      <c r="X60" s="3" t="n">
        <v>146180</v>
      </c>
      <c r="Y60" s="19"/>
      <c r="Z60" s="15" t="n">
        <v>1</v>
      </c>
      <c r="AB60" s="15" t="s">
        <v>404</v>
      </c>
      <c r="AD60" s="10" t="s">
        <v>493</v>
      </c>
      <c r="AE60" s="10" t="s">
        <v>168</v>
      </c>
      <c r="AF60" s="10" t="s">
        <v>494</v>
      </c>
      <c r="AG60" s="11"/>
      <c r="AH60" s="11"/>
      <c r="AQ60" s="11"/>
      <c r="AT60" s="15" t="s">
        <v>195</v>
      </c>
      <c r="AU60" s="11" t="n">
        <v>12333333</v>
      </c>
      <c r="AV60" s="15" t="n">
        <v>100</v>
      </c>
      <c r="AW60" s="18" t="n">
        <v>40899</v>
      </c>
      <c r="AX60" s="18" t="n">
        <v>40929</v>
      </c>
      <c r="AZ60" s="15" t="s">
        <v>154</v>
      </c>
      <c r="BA60" s="1" t="n">
        <v>1</v>
      </c>
      <c r="BB60" s="15" t="n">
        <v>45.833</v>
      </c>
      <c r="BC60" s="15" t="n">
        <v>45.833</v>
      </c>
      <c r="BD60" s="15" t="n">
        <v>0</v>
      </c>
      <c r="BE60" s="15" t="n">
        <v>758</v>
      </c>
      <c r="BF60" s="15" t="n">
        <v>360</v>
      </c>
      <c r="BG60" s="15" t="n">
        <v>360</v>
      </c>
      <c r="BH60" s="15" t="s">
        <v>173</v>
      </c>
      <c r="BI60" s="15" t="n">
        <v>1</v>
      </c>
      <c r="BJ60" s="20" t="n">
        <f aca="false">+O60</f>
        <v>312000</v>
      </c>
      <c r="BK60" s="9" t="s">
        <v>447</v>
      </c>
      <c r="BL60" s="15" t="s">
        <v>157</v>
      </c>
      <c r="BM60" s="15" t="n">
        <v>1</v>
      </c>
      <c r="BN60" s="15" t="n">
        <v>33.272985</v>
      </c>
      <c r="BO60" s="15" t="n">
        <v>1</v>
      </c>
      <c r="BP60" s="15" t="n">
        <v>2</v>
      </c>
      <c r="BQ60" s="15" t="s">
        <v>325</v>
      </c>
      <c r="BR60" s="15" t="n">
        <v>4</v>
      </c>
      <c r="BS60" s="18" t="n">
        <v>42248</v>
      </c>
      <c r="BT60" s="15" t="n">
        <v>2</v>
      </c>
      <c r="BU60" s="15" t="n">
        <v>12</v>
      </c>
      <c r="BV60" s="15" t="n">
        <v>2</v>
      </c>
      <c r="BW60" s="15" t="n">
        <v>5</v>
      </c>
      <c r="BX60" s="15" t="n">
        <v>2.25</v>
      </c>
      <c r="BY60" s="20" t="n">
        <f aca="false">+O60</f>
        <v>312000</v>
      </c>
      <c r="BZ60" s="15" t="n">
        <v>0</v>
      </c>
      <c r="CA60" s="15" t="n">
        <v>0</v>
      </c>
      <c r="CC60" s="15" t="n">
        <v>0</v>
      </c>
      <c r="CD60" s="15" t="n">
        <v>0</v>
      </c>
      <c r="CE60" s="18" t="n">
        <v>40909</v>
      </c>
      <c r="CF60" s="15" t="n">
        <v>1</v>
      </c>
      <c r="CG60" s="15" t="n">
        <v>0</v>
      </c>
      <c r="CH60" s="15" t="n">
        <v>0</v>
      </c>
      <c r="CI60" s="15" t="n">
        <v>0</v>
      </c>
      <c r="CJ60" s="15" t="n">
        <v>0</v>
      </c>
      <c r="CK60" s="15" t="n">
        <v>1</v>
      </c>
      <c r="CL60" s="15" t="n">
        <v>1</v>
      </c>
      <c r="CM60" s="15" t="s">
        <v>176</v>
      </c>
      <c r="CO60" s="15" t="n">
        <v>33</v>
      </c>
      <c r="CQ60" s="15" t="s">
        <v>159</v>
      </c>
      <c r="CS60" s="15" t="n">
        <v>0</v>
      </c>
      <c r="CT60" s="15" t="n">
        <v>0</v>
      </c>
      <c r="CU60" s="15" t="n">
        <v>0</v>
      </c>
      <c r="DA60" s="15" t="s">
        <v>160</v>
      </c>
      <c r="DB60" s="15" t="n">
        <v>1000100100</v>
      </c>
      <c r="DC60" s="15" t="n">
        <v>0</v>
      </c>
      <c r="DD60" s="15" t="n">
        <v>30</v>
      </c>
      <c r="DE60" s="15" t="n">
        <v>12</v>
      </c>
      <c r="DF60" s="15" t="n">
        <v>0</v>
      </c>
      <c r="DG60" s="15" t="n">
        <v>301.07</v>
      </c>
      <c r="DH60" s="11" t="s">
        <v>161</v>
      </c>
      <c r="DJ60" s="15" t="n">
        <v>0</v>
      </c>
      <c r="DL60" s="15" t="n">
        <f aca="false">+R60</f>
        <v>3.875</v>
      </c>
      <c r="DM60" s="15" t="n">
        <v>1</v>
      </c>
      <c r="DN60" s="15" t="n">
        <v>0</v>
      </c>
      <c r="DO60" s="15" t="n">
        <v>0</v>
      </c>
      <c r="DP60" s="15" t="n">
        <v>0</v>
      </c>
      <c r="DQ60" s="15" t="n">
        <v>0</v>
      </c>
      <c r="DR60" s="15" t="n">
        <v>100</v>
      </c>
      <c r="DT60" s="15" t="n">
        <v>8.875</v>
      </c>
      <c r="DU60" s="15" t="n">
        <v>0</v>
      </c>
      <c r="DV60" s="15" t="n">
        <v>0</v>
      </c>
      <c r="DW60" s="15" t="n">
        <v>0</v>
      </c>
      <c r="DX60" s="15" t="s">
        <v>162</v>
      </c>
      <c r="EH60" s="10" t="s">
        <v>273</v>
      </c>
      <c r="EI60" s="15" t="n">
        <v>65431</v>
      </c>
      <c r="EJ60" s="10" t="s">
        <v>290</v>
      </c>
      <c r="EK60" s="10" t="s">
        <v>493</v>
      </c>
      <c r="EL60" s="10" t="s">
        <v>168</v>
      </c>
      <c r="EM60" s="10" t="s">
        <v>494</v>
      </c>
    </row>
    <row collapsed="false" customFormat="true" customHeight="false" hidden="false" ht="14" outlineLevel="0" r="61" s="15">
      <c r="A61" s="15" t="s">
        <v>263</v>
      </c>
      <c r="B61" s="10" t="s">
        <v>496</v>
      </c>
      <c r="C61" s="10" t="s">
        <v>497</v>
      </c>
      <c r="H61" s="10" t="s">
        <v>498</v>
      </c>
      <c r="I61" s="10" t="s">
        <v>499</v>
      </c>
      <c r="J61" s="10" t="s">
        <v>500</v>
      </c>
      <c r="K61" s="11" t="s">
        <v>501</v>
      </c>
      <c r="L61" s="11"/>
      <c r="M61" s="15" t="n">
        <v>1</v>
      </c>
      <c r="N61" s="15" t="s">
        <v>150</v>
      </c>
      <c r="O61" s="12" t="n">
        <v>217000</v>
      </c>
      <c r="P61" s="12" t="n">
        <v>217000</v>
      </c>
      <c r="Q61" s="15" t="n">
        <v>1085</v>
      </c>
      <c r="R61" s="15" t="n">
        <v>4.875</v>
      </c>
      <c r="S61" s="13" t="n">
        <v>40898</v>
      </c>
      <c r="T61" s="13" t="n">
        <v>40898</v>
      </c>
      <c r="U61" s="18" t="n">
        <v>40940</v>
      </c>
      <c r="V61" s="18" t="n">
        <v>44593</v>
      </c>
      <c r="W61" s="19" t="n">
        <v>0</v>
      </c>
      <c r="X61" s="3" t="n">
        <v>63315</v>
      </c>
      <c r="Y61" s="19"/>
      <c r="Z61" s="15" t="n">
        <v>1</v>
      </c>
      <c r="AB61" s="15" t="s">
        <v>404</v>
      </c>
      <c r="AD61" s="10" t="s">
        <v>498</v>
      </c>
      <c r="AE61" s="10" t="s">
        <v>499</v>
      </c>
      <c r="AF61" s="10" t="s">
        <v>500</v>
      </c>
      <c r="AG61" s="11"/>
      <c r="AH61" s="11"/>
      <c r="AQ61" s="11"/>
      <c r="AT61" s="15" t="s">
        <v>195</v>
      </c>
      <c r="AU61" s="11" t="n">
        <v>12333333</v>
      </c>
      <c r="AV61" s="15" t="n">
        <v>100</v>
      </c>
      <c r="AW61" s="18" t="n">
        <v>40899</v>
      </c>
      <c r="AX61" s="18" t="n">
        <v>40929</v>
      </c>
      <c r="AZ61" s="15" t="s">
        <v>154</v>
      </c>
      <c r="BA61" s="1" t="n">
        <v>1</v>
      </c>
      <c r="BB61" s="15" t="n">
        <v>89.209</v>
      </c>
      <c r="BC61" s="15" t="n">
        <v>89.209</v>
      </c>
      <c r="BD61" s="15" t="n">
        <v>0</v>
      </c>
      <c r="BE61" s="15" t="n">
        <v>719</v>
      </c>
      <c r="BF61" s="15" t="n">
        <v>120</v>
      </c>
      <c r="BG61" s="15" t="n">
        <v>120</v>
      </c>
      <c r="BH61" s="15" t="s">
        <v>238</v>
      </c>
      <c r="BI61" s="15" t="n">
        <v>1</v>
      </c>
      <c r="BJ61" s="20" t="n">
        <f aca="false">+O61</f>
        <v>217000</v>
      </c>
      <c r="BK61" s="9" t="s">
        <v>447</v>
      </c>
      <c r="BL61" s="15" t="s">
        <v>157</v>
      </c>
      <c r="BM61" s="15" t="n">
        <v>3</v>
      </c>
      <c r="BN61" s="15" t="n">
        <v>56.782254</v>
      </c>
      <c r="BO61" s="15" t="n">
        <v>1</v>
      </c>
      <c r="BP61" s="15" t="n">
        <v>0</v>
      </c>
      <c r="BY61" s="20" t="n">
        <f aca="false">+O61</f>
        <v>217000</v>
      </c>
      <c r="BZ61" s="15" t="n">
        <v>0</v>
      </c>
      <c r="CA61" s="15" t="n">
        <v>0</v>
      </c>
      <c r="CC61" s="15" t="n">
        <v>0</v>
      </c>
      <c r="CD61" s="15" t="n">
        <v>0</v>
      </c>
      <c r="CE61" s="18" t="n">
        <v>40909</v>
      </c>
      <c r="CF61" s="15" t="n">
        <v>1</v>
      </c>
      <c r="CG61" s="15" t="n">
        <v>0</v>
      </c>
      <c r="CH61" s="15" t="n">
        <v>0</v>
      </c>
      <c r="CI61" s="15" t="n">
        <v>0</v>
      </c>
      <c r="CJ61" s="15" t="n">
        <v>0</v>
      </c>
      <c r="CK61" s="15" t="n">
        <v>1</v>
      </c>
      <c r="CL61" s="15" t="n">
        <v>1</v>
      </c>
      <c r="CM61" s="15" t="s">
        <v>176</v>
      </c>
      <c r="CO61" s="15" t="n">
        <v>27</v>
      </c>
      <c r="CQ61" s="15" t="s">
        <v>159</v>
      </c>
      <c r="CS61" s="15" t="n">
        <v>0</v>
      </c>
      <c r="CT61" s="15" t="n">
        <v>0</v>
      </c>
      <c r="CU61" s="15" t="n">
        <v>0</v>
      </c>
      <c r="DA61" s="15" t="s">
        <v>160</v>
      </c>
      <c r="DB61" s="15" t="n">
        <v>1000100100</v>
      </c>
      <c r="DC61" s="15" t="n">
        <v>0</v>
      </c>
      <c r="DE61" s="15" t="n">
        <v>4</v>
      </c>
      <c r="DF61" s="15" t="n">
        <v>0</v>
      </c>
      <c r="DG61" s="15" t="n">
        <v>371.31</v>
      </c>
      <c r="DH61" s="11" t="s">
        <v>161</v>
      </c>
      <c r="DJ61" s="15" t="n">
        <v>0</v>
      </c>
      <c r="DL61" s="15" t="n">
        <f aca="false">+R61</f>
        <v>4.875</v>
      </c>
      <c r="DQ61" s="15" t="n">
        <v>0</v>
      </c>
      <c r="DR61" s="15" t="n">
        <v>100</v>
      </c>
      <c r="DU61" s="15" t="n">
        <v>0</v>
      </c>
      <c r="DV61" s="15" t="n">
        <v>0</v>
      </c>
      <c r="DW61" s="15" t="n">
        <v>0</v>
      </c>
      <c r="DX61" s="15" t="s">
        <v>162</v>
      </c>
      <c r="EH61" s="10" t="s">
        <v>281</v>
      </c>
      <c r="EI61" s="15" t="n">
        <v>554646</v>
      </c>
      <c r="EJ61" s="10" t="s">
        <v>297</v>
      </c>
      <c r="EK61" s="10" t="s">
        <v>498</v>
      </c>
      <c r="EL61" s="10" t="s">
        <v>499</v>
      </c>
      <c r="EM61" s="10" t="s">
        <v>500</v>
      </c>
    </row>
    <row collapsed="false" customFormat="true" customHeight="false" hidden="false" ht="14.9" outlineLevel="0" r="62" s="15">
      <c r="A62" s="15" t="s">
        <v>263</v>
      </c>
      <c r="B62" s="10" t="s">
        <v>502</v>
      </c>
      <c r="C62" s="10" t="s">
        <v>503</v>
      </c>
      <c r="H62" s="10" t="s">
        <v>218</v>
      </c>
      <c r="I62" s="10" t="s">
        <v>168</v>
      </c>
      <c r="J62" s="10" t="s">
        <v>324</v>
      </c>
      <c r="K62" s="11" t="s">
        <v>504</v>
      </c>
      <c r="L62" s="11" t="s">
        <v>334</v>
      </c>
      <c r="M62" s="15" t="n">
        <v>1</v>
      </c>
      <c r="N62" s="15" t="s">
        <v>172</v>
      </c>
      <c r="O62" s="12" t="n">
        <v>135200</v>
      </c>
      <c r="P62" s="12" t="n">
        <v>135200</v>
      </c>
      <c r="Q62" s="15" t="n">
        <v>676</v>
      </c>
      <c r="R62" s="15" t="n">
        <v>4.375</v>
      </c>
      <c r="S62" s="13" t="n">
        <v>40898</v>
      </c>
      <c r="T62" s="13" t="n">
        <v>40898</v>
      </c>
      <c r="U62" s="18" t="n">
        <v>40940</v>
      </c>
      <c r="V62" s="18" t="n">
        <v>46419</v>
      </c>
      <c r="W62" s="19" t="n">
        <v>0</v>
      </c>
      <c r="X62" s="3" t="n">
        <v>29586</v>
      </c>
      <c r="Y62" s="19"/>
      <c r="Z62" s="15" t="n">
        <v>1</v>
      </c>
      <c r="AB62" s="15" t="s">
        <v>404</v>
      </c>
      <c r="AD62" s="10" t="s">
        <v>218</v>
      </c>
      <c r="AE62" s="10" t="s">
        <v>168</v>
      </c>
      <c r="AF62" s="10" t="s">
        <v>324</v>
      </c>
      <c r="AG62" s="11"/>
      <c r="AH62" s="11"/>
      <c r="AQ62" s="11"/>
      <c r="AT62" s="21" t="s">
        <v>364</v>
      </c>
      <c r="AU62" s="11" t="s">
        <v>365</v>
      </c>
      <c r="AV62" s="15" t="n">
        <v>100</v>
      </c>
      <c r="AW62" s="18" t="n">
        <v>40899</v>
      </c>
      <c r="AX62" s="18" t="n">
        <v>40929</v>
      </c>
      <c r="AZ62" s="15" t="s">
        <v>154</v>
      </c>
      <c r="BA62" s="1" t="n">
        <v>1</v>
      </c>
      <c r="BB62" s="15" t="n">
        <v>19.776</v>
      </c>
      <c r="BC62" s="15" t="n">
        <v>19.776</v>
      </c>
      <c r="BD62" s="15" t="n">
        <v>0</v>
      </c>
      <c r="BE62" s="15" t="n">
        <v>590</v>
      </c>
      <c r="BF62" s="9" t="n">
        <f aca="false">15*12</f>
        <v>180</v>
      </c>
      <c r="BG62" s="15" t="n">
        <v>180</v>
      </c>
      <c r="BH62" s="15" t="s">
        <v>238</v>
      </c>
      <c r="BI62" s="15" t="n">
        <v>1</v>
      </c>
      <c r="BJ62" s="20" t="n">
        <f aca="false">+O62</f>
        <v>135200</v>
      </c>
      <c r="BK62" s="9" t="s">
        <v>447</v>
      </c>
      <c r="BL62" s="15" t="s">
        <v>157</v>
      </c>
      <c r="BM62" s="15" t="n">
        <v>1</v>
      </c>
      <c r="BN62" s="15" t="n">
        <v>47.847961</v>
      </c>
      <c r="BO62" s="15" t="n">
        <v>1</v>
      </c>
      <c r="BP62" s="15" t="n">
        <v>0</v>
      </c>
      <c r="BY62" s="20" t="n">
        <f aca="false">+O62</f>
        <v>135200</v>
      </c>
      <c r="BZ62" s="15" t="n">
        <v>0</v>
      </c>
      <c r="CA62" s="15" t="n">
        <v>0</v>
      </c>
      <c r="CC62" s="15" t="n">
        <v>0</v>
      </c>
      <c r="CD62" s="15" t="n">
        <v>0</v>
      </c>
      <c r="CE62" s="18" t="n">
        <v>40909</v>
      </c>
      <c r="CF62" s="15" t="n">
        <v>1</v>
      </c>
      <c r="CG62" s="15" t="n">
        <v>0</v>
      </c>
      <c r="CH62" s="15" t="n">
        <v>0</v>
      </c>
      <c r="CI62" s="15" t="n">
        <v>0</v>
      </c>
      <c r="CJ62" s="15" t="n">
        <v>0</v>
      </c>
      <c r="CK62" s="15" t="n">
        <v>1</v>
      </c>
      <c r="CL62" s="15" t="n">
        <v>1</v>
      </c>
      <c r="CM62" s="15" t="s">
        <v>176</v>
      </c>
      <c r="CO62" s="15" t="n">
        <v>31</v>
      </c>
      <c r="CQ62" s="15" t="s">
        <v>159</v>
      </c>
      <c r="CS62" s="15" t="n">
        <v>0</v>
      </c>
      <c r="CT62" s="15" t="n">
        <v>0</v>
      </c>
      <c r="CU62" s="15" t="n">
        <v>0</v>
      </c>
      <c r="DA62" s="15" t="s">
        <v>160</v>
      </c>
      <c r="DB62" s="15" t="n">
        <v>1000100100</v>
      </c>
      <c r="DC62" s="15" t="n">
        <v>0</v>
      </c>
      <c r="DE62" s="15" t="n">
        <v>8</v>
      </c>
      <c r="DF62" s="15" t="n">
        <v>1</v>
      </c>
      <c r="DG62" s="15" t="n">
        <v>1585.86</v>
      </c>
      <c r="DH62" s="11" t="s">
        <v>161</v>
      </c>
      <c r="DJ62" s="15" t="n">
        <v>0</v>
      </c>
      <c r="DL62" s="15" t="n">
        <f aca="false">+R62</f>
        <v>4.375</v>
      </c>
      <c r="DQ62" s="15" t="n">
        <v>0</v>
      </c>
      <c r="DR62" s="15" t="n">
        <v>100</v>
      </c>
      <c r="DU62" s="15" t="n">
        <v>0</v>
      </c>
      <c r="DV62" s="15" t="n">
        <v>0</v>
      </c>
      <c r="DW62" s="15" t="n">
        <v>0</v>
      </c>
      <c r="DX62" s="15" t="s">
        <v>162</v>
      </c>
      <c r="EH62" s="10" t="s">
        <v>289</v>
      </c>
      <c r="EI62" s="15" t="n">
        <v>66545</v>
      </c>
      <c r="EJ62" s="10" t="s">
        <v>179</v>
      </c>
      <c r="EK62" s="10" t="s">
        <v>218</v>
      </c>
      <c r="EL62" s="10" t="s">
        <v>168</v>
      </c>
      <c r="EM62" s="10" t="s">
        <v>324</v>
      </c>
    </row>
    <row collapsed="false" customFormat="true" customHeight="false" hidden="false" ht="14.9" outlineLevel="0" r="63" s="15">
      <c r="A63" s="15" t="s">
        <v>263</v>
      </c>
      <c r="B63" s="10" t="s">
        <v>505</v>
      </c>
      <c r="C63" s="10" t="s">
        <v>506</v>
      </c>
      <c r="H63" s="10" t="s">
        <v>507</v>
      </c>
      <c r="I63" s="10" t="s">
        <v>200</v>
      </c>
      <c r="J63" s="10" t="s">
        <v>508</v>
      </c>
      <c r="K63" s="11" t="s">
        <v>509</v>
      </c>
      <c r="L63" s="11" t="s">
        <v>339</v>
      </c>
      <c r="M63" s="15" t="n">
        <v>1</v>
      </c>
      <c r="N63" s="15" t="s">
        <v>185</v>
      </c>
      <c r="O63" s="12" t="n">
        <v>206000</v>
      </c>
      <c r="P63" s="12" t="n">
        <v>206000</v>
      </c>
      <c r="Q63" s="15" t="n">
        <v>1030</v>
      </c>
      <c r="R63" s="15" t="n">
        <v>4.25</v>
      </c>
      <c r="S63" s="13" t="n">
        <v>40898</v>
      </c>
      <c r="T63" s="13" t="n">
        <v>40898</v>
      </c>
      <c r="U63" s="18" t="n">
        <v>40940</v>
      </c>
      <c r="V63" s="18" t="n">
        <v>48245</v>
      </c>
      <c r="W63" s="19" t="n">
        <v>0</v>
      </c>
      <c r="X63" s="3" t="n">
        <v>30781</v>
      </c>
      <c r="Y63" s="19"/>
      <c r="Z63" s="15" t="n">
        <v>1</v>
      </c>
      <c r="AB63" s="15" t="s">
        <v>404</v>
      </c>
      <c r="AD63" s="10" t="s">
        <v>507</v>
      </c>
      <c r="AE63" s="10" t="s">
        <v>200</v>
      </c>
      <c r="AF63" s="10" t="s">
        <v>508</v>
      </c>
      <c r="AG63" s="11"/>
      <c r="AH63" s="11"/>
      <c r="AQ63" s="11"/>
      <c r="AT63" s="9" t="s">
        <v>236</v>
      </c>
      <c r="AU63" s="11" t="s">
        <v>237</v>
      </c>
      <c r="AV63" s="15" t="n">
        <v>100</v>
      </c>
      <c r="AW63" s="18" t="n">
        <v>40899</v>
      </c>
      <c r="AX63" s="18" t="n">
        <v>40929</v>
      </c>
      <c r="AZ63" s="15" t="s">
        <v>154</v>
      </c>
      <c r="BA63" s="1" t="n">
        <v>2</v>
      </c>
      <c r="BB63" s="15" t="n">
        <v>50.722</v>
      </c>
      <c r="BC63" s="15" t="n">
        <v>50.722</v>
      </c>
      <c r="BD63" s="15" t="n">
        <v>0</v>
      </c>
      <c r="BE63" s="15" t="n">
        <v>757</v>
      </c>
      <c r="BF63" s="15" t="n">
        <v>240</v>
      </c>
      <c r="BG63" s="15" t="n">
        <v>240</v>
      </c>
      <c r="BH63" s="15" t="s">
        <v>238</v>
      </c>
      <c r="BI63" s="15" t="n">
        <v>1</v>
      </c>
      <c r="BJ63" s="20" t="n">
        <f aca="false">+O63</f>
        <v>206000</v>
      </c>
      <c r="BK63" s="9" t="s">
        <v>510</v>
      </c>
      <c r="BL63" s="15" t="s">
        <v>174</v>
      </c>
      <c r="BM63" s="15" t="n">
        <v>1</v>
      </c>
      <c r="BN63" s="15" t="n">
        <v>26.671097</v>
      </c>
      <c r="BO63" s="15" t="n">
        <v>0</v>
      </c>
      <c r="BP63" s="15" t="n">
        <v>0</v>
      </c>
      <c r="BY63" s="20" t="n">
        <f aca="false">+O63</f>
        <v>206000</v>
      </c>
      <c r="BZ63" s="15" t="n">
        <v>0</v>
      </c>
      <c r="CA63" s="15" t="n">
        <v>0</v>
      </c>
      <c r="CC63" s="15" t="n">
        <v>0</v>
      </c>
      <c r="CD63" s="15" t="n">
        <v>0</v>
      </c>
      <c r="CE63" s="18" t="n">
        <v>40909</v>
      </c>
      <c r="CF63" s="15" t="n">
        <v>1</v>
      </c>
      <c r="CG63" s="15" t="n">
        <v>0</v>
      </c>
      <c r="CH63" s="15" t="n">
        <v>0</v>
      </c>
      <c r="CI63" s="15" t="n">
        <v>0</v>
      </c>
      <c r="CJ63" s="15" t="n">
        <v>0</v>
      </c>
      <c r="CK63" s="15" t="n">
        <v>1</v>
      </c>
      <c r="CL63" s="15" t="n">
        <v>1</v>
      </c>
      <c r="CM63" s="15" t="s">
        <v>176</v>
      </c>
      <c r="CO63" s="15" t="n">
        <v>31</v>
      </c>
      <c r="CQ63" s="15" t="s">
        <v>159</v>
      </c>
      <c r="CS63" s="15" t="n">
        <v>0</v>
      </c>
      <c r="CT63" s="15" t="n">
        <v>0</v>
      </c>
      <c r="CU63" s="15" t="n">
        <v>0</v>
      </c>
      <c r="DA63" s="15" t="s">
        <v>160</v>
      </c>
      <c r="DB63" s="15" t="n">
        <v>1000100100</v>
      </c>
      <c r="DC63" s="15" t="n">
        <v>0</v>
      </c>
      <c r="DE63" s="15" t="n">
        <v>12</v>
      </c>
      <c r="DF63" s="15" t="n">
        <v>33</v>
      </c>
      <c r="DG63" s="15" t="n">
        <v>22272.67</v>
      </c>
      <c r="DH63" s="11" t="s">
        <v>161</v>
      </c>
      <c r="DJ63" s="15" t="n">
        <v>0</v>
      </c>
      <c r="DL63" s="15" t="n">
        <f aca="false">+R63</f>
        <v>4.25</v>
      </c>
      <c r="DQ63" s="15" t="n">
        <v>0</v>
      </c>
      <c r="DR63" s="15" t="n">
        <v>100</v>
      </c>
      <c r="DU63" s="15" t="n">
        <v>0</v>
      </c>
      <c r="DV63" s="15" t="n">
        <v>0</v>
      </c>
      <c r="DW63" s="15" t="n">
        <v>0</v>
      </c>
      <c r="DX63" s="15" t="s">
        <v>162</v>
      </c>
      <c r="EH63" s="10" t="s">
        <v>296</v>
      </c>
      <c r="EI63" s="15" t="n">
        <v>7516</v>
      </c>
      <c r="EJ63" s="10" t="s">
        <v>273</v>
      </c>
      <c r="EK63" s="10" t="s">
        <v>507</v>
      </c>
      <c r="EL63" s="10" t="s">
        <v>200</v>
      </c>
      <c r="EM63" s="10" t="s">
        <v>508</v>
      </c>
    </row>
    <row collapsed="false" customFormat="true" customHeight="false" hidden="false" ht="14.9" outlineLevel="0" r="64" s="15">
      <c r="A64" s="15" t="s">
        <v>263</v>
      </c>
      <c r="B64" s="10" t="s">
        <v>511</v>
      </c>
      <c r="C64" s="10" t="s">
        <v>512</v>
      </c>
      <c r="H64" s="10" t="s">
        <v>513</v>
      </c>
      <c r="I64" s="10" t="s">
        <v>168</v>
      </c>
      <c r="J64" s="10" t="s">
        <v>514</v>
      </c>
      <c r="K64" s="11" t="s">
        <v>515</v>
      </c>
      <c r="L64" s="11" t="s">
        <v>344</v>
      </c>
      <c r="M64" s="15" t="n">
        <v>1</v>
      </c>
      <c r="N64" s="15" t="s">
        <v>194</v>
      </c>
      <c r="O64" s="12" t="n">
        <v>353471</v>
      </c>
      <c r="P64" s="12" t="n">
        <v>353471</v>
      </c>
      <c r="Q64" s="15" t="n">
        <v>1767.355</v>
      </c>
      <c r="R64" s="15" t="n">
        <v>4.99</v>
      </c>
      <c r="S64" s="13" t="n">
        <v>40899</v>
      </c>
      <c r="T64" s="13" t="n">
        <v>40899</v>
      </c>
      <c r="U64" s="18" t="n">
        <v>40940</v>
      </c>
      <c r="V64" s="18" t="n">
        <v>50072</v>
      </c>
      <c r="W64" s="19" t="n">
        <v>0</v>
      </c>
      <c r="X64" s="3" t="n">
        <v>301210</v>
      </c>
      <c r="Y64" s="19"/>
      <c r="Z64" s="15" t="n">
        <v>1</v>
      </c>
      <c r="AB64" s="15" t="s">
        <v>404</v>
      </c>
      <c r="AD64" s="10" t="s">
        <v>513</v>
      </c>
      <c r="AE64" s="10" t="s">
        <v>168</v>
      </c>
      <c r="AF64" s="10" t="s">
        <v>514</v>
      </c>
      <c r="AG64" s="11"/>
      <c r="AH64" s="11"/>
      <c r="AQ64" s="11"/>
      <c r="AT64" s="9" t="s">
        <v>236</v>
      </c>
      <c r="AU64" s="11" t="s">
        <v>237</v>
      </c>
      <c r="AV64" s="15" t="n">
        <v>100</v>
      </c>
      <c r="AW64" s="18" t="n">
        <v>40900</v>
      </c>
      <c r="AX64" s="18" t="n">
        <v>40930</v>
      </c>
      <c r="AZ64" s="15" t="s">
        <v>154</v>
      </c>
      <c r="BA64" s="1" t="n">
        <v>1</v>
      </c>
      <c r="BB64" s="15" t="n">
        <v>80</v>
      </c>
      <c r="BC64" s="15" t="n">
        <v>80</v>
      </c>
      <c r="BD64" s="15" t="n">
        <v>0</v>
      </c>
      <c r="BE64" s="15" t="n">
        <v>708</v>
      </c>
      <c r="BF64" s="15" t="n">
        <v>300</v>
      </c>
      <c r="BG64" s="15" t="n">
        <v>300</v>
      </c>
      <c r="BH64" s="15" t="s">
        <v>238</v>
      </c>
      <c r="BI64" s="15" t="n">
        <v>1</v>
      </c>
      <c r="BJ64" s="20" t="n">
        <f aca="false">+O64</f>
        <v>353471</v>
      </c>
      <c r="BK64" s="9" t="s">
        <v>510</v>
      </c>
      <c r="BL64" s="15" t="s">
        <v>157</v>
      </c>
      <c r="BM64" s="15" t="n">
        <v>1</v>
      </c>
      <c r="BN64" s="15" t="n">
        <v>20.801104</v>
      </c>
      <c r="BO64" s="15" t="n">
        <v>1</v>
      </c>
      <c r="BP64" s="15" t="n">
        <v>0</v>
      </c>
      <c r="BY64" s="20" t="n">
        <f aca="false">+O64</f>
        <v>353471</v>
      </c>
      <c r="BZ64" s="15" t="n">
        <v>0</v>
      </c>
      <c r="CA64" s="15" t="n">
        <v>0</v>
      </c>
      <c r="CC64" s="15" t="n">
        <v>0</v>
      </c>
      <c r="CD64" s="15" t="n">
        <v>0</v>
      </c>
      <c r="CE64" s="18" t="n">
        <v>40909</v>
      </c>
      <c r="CF64" s="15" t="n">
        <v>1</v>
      </c>
      <c r="CG64" s="15" t="n">
        <v>0</v>
      </c>
      <c r="CH64" s="15" t="n">
        <v>0</v>
      </c>
      <c r="CI64" s="15" t="n">
        <v>0</v>
      </c>
      <c r="CJ64" s="15" t="n">
        <v>0</v>
      </c>
      <c r="CK64" s="15" t="n">
        <v>1</v>
      </c>
      <c r="CL64" s="15" t="n">
        <v>1</v>
      </c>
      <c r="CM64" s="15" t="s">
        <v>176</v>
      </c>
      <c r="CO64" s="15" t="n">
        <v>49</v>
      </c>
      <c r="CQ64" s="15" t="s">
        <v>159</v>
      </c>
      <c r="CS64" s="15" t="n">
        <v>0</v>
      </c>
      <c r="CT64" s="15" t="n">
        <v>0</v>
      </c>
      <c r="CU64" s="15" t="n">
        <v>0</v>
      </c>
      <c r="DA64" s="15" t="s">
        <v>160</v>
      </c>
      <c r="DB64" s="15" t="n">
        <v>1000100100</v>
      </c>
      <c r="DC64" s="15" t="n">
        <v>0</v>
      </c>
      <c r="DE64" s="15" t="n">
        <v>10</v>
      </c>
      <c r="DF64" s="15" t="n">
        <v>14</v>
      </c>
      <c r="DG64" s="15" t="n">
        <v>10266</v>
      </c>
      <c r="DH64" s="11" t="s">
        <v>161</v>
      </c>
      <c r="DJ64" s="15" t="n">
        <v>0</v>
      </c>
      <c r="DL64" s="15" t="n">
        <f aca="false">+R64</f>
        <v>4.99</v>
      </c>
      <c r="DQ64" s="15" t="n">
        <v>0</v>
      </c>
      <c r="DR64" s="15" t="n">
        <v>100</v>
      </c>
      <c r="DU64" s="15" t="n">
        <v>0</v>
      </c>
      <c r="DV64" s="15" t="n">
        <v>0</v>
      </c>
      <c r="DW64" s="15" t="n">
        <v>0</v>
      </c>
      <c r="DX64" s="15" t="s">
        <v>162</v>
      </c>
      <c r="EH64" s="10" t="s">
        <v>196</v>
      </c>
      <c r="EI64" s="15" t="n">
        <v>32158</v>
      </c>
      <c r="EJ64" s="10" t="s">
        <v>313</v>
      </c>
      <c r="EK64" s="10" t="s">
        <v>513</v>
      </c>
      <c r="EL64" s="10" t="s">
        <v>168</v>
      </c>
      <c r="EM64" s="10" t="s">
        <v>514</v>
      </c>
    </row>
    <row collapsed="false" customFormat="true" customHeight="false" hidden="false" ht="14.9" outlineLevel="0" r="65" s="15">
      <c r="A65" s="15" t="s">
        <v>516</v>
      </c>
      <c r="B65" s="10" t="s">
        <v>517</v>
      </c>
      <c r="C65" s="10" t="s">
        <v>518</v>
      </c>
      <c r="H65" s="10" t="s">
        <v>473</v>
      </c>
      <c r="I65" s="10" t="s">
        <v>168</v>
      </c>
      <c r="J65" s="10" t="s">
        <v>474</v>
      </c>
      <c r="K65" s="11" t="s">
        <v>519</v>
      </c>
      <c r="L65" s="11" t="s">
        <v>349</v>
      </c>
      <c r="M65" s="15" t="n">
        <v>1</v>
      </c>
      <c r="N65" s="15" t="s">
        <v>194</v>
      </c>
      <c r="O65" s="12" t="n">
        <v>127000</v>
      </c>
      <c r="P65" s="12" t="n">
        <v>127000</v>
      </c>
      <c r="Q65" s="15" t="n">
        <v>635</v>
      </c>
      <c r="R65" s="15" t="n">
        <v>4.99</v>
      </c>
      <c r="S65" s="13" t="n">
        <v>40899</v>
      </c>
      <c r="T65" s="13" t="n">
        <v>40899</v>
      </c>
      <c r="U65" s="18" t="n">
        <v>40940</v>
      </c>
      <c r="V65" s="18" t="n">
        <v>50072</v>
      </c>
      <c r="W65" s="19" t="n">
        <v>0</v>
      </c>
      <c r="X65" s="3" t="n">
        <v>34078</v>
      </c>
      <c r="Y65" s="19"/>
      <c r="Z65" s="15" t="n">
        <v>1</v>
      </c>
      <c r="AB65" s="15" t="s">
        <v>404</v>
      </c>
      <c r="AD65" s="10" t="s">
        <v>473</v>
      </c>
      <c r="AE65" s="10" t="s">
        <v>168</v>
      </c>
      <c r="AF65" s="10" t="s">
        <v>474</v>
      </c>
      <c r="AG65" s="11"/>
      <c r="AH65" s="11"/>
      <c r="AQ65" s="11"/>
      <c r="AT65" s="9" t="s">
        <v>236</v>
      </c>
      <c r="AU65" s="11" t="s">
        <v>237</v>
      </c>
      <c r="AV65" s="15" t="n">
        <v>100</v>
      </c>
      <c r="AW65" s="18" t="n">
        <v>40900</v>
      </c>
      <c r="AX65" s="18" t="n">
        <v>40930</v>
      </c>
      <c r="AZ65" s="15" t="s">
        <v>154</v>
      </c>
      <c r="BA65" s="1" t="n">
        <v>2</v>
      </c>
      <c r="BB65" s="15" t="n">
        <v>35.831</v>
      </c>
      <c r="BC65" s="15" t="n">
        <v>35.831</v>
      </c>
      <c r="BD65" s="15" t="n">
        <v>0</v>
      </c>
      <c r="BE65" s="15" t="n">
        <v>741</v>
      </c>
      <c r="BF65" s="15" t="n">
        <v>300</v>
      </c>
      <c r="BG65" s="15" t="n">
        <v>300</v>
      </c>
      <c r="BH65" s="15" t="s">
        <v>238</v>
      </c>
      <c r="BI65" s="15" t="n">
        <v>1</v>
      </c>
      <c r="BJ65" s="20" t="n">
        <f aca="false">+O65</f>
        <v>127000</v>
      </c>
      <c r="BK65" s="9" t="s">
        <v>510</v>
      </c>
      <c r="BL65" s="15" t="s">
        <v>157</v>
      </c>
      <c r="BM65" s="15" t="n">
        <v>1</v>
      </c>
      <c r="BN65" s="15" t="n">
        <v>25.643788</v>
      </c>
      <c r="BO65" s="15" t="n">
        <v>1</v>
      </c>
      <c r="BP65" s="15" t="n">
        <v>0</v>
      </c>
      <c r="BY65" s="20" t="n">
        <f aca="false">+O65</f>
        <v>127000</v>
      </c>
      <c r="BZ65" s="15" t="n">
        <v>0</v>
      </c>
      <c r="CA65" s="15" t="n">
        <v>0</v>
      </c>
      <c r="CC65" s="15" t="n">
        <v>0</v>
      </c>
      <c r="CD65" s="15" t="n">
        <v>0</v>
      </c>
      <c r="CE65" s="18" t="n">
        <v>40909</v>
      </c>
      <c r="CF65" s="15" t="n">
        <v>1</v>
      </c>
      <c r="CG65" s="15" t="n">
        <v>0</v>
      </c>
      <c r="CH65" s="15" t="n">
        <v>0</v>
      </c>
      <c r="CI65" s="15" t="n">
        <v>0</v>
      </c>
      <c r="CJ65" s="15" t="n">
        <v>0</v>
      </c>
      <c r="CK65" s="15" t="n">
        <v>1</v>
      </c>
      <c r="CL65" s="15" t="n">
        <v>1</v>
      </c>
      <c r="CM65" s="15" t="s">
        <v>176</v>
      </c>
      <c r="CO65" s="15" t="n">
        <v>58</v>
      </c>
      <c r="CQ65" s="15" t="s">
        <v>159</v>
      </c>
      <c r="CS65" s="15" t="n">
        <v>0</v>
      </c>
      <c r="CT65" s="15" t="n">
        <v>0</v>
      </c>
      <c r="CU65" s="15" t="n">
        <v>0</v>
      </c>
      <c r="DA65" s="15" t="s">
        <v>160</v>
      </c>
      <c r="DB65" s="15" t="n">
        <v>1000100100</v>
      </c>
      <c r="DC65" s="15" t="n">
        <v>0</v>
      </c>
      <c r="DE65" s="15" t="n">
        <v>8</v>
      </c>
      <c r="DF65" s="15" t="n">
        <v>24</v>
      </c>
      <c r="DG65" s="15" t="n">
        <v>10939.17</v>
      </c>
      <c r="DH65" s="11" t="s">
        <v>161</v>
      </c>
      <c r="DJ65" s="15" t="n">
        <v>0</v>
      </c>
      <c r="DL65" s="15" t="n">
        <f aca="false">+R65</f>
        <v>4.99</v>
      </c>
      <c r="DQ65" s="15" t="n">
        <v>0</v>
      </c>
      <c r="DR65" s="15" t="n">
        <v>100</v>
      </c>
      <c r="DU65" s="15" t="n">
        <v>0</v>
      </c>
      <c r="DV65" s="15" t="n">
        <v>0</v>
      </c>
      <c r="DW65" s="15" t="n">
        <v>0</v>
      </c>
      <c r="DX65" s="15" t="s">
        <v>162</v>
      </c>
      <c r="EH65" s="10" t="s">
        <v>520</v>
      </c>
      <c r="EI65" s="15" t="n">
        <v>5555</v>
      </c>
      <c r="EJ65" s="10" t="s">
        <v>256</v>
      </c>
      <c r="EK65" s="10" t="s">
        <v>473</v>
      </c>
      <c r="EL65" s="10" t="s">
        <v>168</v>
      </c>
      <c r="EM65" s="10" t="s">
        <v>474</v>
      </c>
    </row>
    <row collapsed="false" customFormat="true" customHeight="false" hidden="false" ht="14.9" outlineLevel="0" r="66" s="15">
      <c r="A66" s="15" t="s">
        <v>516</v>
      </c>
      <c r="B66" s="10" t="s">
        <v>521</v>
      </c>
      <c r="C66" s="10" t="s">
        <v>522</v>
      </c>
      <c r="H66" s="10" t="s">
        <v>523</v>
      </c>
      <c r="I66" s="10" t="s">
        <v>168</v>
      </c>
      <c r="J66" s="10" t="s">
        <v>524</v>
      </c>
      <c r="K66" s="11" t="s">
        <v>525</v>
      </c>
      <c r="L66" s="11" t="s">
        <v>354</v>
      </c>
      <c r="M66" s="15" t="n">
        <v>1</v>
      </c>
      <c r="N66" s="15" t="s">
        <v>204</v>
      </c>
      <c r="O66" s="12" t="n">
        <v>123000</v>
      </c>
      <c r="P66" s="12" t="n">
        <v>123000</v>
      </c>
      <c r="Q66" s="15" t="n">
        <v>615</v>
      </c>
      <c r="R66" s="15" t="n">
        <v>5.875</v>
      </c>
      <c r="S66" s="13" t="n">
        <v>40899</v>
      </c>
      <c r="T66" s="13" t="n">
        <v>40899</v>
      </c>
      <c r="U66" s="18" t="n">
        <v>40940</v>
      </c>
      <c r="V66" s="18" t="n">
        <v>51898</v>
      </c>
      <c r="W66" s="19" t="n">
        <v>0</v>
      </c>
      <c r="X66" s="3" t="n">
        <v>73830</v>
      </c>
      <c r="Y66" s="19"/>
      <c r="Z66" s="15" t="n">
        <v>1</v>
      </c>
      <c r="AB66" s="15" t="s">
        <v>404</v>
      </c>
      <c r="AD66" s="10" t="s">
        <v>523</v>
      </c>
      <c r="AE66" s="10" t="s">
        <v>168</v>
      </c>
      <c r="AF66" s="10" t="s">
        <v>524</v>
      </c>
      <c r="AG66" s="11"/>
      <c r="AH66" s="11"/>
      <c r="AQ66" s="11"/>
      <c r="AT66" s="9" t="s">
        <v>152</v>
      </c>
      <c r="AU66" s="11" t="s">
        <v>153</v>
      </c>
      <c r="AV66" s="15" t="n">
        <v>100</v>
      </c>
      <c r="AW66" s="18" t="n">
        <v>40900</v>
      </c>
      <c r="AX66" s="18" t="n">
        <v>40930</v>
      </c>
      <c r="AZ66" s="15" t="s">
        <v>154</v>
      </c>
      <c r="BA66" s="1" t="n">
        <v>2</v>
      </c>
      <c r="BB66" s="15" t="n">
        <v>45.833</v>
      </c>
      <c r="BC66" s="15" t="n">
        <v>45.833</v>
      </c>
      <c r="BD66" s="15" t="n">
        <v>0</v>
      </c>
      <c r="BE66" s="15" t="n">
        <v>758</v>
      </c>
      <c r="BF66" s="15" t="n">
        <v>360</v>
      </c>
      <c r="BG66" s="15" t="n">
        <v>360</v>
      </c>
      <c r="BH66" s="15" t="s">
        <v>238</v>
      </c>
      <c r="BI66" s="15" t="n">
        <v>1</v>
      </c>
      <c r="BJ66" s="20" t="n">
        <f aca="false">+O66</f>
        <v>123000</v>
      </c>
      <c r="BK66" s="9" t="s">
        <v>510</v>
      </c>
      <c r="BL66" s="15" t="s">
        <v>157</v>
      </c>
      <c r="BM66" s="15" t="n">
        <v>3</v>
      </c>
      <c r="BN66" s="15" t="n">
        <v>33.156344</v>
      </c>
      <c r="BO66" s="15" t="n">
        <v>1</v>
      </c>
      <c r="BP66" s="15" t="n">
        <v>0</v>
      </c>
      <c r="BY66" s="20" t="n">
        <f aca="false">+O66</f>
        <v>123000</v>
      </c>
      <c r="BZ66" s="15" t="n">
        <v>0</v>
      </c>
      <c r="CA66" s="15" t="n">
        <v>0</v>
      </c>
      <c r="CC66" s="15" t="n">
        <v>0</v>
      </c>
      <c r="CD66" s="15" t="n">
        <v>0</v>
      </c>
      <c r="CE66" s="18" t="n">
        <v>40909</v>
      </c>
      <c r="CF66" s="15" t="n">
        <v>1</v>
      </c>
      <c r="CG66" s="15" t="n">
        <v>0</v>
      </c>
      <c r="CH66" s="15" t="n">
        <v>0</v>
      </c>
      <c r="CI66" s="15" t="n">
        <v>0</v>
      </c>
      <c r="CJ66" s="15" t="n">
        <v>0</v>
      </c>
      <c r="CK66" s="15" t="n">
        <v>1</v>
      </c>
      <c r="CL66" s="15" t="n">
        <v>1</v>
      </c>
      <c r="CM66" s="15" t="s">
        <v>176</v>
      </c>
      <c r="CO66" s="15" t="n">
        <v>52</v>
      </c>
      <c r="CQ66" s="15" t="s">
        <v>159</v>
      </c>
      <c r="CS66" s="15" t="n">
        <v>0</v>
      </c>
      <c r="CT66" s="15" t="n">
        <v>0</v>
      </c>
      <c r="CU66" s="15" t="n">
        <v>0</v>
      </c>
      <c r="DA66" s="15" t="s">
        <v>160</v>
      </c>
      <c r="DB66" s="15" t="n">
        <v>1000100100</v>
      </c>
      <c r="DC66" s="15" t="n">
        <v>0</v>
      </c>
      <c r="DE66" s="15" t="n">
        <v>14</v>
      </c>
      <c r="DF66" s="15" t="n">
        <v>21</v>
      </c>
      <c r="DG66" s="15" t="n">
        <v>19900.41</v>
      </c>
      <c r="DH66" s="11" t="s">
        <v>161</v>
      </c>
      <c r="DJ66" s="15" t="n">
        <v>0</v>
      </c>
      <c r="DL66" s="15" t="n">
        <f aca="false">+R66</f>
        <v>5.875</v>
      </c>
      <c r="DQ66" s="15" t="n">
        <v>0</v>
      </c>
      <c r="DR66" s="15" t="n">
        <v>100</v>
      </c>
      <c r="DU66" s="15" t="n">
        <v>0</v>
      </c>
      <c r="DV66" s="15" t="n">
        <v>0</v>
      </c>
      <c r="DW66" s="15" t="n">
        <v>0</v>
      </c>
      <c r="DX66" s="15" t="s">
        <v>162</v>
      </c>
      <c r="EH66" s="10" t="s">
        <v>526</v>
      </c>
      <c r="EI66" s="15" t="n">
        <v>4444</v>
      </c>
      <c r="EJ66" s="10" t="s">
        <v>239</v>
      </c>
      <c r="EK66" s="10" t="s">
        <v>523</v>
      </c>
      <c r="EL66" s="10" t="s">
        <v>168</v>
      </c>
      <c r="EM66" s="10" t="s">
        <v>524</v>
      </c>
    </row>
    <row collapsed="false" customFormat="true" customHeight="false" hidden="false" ht="14.9" outlineLevel="0" r="67" s="15">
      <c r="A67" s="15" t="s">
        <v>516</v>
      </c>
      <c r="B67" s="10" t="s">
        <v>527</v>
      </c>
      <c r="C67" s="10" t="s">
        <v>528</v>
      </c>
      <c r="H67" s="10" t="s">
        <v>259</v>
      </c>
      <c r="I67" s="10" t="s">
        <v>168</v>
      </c>
      <c r="J67" s="10" t="s">
        <v>529</v>
      </c>
      <c r="K67" s="11" t="s">
        <v>530</v>
      </c>
      <c r="L67" s="11"/>
      <c r="M67" s="15" t="n">
        <v>1</v>
      </c>
      <c r="N67" s="15" t="s">
        <v>211</v>
      </c>
      <c r="O67" s="12" t="n">
        <v>260000</v>
      </c>
      <c r="P67" s="12" t="n">
        <v>260000</v>
      </c>
      <c r="Q67" s="15" t="n">
        <v>1300</v>
      </c>
      <c r="R67" s="15" t="n">
        <v>3.5</v>
      </c>
      <c r="S67" s="13" t="n">
        <v>40899</v>
      </c>
      <c r="T67" s="13" t="n">
        <v>40899</v>
      </c>
      <c r="U67" s="18" t="n">
        <v>40940</v>
      </c>
      <c r="V67" s="18" t="n">
        <v>51898</v>
      </c>
      <c r="W67" s="19" t="n">
        <v>0</v>
      </c>
      <c r="X67" s="3" t="n">
        <v>71764</v>
      </c>
      <c r="Y67" s="19"/>
      <c r="Z67" s="15" t="n">
        <v>1</v>
      </c>
      <c r="AB67" s="15" t="s">
        <v>404</v>
      </c>
      <c r="AD67" s="10" t="s">
        <v>259</v>
      </c>
      <c r="AE67" s="10" t="s">
        <v>168</v>
      </c>
      <c r="AF67" s="10" t="s">
        <v>529</v>
      </c>
      <c r="AG67" s="11"/>
      <c r="AH67" s="11"/>
      <c r="AQ67" s="11"/>
      <c r="AT67" s="9" t="s">
        <v>152</v>
      </c>
      <c r="AU67" s="11" t="s">
        <v>153</v>
      </c>
      <c r="AV67" s="15" t="n">
        <v>100</v>
      </c>
      <c r="AW67" s="18" t="n">
        <v>40900</v>
      </c>
      <c r="AX67" s="18" t="n">
        <v>40930</v>
      </c>
      <c r="AZ67" s="15" t="s">
        <v>154</v>
      </c>
      <c r="BA67" s="1" t="n">
        <v>2</v>
      </c>
      <c r="BB67" s="15" t="n">
        <v>89.209</v>
      </c>
      <c r="BC67" s="15" t="n">
        <v>89.209</v>
      </c>
      <c r="BD67" s="15" t="n">
        <v>0</v>
      </c>
      <c r="BE67" s="15" t="n">
        <v>719</v>
      </c>
      <c r="BF67" s="15" t="n">
        <v>360</v>
      </c>
      <c r="BG67" s="15" t="n">
        <v>360</v>
      </c>
      <c r="BH67" s="15" t="s">
        <v>238</v>
      </c>
      <c r="BI67" s="15" t="n">
        <v>1</v>
      </c>
      <c r="BJ67" s="20" t="n">
        <f aca="false">+O67</f>
        <v>260000</v>
      </c>
      <c r="BK67" s="9" t="s">
        <v>510</v>
      </c>
      <c r="BL67" s="15" t="s">
        <v>157</v>
      </c>
      <c r="BM67" s="15" t="n">
        <v>1</v>
      </c>
      <c r="BN67" s="15" t="n">
        <v>29.360949</v>
      </c>
      <c r="BO67" s="15" t="n">
        <v>1</v>
      </c>
      <c r="BP67" s="15" t="n">
        <v>0</v>
      </c>
      <c r="BY67" s="20" t="n">
        <f aca="false">+O67</f>
        <v>260000</v>
      </c>
      <c r="BZ67" s="15" t="n">
        <v>0</v>
      </c>
      <c r="CA67" s="15" t="n">
        <v>0</v>
      </c>
      <c r="CC67" s="15" t="n">
        <v>0</v>
      </c>
      <c r="CD67" s="15" t="n">
        <v>0</v>
      </c>
      <c r="CE67" s="18" t="n">
        <v>40909</v>
      </c>
      <c r="CF67" s="15" t="n">
        <v>1</v>
      </c>
      <c r="CG67" s="15" t="n">
        <v>0</v>
      </c>
      <c r="CH67" s="15" t="n">
        <v>0</v>
      </c>
      <c r="CI67" s="15" t="n">
        <v>0</v>
      </c>
      <c r="CJ67" s="15" t="n">
        <v>0</v>
      </c>
      <c r="CK67" s="15" t="n">
        <v>1</v>
      </c>
      <c r="CL67" s="15" t="n">
        <v>1</v>
      </c>
      <c r="CM67" s="15" t="s">
        <v>158</v>
      </c>
      <c r="CO67" s="15" t="n">
        <v>43</v>
      </c>
      <c r="CQ67" s="15" t="s">
        <v>159</v>
      </c>
      <c r="CS67" s="15" t="n">
        <v>0</v>
      </c>
      <c r="CT67" s="15" t="n">
        <v>0</v>
      </c>
      <c r="CU67" s="15" t="n">
        <v>0</v>
      </c>
      <c r="DA67" s="15" t="s">
        <v>160</v>
      </c>
      <c r="DB67" s="15" t="n">
        <v>1000100100</v>
      </c>
      <c r="DC67" s="15" t="n">
        <v>0</v>
      </c>
      <c r="DE67" s="15" t="n">
        <v>12</v>
      </c>
      <c r="DF67" s="15" t="n">
        <v>0</v>
      </c>
      <c r="DG67" s="15" t="n">
        <v>301.07</v>
      </c>
      <c r="DH67" s="11" t="s">
        <v>161</v>
      </c>
      <c r="DJ67" s="15" t="n">
        <v>0</v>
      </c>
      <c r="DL67" s="15" t="n">
        <f aca="false">+R67</f>
        <v>3.5</v>
      </c>
      <c r="DQ67" s="15" t="n">
        <v>0</v>
      </c>
      <c r="DR67" s="15" t="n">
        <v>100</v>
      </c>
      <c r="DU67" s="15" t="n">
        <v>0</v>
      </c>
      <c r="DV67" s="15" t="n">
        <v>0</v>
      </c>
      <c r="DW67" s="15" t="n">
        <v>0</v>
      </c>
      <c r="DX67" s="15" t="s">
        <v>162</v>
      </c>
      <c r="EH67" s="10" t="s">
        <v>531</v>
      </c>
      <c r="EI67" s="15" t="n">
        <v>3333</v>
      </c>
      <c r="EJ67" s="10" t="s">
        <v>282</v>
      </c>
      <c r="EK67" s="10" t="s">
        <v>259</v>
      </c>
      <c r="EL67" s="10" t="s">
        <v>168</v>
      </c>
      <c r="EM67" s="10" t="s">
        <v>529</v>
      </c>
    </row>
    <row collapsed="false" customFormat="true" customHeight="false" hidden="false" ht="14" outlineLevel="0" r="68" s="15">
      <c r="A68" s="15" t="s">
        <v>516</v>
      </c>
      <c r="B68" s="10" t="s">
        <v>532</v>
      </c>
      <c r="C68" s="10" t="s">
        <v>533</v>
      </c>
      <c r="H68" s="10" t="s">
        <v>199</v>
      </c>
      <c r="I68" s="10" t="s">
        <v>200</v>
      </c>
      <c r="J68" s="10" t="s">
        <v>534</v>
      </c>
      <c r="K68" s="11" t="s">
        <v>535</v>
      </c>
      <c r="L68" s="11"/>
      <c r="M68" s="15" t="n">
        <v>1</v>
      </c>
      <c r="N68" s="15" t="s">
        <v>172</v>
      </c>
      <c r="O68" s="12" t="n">
        <v>228000</v>
      </c>
      <c r="P68" s="12" t="n">
        <v>228000</v>
      </c>
      <c r="Q68" s="15" t="n">
        <v>1140</v>
      </c>
      <c r="R68" s="15" t="n">
        <v>3.875</v>
      </c>
      <c r="S68" s="13" t="n">
        <v>40899</v>
      </c>
      <c r="T68" s="13" t="n">
        <v>40899</v>
      </c>
      <c r="U68" s="18" t="n">
        <v>40940</v>
      </c>
      <c r="V68" s="18" t="n">
        <v>46419</v>
      </c>
      <c r="W68" s="19" t="n">
        <v>1</v>
      </c>
      <c r="X68" s="3" t="n">
        <v>104281</v>
      </c>
      <c r="Y68" s="19"/>
      <c r="Z68" s="15" t="n">
        <v>1</v>
      </c>
      <c r="AB68" s="15" t="s">
        <v>404</v>
      </c>
      <c r="AD68" s="10" t="s">
        <v>199</v>
      </c>
      <c r="AE68" s="10" t="s">
        <v>200</v>
      </c>
      <c r="AF68" s="10" t="s">
        <v>534</v>
      </c>
      <c r="AG68" s="11"/>
      <c r="AH68" s="11"/>
      <c r="AQ68" s="11"/>
      <c r="AT68" s="9" t="s">
        <v>152</v>
      </c>
      <c r="AU68" s="11" t="s">
        <v>153</v>
      </c>
      <c r="AV68" s="15" t="n">
        <v>100</v>
      </c>
      <c r="AW68" s="18" t="n">
        <v>40900</v>
      </c>
      <c r="AX68" s="18" t="n">
        <v>40930</v>
      </c>
      <c r="AZ68" s="15" t="s">
        <v>154</v>
      </c>
      <c r="BA68" s="1" t="n">
        <v>1</v>
      </c>
      <c r="BB68" s="15" t="n">
        <v>81.698</v>
      </c>
      <c r="BC68" s="15" t="n">
        <v>81.698</v>
      </c>
      <c r="BD68" s="15" t="n">
        <v>0</v>
      </c>
      <c r="BE68" s="15" t="n">
        <v>809</v>
      </c>
      <c r="BF68" s="9" t="n">
        <f aca="false">15*12</f>
        <v>180</v>
      </c>
      <c r="BG68" s="15" t="n">
        <v>180</v>
      </c>
      <c r="BH68" s="15" t="s">
        <v>173</v>
      </c>
      <c r="BI68" s="15" t="n">
        <v>1</v>
      </c>
      <c r="BJ68" s="20" t="n">
        <f aca="false">+O68</f>
        <v>228000</v>
      </c>
      <c r="BK68" s="9" t="s">
        <v>510</v>
      </c>
      <c r="BL68" s="15" t="s">
        <v>157</v>
      </c>
      <c r="BM68" s="15" t="n">
        <v>1</v>
      </c>
      <c r="BN68" s="15" t="n">
        <v>48.18622</v>
      </c>
      <c r="BO68" s="15" t="n">
        <v>1</v>
      </c>
      <c r="BP68" s="15" t="n">
        <v>3</v>
      </c>
      <c r="BQ68" s="15" t="s">
        <v>325</v>
      </c>
      <c r="BR68" s="15" t="n">
        <v>0</v>
      </c>
      <c r="BS68" s="18" t="n">
        <v>41974</v>
      </c>
      <c r="BT68" s="15" t="n">
        <v>2</v>
      </c>
      <c r="BU68" s="15" t="n">
        <v>12</v>
      </c>
      <c r="BV68" s="15" t="n">
        <v>2</v>
      </c>
      <c r="BW68" s="15" t="n">
        <v>5</v>
      </c>
      <c r="BX68" s="15" t="n">
        <v>2</v>
      </c>
      <c r="BY68" s="20" t="n">
        <f aca="false">+O68</f>
        <v>228000</v>
      </c>
      <c r="BZ68" s="15" t="n">
        <v>0</v>
      </c>
      <c r="CA68" s="15" t="n">
        <v>0</v>
      </c>
      <c r="CC68" s="15" t="n">
        <v>0</v>
      </c>
      <c r="CD68" s="15" t="n">
        <v>0</v>
      </c>
      <c r="CE68" s="18" t="n">
        <v>40909</v>
      </c>
      <c r="CF68" s="15" t="n">
        <v>1</v>
      </c>
      <c r="CG68" s="15" t="n">
        <v>0</v>
      </c>
      <c r="CH68" s="15" t="n">
        <v>0</v>
      </c>
      <c r="CI68" s="15" t="n">
        <v>0</v>
      </c>
      <c r="CJ68" s="15" t="n">
        <v>0</v>
      </c>
      <c r="CK68" s="15" t="n">
        <v>1</v>
      </c>
      <c r="CL68" s="15" t="n">
        <v>1</v>
      </c>
      <c r="CM68" s="15" t="s">
        <v>176</v>
      </c>
      <c r="CO68" s="15" t="n">
        <v>45</v>
      </c>
      <c r="CQ68" s="15" t="s">
        <v>159</v>
      </c>
      <c r="CS68" s="15" t="n">
        <v>0</v>
      </c>
      <c r="CT68" s="15" t="n">
        <v>0</v>
      </c>
      <c r="CU68" s="15" t="n">
        <v>0</v>
      </c>
      <c r="DA68" s="15" t="s">
        <v>160</v>
      </c>
      <c r="DB68" s="15" t="n">
        <v>1000100100</v>
      </c>
      <c r="DC68" s="15" t="n">
        <v>0</v>
      </c>
      <c r="DD68" s="15" t="n">
        <v>30</v>
      </c>
      <c r="DE68" s="15" t="n">
        <v>4</v>
      </c>
      <c r="DF68" s="15" t="n">
        <v>0</v>
      </c>
      <c r="DG68" s="15" t="n">
        <v>371.31</v>
      </c>
      <c r="DH68" s="11" t="s">
        <v>161</v>
      </c>
      <c r="DJ68" s="15" t="n">
        <v>0</v>
      </c>
      <c r="DL68" s="15" t="n">
        <f aca="false">+R68</f>
        <v>3.875</v>
      </c>
      <c r="DM68" s="15" t="n">
        <v>1</v>
      </c>
      <c r="DN68" s="15" t="n">
        <v>0</v>
      </c>
      <c r="DO68" s="15" t="n">
        <v>0</v>
      </c>
      <c r="DP68" s="15" t="n">
        <v>0</v>
      </c>
      <c r="DQ68" s="15" t="n">
        <v>0</v>
      </c>
      <c r="DR68" s="15" t="n">
        <v>100</v>
      </c>
      <c r="DT68" s="15" t="n">
        <v>8.875</v>
      </c>
      <c r="DU68" s="15" t="n">
        <v>0</v>
      </c>
      <c r="DV68" s="15" t="n">
        <v>0</v>
      </c>
      <c r="DW68" s="15" t="n">
        <v>0</v>
      </c>
      <c r="DX68" s="15" t="s">
        <v>162</v>
      </c>
      <c r="EH68" s="10" t="s">
        <v>206</v>
      </c>
      <c r="EI68" s="15" t="n">
        <v>2222</v>
      </c>
      <c r="EJ68" s="10" t="s">
        <v>536</v>
      </c>
      <c r="EK68" s="10" t="s">
        <v>199</v>
      </c>
      <c r="EL68" s="10" t="s">
        <v>200</v>
      </c>
      <c r="EM68" s="10" t="s">
        <v>534</v>
      </c>
    </row>
    <row collapsed="false" customFormat="true" customHeight="false" hidden="false" ht="14.9" outlineLevel="0" r="69" s="15">
      <c r="A69" s="15" t="s">
        <v>516</v>
      </c>
      <c r="B69" s="10" t="s">
        <v>537</v>
      </c>
      <c r="C69" s="10" t="s">
        <v>538</v>
      </c>
      <c r="H69" s="10" t="s">
        <v>539</v>
      </c>
      <c r="I69" s="10" t="s">
        <v>168</v>
      </c>
      <c r="J69" s="10" t="s">
        <v>540</v>
      </c>
      <c r="K69" s="11" t="s">
        <v>541</v>
      </c>
      <c r="L69" s="11"/>
      <c r="M69" s="15" t="n">
        <v>1</v>
      </c>
      <c r="N69" s="15" t="s">
        <v>185</v>
      </c>
      <c r="O69" s="12" t="n">
        <v>801950</v>
      </c>
      <c r="P69" s="12" t="n">
        <v>801950</v>
      </c>
      <c r="Q69" s="15" t="n">
        <v>4009.75</v>
      </c>
      <c r="R69" s="15" t="n">
        <v>4.875</v>
      </c>
      <c r="S69" s="13" t="n">
        <v>40899</v>
      </c>
      <c r="T69" s="13" t="n">
        <v>40899</v>
      </c>
      <c r="U69" s="18" t="n">
        <v>40940</v>
      </c>
      <c r="V69" s="18" t="n">
        <v>48245</v>
      </c>
      <c r="W69" s="19" t="n">
        <v>0</v>
      </c>
      <c r="X69" s="3" t="n">
        <v>41344</v>
      </c>
      <c r="Y69" s="19"/>
      <c r="Z69" s="15" t="n">
        <v>1</v>
      </c>
      <c r="AB69" s="15" t="s">
        <v>404</v>
      </c>
      <c r="AD69" s="10" t="s">
        <v>539</v>
      </c>
      <c r="AE69" s="10" t="s">
        <v>168</v>
      </c>
      <c r="AF69" s="10" t="s">
        <v>540</v>
      </c>
      <c r="AG69" s="11"/>
      <c r="AH69" s="11"/>
      <c r="AQ69" s="11"/>
      <c r="AT69" s="9" t="s">
        <v>152</v>
      </c>
      <c r="AU69" s="11" t="s">
        <v>153</v>
      </c>
      <c r="AV69" s="15" t="n">
        <v>100</v>
      </c>
      <c r="AW69" s="18" t="n">
        <v>40900</v>
      </c>
      <c r="AX69" s="18" t="n">
        <v>40930</v>
      </c>
      <c r="AZ69" s="15" t="s">
        <v>154</v>
      </c>
      <c r="BA69" s="1" t="n">
        <v>2</v>
      </c>
      <c r="BB69" s="15" t="n">
        <v>19.776</v>
      </c>
      <c r="BC69" s="15" t="n">
        <v>19.776</v>
      </c>
      <c r="BD69" s="15" t="n">
        <v>0</v>
      </c>
      <c r="BE69" s="15" t="n">
        <v>713</v>
      </c>
      <c r="BF69" s="15" t="n">
        <v>240</v>
      </c>
      <c r="BG69" s="15" t="n">
        <v>240</v>
      </c>
      <c r="BH69" s="15" t="s">
        <v>238</v>
      </c>
      <c r="BI69" s="15" t="n">
        <v>1</v>
      </c>
      <c r="BJ69" s="20" t="n">
        <f aca="false">+O69</f>
        <v>801950</v>
      </c>
      <c r="BK69" s="9" t="s">
        <v>510</v>
      </c>
      <c r="BL69" s="15" t="s">
        <v>157</v>
      </c>
      <c r="BM69" s="15" t="n">
        <v>3</v>
      </c>
      <c r="BN69" s="15" t="n">
        <v>46.50168</v>
      </c>
      <c r="BO69" s="15" t="n">
        <v>1</v>
      </c>
      <c r="BP69" s="15" t="n">
        <v>0</v>
      </c>
      <c r="BY69" s="20" t="n">
        <f aca="false">+O69</f>
        <v>801950</v>
      </c>
      <c r="BZ69" s="15" t="n">
        <v>0</v>
      </c>
      <c r="CA69" s="15" t="n">
        <v>0</v>
      </c>
      <c r="CC69" s="15" t="n">
        <v>0</v>
      </c>
      <c r="CD69" s="15" t="n">
        <v>0</v>
      </c>
      <c r="CE69" s="18" t="n">
        <v>40909</v>
      </c>
      <c r="CF69" s="15" t="n">
        <v>1</v>
      </c>
      <c r="CG69" s="15" t="n">
        <v>0</v>
      </c>
      <c r="CH69" s="15" t="n">
        <v>0</v>
      </c>
      <c r="CI69" s="15" t="n">
        <v>0</v>
      </c>
      <c r="CJ69" s="15" t="n">
        <v>0</v>
      </c>
      <c r="CK69" s="15" t="n">
        <v>1</v>
      </c>
      <c r="CL69" s="15" t="n">
        <v>1</v>
      </c>
      <c r="CM69" s="15" t="s">
        <v>176</v>
      </c>
      <c r="CO69" s="15" t="n">
        <v>46</v>
      </c>
      <c r="CQ69" s="15" t="s">
        <v>159</v>
      </c>
      <c r="CS69" s="15" t="n">
        <v>0</v>
      </c>
      <c r="CT69" s="15" t="n">
        <v>0</v>
      </c>
      <c r="CU69" s="15" t="n">
        <v>0</v>
      </c>
      <c r="DA69" s="15" t="s">
        <v>160</v>
      </c>
      <c r="DB69" s="15" t="n">
        <v>1000100100</v>
      </c>
      <c r="DC69" s="15" t="n">
        <v>0</v>
      </c>
      <c r="DE69" s="15" t="n">
        <v>8</v>
      </c>
      <c r="DF69" s="15" t="n">
        <v>1</v>
      </c>
      <c r="DG69" s="15" t="n">
        <v>1585.86</v>
      </c>
      <c r="DH69" s="11" t="s">
        <v>161</v>
      </c>
      <c r="DJ69" s="15" t="n">
        <v>0</v>
      </c>
      <c r="DL69" s="15" t="n">
        <f aca="false">+R69</f>
        <v>4.875</v>
      </c>
      <c r="DQ69" s="15" t="n">
        <v>0</v>
      </c>
      <c r="DR69" s="15" t="n">
        <v>100</v>
      </c>
      <c r="DU69" s="15" t="n">
        <v>0</v>
      </c>
      <c r="DV69" s="15" t="n">
        <v>0</v>
      </c>
      <c r="DW69" s="15" t="n">
        <v>0</v>
      </c>
      <c r="DX69" s="15" t="s">
        <v>162</v>
      </c>
      <c r="EH69" s="10" t="s">
        <v>214</v>
      </c>
      <c r="EI69" s="15" t="n">
        <v>1111</v>
      </c>
      <c r="EJ69" s="10" t="s">
        <v>289</v>
      </c>
      <c r="EK69" s="10" t="s">
        <v>539</v>
      </c>
      <c r="EL69" s="10" t="s">
        <v>168</v>
      </c>
      <c r="EM69" s="10" t="s">
        <v>540</v>
      </c>
    </row>
    <row collapsed="false" customFormat="true" customHeight="false" hidden="false" ht="14" outlineLevel="0" r="70" s="15">
      <c r="A70" s="15" t="s">
        <v>516</v>
      </c>
      <c r="B70" s="10" t="s">
        <v>542</v>
      </c>
      <c r="C70" s="10" t="s">
        <v>543</v>
      </c>
      <c r="H70" s="10" t="s">
        <v>544</v>
      </c>
      <c r="I70" s="10" t="s">
        <v>168</v>
      </c>
      <c r="J70" s="10" t="s">
        <v>545</v>
      </c>
      <c r="K70" s="11" t="s">
        <v>546</v>
      </c>
      <c r="L70" s="11"/>
      <c r="M70" s="15" t="n">
        <v>1</v>
      </c>
      <c r="N70" s="15" t="s">
        <v>194</v>
      </c>
      <c r="O70" s="12" t="n">
        <v>458000</v>
      </c>
      <c r="P70" s="12" t="n">
        <v>458000</v>
      </c>
      <c r="Q70" s="15" t="n">
        <v>2290</v>
      </c>
      <c r="R70" s="15" t="n">
        <v>4.5</v>
      </c>
      <c r="S70" s="13" t="n">
        <v>40899</v>
      </c>
      <c r="T70" s="13" t="n">
        <v>40899</v>
      </c>
      <c r="U70" s="18" t="n">
        <v>40940</v>
      </c>
      <c r="V70" s="18" t="n">
        <v>50072</v>
      </c>
      <c r="W70" s="19" t="n">
        <v>1</v>
      </c>
      <c r="X70" s="3" t="n">
        <v>145836</v>
      </c>
      <c r="Y70" s="19"/>
      <c r="Z70" s="15" t="n">
        <v>1</v>
      </c>
      <c r="AB70" s="15" t="s">
        <v>404</v>
      </c>
      <c r="AD70" s="10" t="s">
        <v>544</v>
      </c>
      <c r="AE70" s="10" t="s">
        <v>168</v>
      </c>
      <c r="AF70" s="10" t="s">
        <v>545</v>
      </c>
      <c r="AG70" s="11"/>
      <c r="AH70" s="11"/>
      <c r="AQ70" s="11"/>
      <c r="AT70" s="9" t="s">
        <v>152</v>
      </c>
      <c r="AU70" s="11" t="s">
        <v>153</v>
      </c>
      <c r="AV70" s="15" t="n">
        <v>100</v>
      </c>
      <c r="AW70" s="18" t="n">
        <v>40900</v>
      </c>
      <c r="AX70" s="18" t="n">
        <v>40930</v>
      </c>
      <c r="AZ70" s="15" t="s">
        <v>154</v>
      </c>
      <c r="BA70" s="1" t="n">
        <v>2</v>
      </c>
      <c r="BB70" s="15" t="n">
        <v>81.698</v>
      </c>
      <c r="BC70" s="15" t="n">
        <v>81.698</v>
      </c>
      <c r="BD70" s="15" t="n">
        <v>0</v>
      </c>
      <c r="BE70" s="15" t="n">
        <v>809</v>
      </c>
      <c r="BF70" s="15" t="n">
        <v>300</v>
      </c>
      <c r="BG70" s="15" t="n">
        <v>300</v>
      </c>
      <c r="BH70" s="15" t="s">
        <v>155</v>
      </c>
      <c r="BI70" s="15" t="n">
        <v>1</v>
      </c>
      <c r="BJ70" s="20" t="n">
        <f aca="false">+O70</f>
        <v>458000</v>
      </c>
      <c r="BK70" s="9" t="s">
        <v>510</v>
      </c>
      <c r="BL70" s="15" t="s">
        <v>157</v>
      </c>
      <c r="BM70" s="15" t="n">
        <v>1</v>
      </c>
      <c r="BN70" s="15" t="n">
        <v>26.098349</v>
      </c>
      <c r="BO70" s="15" t="n">
        <v>1</v>
      </c>
      <c r="BP70" s="15" t="n">
        <v>2</v>
      </c>
      <c r="BQ70" s="15" t="s">
        <v>223</v>
      </c>
      <c r="BR70" s="15" t="n">
        <v>3.875</v>
      </c>
      <c r="BS70" s="18" t="n">
        <v>41974</v>
      </c>
      <c r="BT70" s="15" t="n">
        <v>1</v>
      </c>
      <c r="BU70" s="15" t="n">
        <v>12</v>
      </c>
      <c r="BV70" s="15" t="n">
        <v>1</v>
      </c>
      <c r="BW70" s="15" t="n">
        <v>5</v>
      </c>
      <c r="BX70" s="15" t="n">
        <v>2</v>
      </c>
      <c r="BY70" s="20" t="n">
        <f aca="false">+O70</f>
        <v>458000</v>
      </c>
      <c r="BZ70" s="15" t="n">
        <v>0</v>
      </c>
      <c r="CA70" s="15" t="n">
        <v>0</v>
      </c>
      <c r="CC70" s="15" t="n">
        <v>0</v>
      </c>
      <c r="CD70" s="15" t="n">
        <v>0</v>
      </c>
      <c r="CE70" s="18" t="n">
        <v>40909</v>
      </c>
      <c r="CF70" s="15" t="n">
        <v>1</v>
      </c>
      <c r="CG70" s="15" t="n">
        <v>0</v>
      </c>
      <c r="CH70" s="15" t="n">
        <v>0</v>
      </c>
      <c r="CI70" s="15" t="n">
        <v>0</v>
      </c>
      <c r="CJ70" s="15" t="n">
        <v>0</v>
      </c>
      <c r="CK70" s="15" t="n">
        <v>1</v>
      </c>
      <c r="CL70" s="15" t="n">
        <v>1</v>
      </c>
      <c r="CM70" s="15" t="s">
        <v>176</v>
      </c>
      <c r="CO70" s="15" t="n">
        <v>64</v>
      </c>
      <c r="CQ70" s="15" t="s">
        <v>159</v>
      </c>
      <c r="CS70" s="15" t="n">
        <v>0</v>
      </c>
      <c r="CT70" s="15" t="n">
        <v>0</v>
      </c>
      <c r="CU70" s="15" t="n">
        <v>0</v>
      </c>
      <c r="DA70" s="15" t="s">
        <v>160</v>
      </c>
      <c r="DB70" s="15" t="n">
        <v>1000100100</v>
      </c>
      <c r="DC70" s="15" t="n">
        <v>0</v>
      </c>
      <c r="DD70" s="15" t="n">
        <v>30</v>
      </c>
      <c r="DE70" s="15" t="n">
        <v>12</v>
      </c>
      <c r="DF70" s="15" t="n">
        <v>33</v>
      </c>
      <c r="DG70" s="15" t="n">
        <v>22272.67</v>
      </c>
      <c r="DH70" s="11" t="s">
        <v>161</v>
      </c>
      <c r="DJ70" s="15" t="n">
        <v>0</v>
      </c>
      <c r="DL70" s="15" t="n">
        <f aca="false">+R70</f>
        <v>4.5</v>
      </c>
      <c r="DM70" s="15" t="n">
        <v>1</v>
      </c>
      <c r="DN70" s="15" t="n">
        <v>0</v>
      </c>
      <c r="DO70" s="15" t="n">
        <v>0</v>
      </c>
      <c r="DP70" s="15" t="n">
        <v>0</v>
      </c>
      <c r="DQ70" s="15" t="n">
        <v>0</v>
      </c>
      <c r="DR70" s="15" t="n">
        <v>100</v>
      </c>
      <c r="DT70" s="15" t="n">
        <v>8.875</v>
      </c>
      <c r="DU70" s="15" t="n">
        <v>0</v>
      </c>
      <c r="DV70" s="15" t="n">
        <v>0</v>
      </c>
      <c r="DW70" s="15" t="n">
        <v>0</v>
      </c>
      <c r="DX70" s="15" t="s">
        <v>162</v>
      </c>
      <c r="EH70" s="10" t="s">
        <v>297</v>
      </c>
      <c r="EI70" s="15" t="n">
        <v>123456</v>
      </c>
      <c r="EJ70" s="10" t="s">
        <v>547</v>
      </c>
      <c r="EK70" s="10" t="s">
        <v>544</v>
      </c>
      <c r="EL70" s="10" t="s">
        <v>168</v>
      </c>
      <c r="EM70" s="10" t="s">
        <v>545</v>
      </c>
    </row>
    <row collapsed="false" customFormat="true" customHeight="false" hidden="false" ht="14" outlineLevel="0" r="71" s="15">
      <c r="A71" s="15" t="s">
        <v>516</v>
      </c>
      <c r="B71" s="10" t="s">
        <v>548</v>
      </c>
      <c r="C71" s="10" t="s">
        <v>549</v>
      </c>
      <c r="H71" s="10" t="s">
        <v>550</v>
      </c>
      <c r="I71" s="10" t="s">
        <v>168</v>
      </c>
      <c r="J71" s="10" t="s">
        <v>551</v>
      </c>
      <c r="K71" s="11" t="s">
        <v>552</v>
      </c>
      <c r="L71" s="11"/>
      <c r="M71" s="15" t="n">
        <v>1</v>
      </c>
      <c r="N71" s="15" t="s">
        <v>204</v>
      </c>
      <c r="O71" s="12" t="n">
        <v>478507</v>
      </c>
      <c r="P71" s="12" t="n">
        <v>478507</v>
      </c>
      <c r="Q71" s="15" t="n">
        <v>2392.535</v>
      </c>
      <c r="R71" s="15" t="n">
        <v>4</v>
      </c>
      <c r="S71" s="13" t="n">
        <v>40899</v>
      </c>
      <c r="T71" s="13" t="n">
        <v>40899</v>
      </c>
      <c r="U71" s="18" t="n">
        <v>40940</v>
      </c>
      <c r="V71" s="18" t="n">
        <v>51898</v>
      </c>
      <c r="W71" s="19" t="n">
        <v>0</v>
      </c>
      <c r="X71" s="3" t="n">
        <v>28978</v>
      </c>
      <c r="Y71" s="19"/>
      <c r="Z71" s="15" t="n">
        <v>1</v>
      </c>
      <c r="AB71" s="15" t="s">
        <v>404</v>
      </c>
      <c r="AD71" s="10" t="s">
        <v>550</v>
      </c>
      <c r="AE71" s="10" t="s">
        <v>168</v>
      </c>
      <c r="AF71" s="10" t="s">
        <v>551</v>
      </c>
      <c r="AG71" s="11"/>
      <c r="AH71" s="11"/>
      <c r="AQ71" s="11"/>
      <c r="AT71" s="9" t="s">
        <v>152</v>
      </c>
      <c r="AU71" s="11" t="s">
        <v>153</v>
      </c>
      <c r="AV71" s="15" t="n">
        <v>100</v>
      </c>
      <c r="AW71" s="18" t="n">
        <v>40900</v>
      </c>
      <c r="AX71" s="18" t="n">
        <v>40930</v>
      </c>
      <c r="AZ71" s="15" t="s">
        <v>271</v>
      </c>
      <c r="BA71" s="1" t="n">
        <v>1</v>
      </c>
      <c r="BB71" s="15" t="n">
        <v>19.776</v>
      </c>
      <c r="BC71" s="15" t="n">
        <v>19.776</v>
      </c>
      <c r="BD71" s="15" t="n">
        <v>0</v>
      </c>
      <c r="BE71" s="15" t="n">
        <v>713</v>
      </c>
      <c r="BF71" s="15" t="n">
        <v>360</v>
      </c>
      <c r="BG71" s="15" t="n">
        <v>360</v>
      </c>
      <c r="BH71" s="15" t="s">
        <v>155</v>
      </c>
      <c r="BI71" s="15" t="n">
        <v>1</v>
      </c>
      <c r="BJ71" s="20" t="n">
        <f aca="false">+O71</f>
        <v>478507</v>
      </c>
      <c r="BK71" s="9" t="s">
        <v>510</v>
      </c>
      <c r="BL71" s="15" t="s">
        <v>157</v>
      </c>
      <c r="BM71" s="15" t="n">
        <v>1</v>
      </c>
      <c r="BN71" s="15" t="n">
        <v>33.272985</v>
      </c>
      <c r="BO71" s="15" t="n">
        <v>1</v>
      </c>
      <c r="BP71" s="15" t="n">
        <v>0</v>
      </c>
      <c r="BY71" s="20" t="n">
        <f aca="false">+O71</f>
        <v>478507</v>
      </c>
      <c r="BZ71" s="15" t="n">
        <v>0</v>
      </c>
      <c r="CA71" s="15" t="n">
        <v>0</v>
      </c>
      <c r="CC71" s="15" t="n">
        <v>0</v>
      </c>
      <c r="CD71" s="15" t="n">
        <v>0</v>
      </c>
      <c r="CE71" s="18" t="n">
        <v>40909</v>
      </c>
      <c r="CF71" s="15" t="n">
        <v>1</v>
      </c>
      <c r="CG71" s="15" t="n">
        <v>0</v>
      </c>
      <c r="CH71" s="15" t="n">
        <v>0</v>
      </c>
      <c r="CI71" s="15" t="n">
        <v>0</v>
      </c>
      <c r="CJ71" s="15" t="n">
        <v>0</v>
      </c>
      <c r="CK71" s="15" t="n">
        <v>1</v>
      </c>
      <c r="CL71" s="15" t="n">
        <v>1</v>
      </c>
      <c r="CM71" s="15" t="s">
        <v>176</v>
      </c>
      <c r="CO71" s="15" t="n">
        <v>33</v>
      </c>
      <c r="CQ71" s="15" t="s">
        <v>159</v>
      </c>
      <c r="CS71" s="15" t="n">
        <v>0</v>
      </c>
      <c r="CT71" s="15" t="n">
        <v>0</v>
      </c>
      <c r="CU71" s="15" t="n">
        <v>0</v>
      </c>
      <c r="DA71" s="15" t="s">
        <v>160</v>
      </c>
      <c r="DB71" s="15" t="n">
        <v>1000100100</v>
      </c>
      <c r="DC71" s="15" t="n">
        <v>0</v>
      </c>
      <c r="DE71" s="15" t="n">
        <v>10</v>
      </c>
      <c r="DF71" s="15" t="n">
        <v>14</v>
      </c>
      <c r="DG71" s="15" t="n">
        <v>10266</v>
      </c>
      <c r="DH71" s="11" t="s">
        <v>161</v>
      </c>
      <c r="DJ71" s="15" t="n">
        <v>0</v>
      </c>
      <c r="DL71" s="15" t="n">
        <f aca="false">+R71</f>
        <v>4</v>
      </c>
      <c r="DQ71" s="15" t="n">
        <v>0</v>
      </c>
      <c r="DR71" s="15" t="n">
        <v>100</v>
      </c>
      <c r="DU71" s="15" t="n">
        <v>0</v>
      </c>
      <c r="DV71" s="15" t="n">
        <v>0</v>
      </c>
      <c r="DW71" s="15" t="n">
        <v>0</v>
      </c>
      <c r="DX71" s="15" t="s">
        <v>162</v>
      </c>
      <c r="EH71" s="10" t="s">
        <v>520</v>
      </c>
      <c r="EI71" s="15" t="n">
        <v>5555</v>
      </c>
      <c r="EJ71" s="10" t="s">
        <v>256</v>
      </c>
      <c r="EK71" s="10" t="s">
        <v>550</v>
      </c>
      <c r="EL71" s="10" t="s">
        <v>168</v>
      </c>
      <c r="EM71" s="10" t="s">
        <v>551</v>
      </c>
    </row>
    <row collapsed="false" customFormat="true" customHeight="false" hidden="false" ht="14.9" outlineLevel="0" r="72" s="15">
      <c r="A72" s="15" t="s">
        <v>516</v>
      </c>
      <c r="B72" s="10" t="s">
        <v>553</v>
      </c>
      <c r="C72" s="10" t="s">
        <v>554</v>
      </c>
      <c r="H72" s="10" t="s">
        <v>305</v>
      </c>
      <c r="I72" s="10" t="s">
        <v>168</v>
      </c>
      <c r="J72" s="10" t="s">
        <v>555</v>
      </c>
      <c r="K72" s="11" t="s">
        <v>556</v>
      </c>
      <c r="L72" s="11"/>
      <c r="M72" s="15" t="n">
        <v>0</v>
      </c>
      <c r="N72" s="15" t="s">
        <v>211</v>
      </c>
      <c r="O72" s="12" t="n">
        <v>255000</v>
      </c>
      <c r="P72" s="12" t="n">
        <v>255000</v>
      </c>
      <c r="Q72" s="15" t="n">
        <v>1275</v>
      </c>
      <c r="R72" s="15" t="n">
        <v>3.875</v>
      </c>
      <c r="S72" s="13" t="n">
        <v>40899</v>
      </c>
      <c r="T72" s="13" t="n">
        <v>40899</v>
      </c>
      <c r="U72" s="18" t="n">
        <v>40940</v>
      </c>
      <c r="V72" s="18" t="n">
        <v>51898</v>
      </c>
      <c r="W72" s="19" t="n">
        <v>0</v>
      </c>
      <c r="X72" s="3" t="n">
        <v>210646</v>
      </c>
      <c r="Y72" s="19"/>
      <c r="Z72" s="15" t="n">
        <v>1</v>
      </c>
      <c r="AB72" s="15" t="s">
        <v>404</v>
      </c>
      <c r="AD72" s="10" t="s">
        <v>305</v>
      </c>
      <c r="AE72" s="10" t="s">
        <v>168</v>
      </c>
      <c r="AF72" s="10" t="s">
        <v>555</v>
      </c>
      <c r="AG72" s="11"/>
      <c r="AH72" s="11"/>
      <c r="AQ72" s="11"/>
      <c r="AT72" s="21" t="s">
        <v>364</v>
      </c>
      <c r="AU72" s="11" t="s">
        <v>365</v>
      </c>
      <c r="AV72" s="15" t="n">
        <v>100</v>
      </c>
      <c r="AW72" s="18" t="n">
        <v>40900</v>
      </c>
      <c r="AX72" s="18" t="n">
        <v>40930</v>
      </c>
      <c r="AZ72" s="15" t="s">
        <v>154</v>
      </c>
      <c r="BA72" s="1" t="n">
        <v>2</v>
      </c>
      <c r="BB72" s="15" t="n">
        <v>80</v>
      </c>
      <c r="BC72" s="15" t="n">
        <v>80</v>
      </c>
      <c r="BD72" s="15" t="n">
        <v>0</v>
      </c>
      <c r="BE72" s="15" t="n">
        <v>708</v>
      </c>
      <c r="BF72" s="15" t="n">
        <v>360</v>
      </c>
      <c r="BG72" s="15" t="n">
        <v>360</v>
      </c>
      <c r="BH72" s="15" t="s">
        <v>238</v>
      </c>
      <c r="BI72" s="15" t="n">
        <v>1</v>
      </c>
      <c r="BJ72" s="20" t="n">
        <f aca="false">+O72</f>
        <v>255000</v>
      </c>
      <c r="BK72" s="9" t="s">
        <v>510</v>
      </c>
      <c r="BL72" s="15" t="s">
        <v>212</v>
      </c>
      <c r="BM72" s="15" t="n">
        <v>1</v>
      </c>
      <c r="BN72" s="15" t="n">
        <v>56.782254</v>
      </c>
      <c r="BO72" s="15" t="n">
        <v>0</v>
      </c>
      <c r="BP72" s="15" t="n">
        <v>0</v>
      </c>
      <c r="BY72" s="20" t="n">
        <f aca="false">+O72</f>
        <v>255000</v>
      </c>
      <c r="BZ72" s="15" t="n">
        <v>0</v>
      </c>
      <c r="CA72" s="15" t="n">
        <v>0</v>
      </c>
      <c r="CC72" s="15" t="n">
        <v>0</v>
      </c>
      <c r="CD72" s="15" t="n">
        <v>0</v>
      </c>
      <c r="CE72" s="18" t="n">
        <v>40909</v>
      </c>
      <c r="CF72" s="15" t="n">
        <v>1</v>
      </c>
      <c r="CG72" s="15" t="n">
        <v>0</v>
      </c>
      <c r="CH72" s="15" t="n">
        <v>0</v>
      </c>
      <c r="CI72" s="15" t="n">
        <v>0</v>
      </c>
      <c r="CJ72" s="15" t="n">
        <v>0</v>
      </c>
      <c r="CK72" s="15" t="n">
        <v>1</v>
      </c>
      <c r="CL72" s="15" t="n">
        <v>1</v>
      </c>
      <c r="CM72" s="15" t="s">
        <v>176</v>
      </c>
      <c r="CO72" s="15" t="n">
        <v>27</v>
      </c>
      <c r="CQ72" s="15" t="s">
        <v>159</v>
      </c>
      <c r="CS72" s="15" t="n">
        <v>0</v>
      </c>
      <c r="CT72" s="15" t="n">
        <v>0</v>
      </c>
      <c r="CU72" s="15" t="n">
        <v>0</v>
      </c>
      <c r="DA72" s="15" t="s">
        <v>160</v>
      </c>
      <c r="DB72" s="15" t="n">
        <v>1000100100</v>
      </c>
      <c r="DC72" s="15" t="n">
        <v>0</v>
      </c>
      <c r="DE72" s="15" t="n">
        <v>8</v>
      </c>
      <c r="DF72" s="15" t="n">
        <v>24</v>
      </c>
      <c r="DG72" s="15" t="n">
        <v>10939.17</v>
      </c>
      <c r="DH72" s="11" t="s">
        <v>161</v>
      </c>
      <c r="DJ72" s="15" t="n">
        <v>0</v>
      </c>
      <c r="DL72" s="15" t="n">
        <f aca="false">+R72</f>
        <v>3.875</v>
      </c>
      <c r="DQ72" s="15" t="n">
        <v>0</v>
      </c>
      <c r="DR72" s="15" t="n">
        <v>100</v>
      </c>
      <c r="DU72" s="15" t="n">
        <v>0</v>
      </c>
      <c r="DV72" s="15" t="n">
        <v>0</v>
      </c>
      <c r="DW72" s="15" t="n">
        <v>0</v>
      </c>
      <c r="DX72" s="15" t="s">
        <v>162</v>
      </c>
      <c r="EH72" s="10" t="s">
        <v>531</v>
      </c>
      <c r="EI72" s="15" t="n">
        <v>3333</v>
      </c>
      <c r="EJ72" s="10" t="s">
        <v>239</v>
      </c>
      <c r="EK72" s="10" t="s">
        <v>305</v>
      </c>
      <c r="EL72" s="10" t="s">
        <v>168</v>
      </c>
      <c r="EM72" s="10" t="s">
        <v>555</v>
      </c>
    </row>
    <row collapsed="false" customFormat="true" customHeight="false" hidden="false" ht="14" outlineLevel="0" r="73" s="15">
      <c r="A73" s="15" t="s">
        <v>516</v>
      </c>
      <c r="B73" s="10" t="s">
        <v>557</v>
      </c>
      <c r="C73" s="10" t="s">
        <v>558</v>
      </c>
      <c r="H73" s="10" t="s">
        <v>460</v>
      </c>
      <c r="I73" s="10" t="s">
        <v>168</v>
      </c>
      <c r="J73" s="10" t="s">
        <v>559</v>
      </c>
      <c r="K73" s="11" t="s">
        <v>560</v>
      </c>
      <c r="L73" s="11"/>
      <c r="M73" s="15" t="n">
        <v>1</v>
      </c>
      <c r="N73" s="15" t="s">
        <v>222</v>
      </c>
      <c r="O73" s="12" t="n">
        <v>402000</v>
      </c>
      <c r="P73" s="12" t="n">
        <v>402000</v>
      </c>
      <c r="Q73" s="15" t="n">
        <v>2010</v>
      </c>
      <c r="R73" s="15" t="n">
        <v>4.875</v>
      </c>
      <c r="S73" s="13" t="n">
        <v>40899</v>
      </c>
      <c r="T73" s="13" t="n">
        <v>40899</v>
      </c>
      <c r="U73" s="18" t="n">
        <v>40940</v>
      </c>
      <c r="V73" s="18" t="n">
        <v>51898</v>
      </c>
      <c r="W73" s="19" t="n">
        <v>0</v>
      </c>
      <c r="X73" s="3" t="n">
        <v>227570</v>
      </c>
      <c r="Y73" s="19"/>
      <c r="Z73" s="15" t="n">
        <v>1</v>
      </c>
      <c r="AB73" s="15" t="s">
        <v>404</v>
      </c>
      <c r="AD73" s="10" t="s">
        <v>460</v>
      </c>
      <c r="AE73" s="10" t="s">
        <v>168</v>
      </c>
      <c r="AF73" s="10" t="s">
        <v>559</v>
      </c>
      <c r="AG73" s="11"/>
      <c r="AH73" s="11"/>
      <c r="AQ73" s="11"/>
      <c r="AT73" s="9" t="s">
        <v>236</v>
      </c>
      <c r="AU73" s="11" t="s">
        <v>237</v>
      </c>
      <c r="AV73" s="15" t="n">
        <v>100</v>
      </c>
      <c r="AW73" s="18" t="n">
        <v>40900</v>
      </c>
      <c r="AX73" s="18" t="n">
        <v>40930</v>
      </c>
      <c r="AZ73" s="15" t="s">
        <v>154</v>
      </c>
      <c r="BA73" s="1" t="n">
        <v>2</v>
      </c>
      <c r="BB73" s="15" t="n">
        <v>35.831</v>
      </c>
      <c r="BC73" s="15" t="n">
        <v>35.831</v>
      </c>
      <c r="BD73" s="15" t="n">
        <v>0</v>
      </c>
      <c r="BE73" s="15" t="n">
        <v>741</v>
      </c>
      <c r="BF73" s="15" t="n">
        <v>360</v>
      </c>
      <c r="BG73" s="15" t="n">
        <v>360</v>
      </c>
      <c r="BH73" s="15" t="s">
        <v>238</v>
      </c>
      <c r="BI73" s="15" t="n">
        <v>1</v>
      </c>
      <c r="BJ73" s="20" t="n">
        <f aca="false">+O73</f>
        <v>402000</v>
      </c>
      <c r="BK73" s="9" t="s">
        <v>510</v>
      </c>
      <c r="BL73" s="15" t="s">
        <v>157</v>
      </c>
      <c r="BM73" s="15" t="n">
        <v>1</v>
      </c>
      <c r="BN73" s="15" t="n">
        <v>56.782254</v>
      </c>
      <c r="BO73" s="15" t="n">
        <v>0</v>
      </c>
      <c r="BP73" s="15" t="n">
        <v>0</v>
      </c>
      <c r="BY73" s="20" t="n">
        <f aca="false">+O73</f>
        <v>402000</v>
      </c>
      <c r="BZ73" s="15" t="n">
        <v>0</v>
      </c>
      <c r="CA73" s="15" t="n">
        <v>0</v>
      </c>
      <c r="CC73" s="15" t="n">
        <v>0</v>
      </c>
      <c r="CD73" s="15" t="n">
        <v>0</v>
      </c>
      <c r="CE73" s="18" t="n">
        <v>40909</v>
      </c>
      <c r="CF73" s="15" t="n">
        <v>1</v>
      </c>
      <c r="CG73" s="15" t="n">
        <v>0</v>
      </c>
      <c r="CH73" s="15" t="n">
        <v>0</v>
      </c>
      <c r="CI73" s="15" t="n">
        <v>0</v>
      </c>
      <c r="CJ73" s="15" t="n">
        <v>0</v>
      </c>
      <c r="CK73" s="15" t="n">
        <v>1</v>
      </c>
      <c r="CL73" s="15" t="n">
        <v>1</v>
      </c>
      <c r="CM73" s="15" t="s">
        <v>176</v>
      </c>
      <c r="CO73" s="15" t="n">
        <v>31</v>
      </c>
      <c r="CQ73" s="15" t="s">
        <v>159</v>
      </c>
      <c r="CS73" s="15" t="n">
        <v>0</v>
      </c>
      <c r="CT73" s="15" t="n">
        <v>0</v>
      </c>
      <c r="CU73" s="15" t="n">
        <v>0</v>
      </c>
      <c r="DA73" s="15" t="s">
        <v>160</v>
      </c>
      <c r="DB73" s="15" t="n">
        <v>1000100100</v>
      </c>
      <c r="DC73" s="15" t="n">
        <v>0</v>
      </c>
      <c r="DE73" s="15" t="n">
        <v>14</v>
      </c>
      <c r="DF73" s="15" t="n">
        <v>21</v>
      </c>
      <c r="DG73" s="15" t="n">
        <v>19900.41</v>
      </c>
      <c r="DH73" s="11" t="s">
        <v>161</v>
      </c>
      <c r="DJ73" s="15" t="n">
        <v>0</v>
      </c>
      <c r="DL73" s="15" t="n">
        <f aca="false">+R73</f>
        <v>4.875</v>
      </c>
      <c r="DQ73" s="15" t="n">
        <v>0</v>
      </c>
      <c r="DR73" s="15" t="n">
        <v>100</v>
      </c>
      <c r="DS73" s="15" t="s">
        <v>224</v>
      </c>
      <c r="DU73" s="15" t="n">
        <v>0</v>
      </c>
      <c r="DV73" s="15" t="n">
        <v>0</v>
      </c>
      <c r="DW73" s="15" t="n">
        <v>0</v>
      </c>
      <c r="DX73" s="15" t="s">
        <v>225</v>
      </c>
      <c r="EH73" s="10" t="s">
        <v>206</v>
      </c>
      <c r="EI73" s="15" t="n">
        <v>2222</v>
      </c>
      <c r="EJ73" s="10" t="s">
        <v>282</v>
      </c>
      <c r="EK73" s="10" t="s">
        <v>460</v>
      </c>
      <c r="EL73" s="10" t="s">
        <v>168</v>
      </c>
      <c r="EM73" s="10" t="s">
        <v>559</v>
      </c>
    </row>
    <row collapsed="false" customFormat="true" customHeight="false" hidden="false" ht="14.9" outlineLevel="0" r="74" s="15">
      <c r="A74" s="15" t="s">
        <v>516</v>
      </c>
      <c r="B74" s="10" t="s">
        <v>561</v>
      </c>
      <c r="C74" s="10" t="s">
        <v>562</v>
      </c>
      <c r="H74" s="10" t="s">
        <v>563</v>
      </c>
      <c r="I74" s="10" t="s">
        <v>200</v>
      </c>
      <c r="J74" s="10" t="s">
        <v>564</v>
      </c>
      <c r="K74" s="11" t="s">
        <v>565</v>
      </c>
      <c r="L74" s="11" t="s">
        <v>268</v>
      </c>
      <c r="M74" s="15" t="n">
        <v>1</v>
      </c>
      <c r="N74" s="15" t="s">
        <v>222</v>
      </c>
      <c r="O74" s="12" t="n">
        <v>862500</v>
      </c>
      <c r="P74" s="12" t="n">
        <v>862500</v>
      </c>
      <c r="Q74" s="15" t="n">
        <v>4312.5</v>
      </c>
      <c r="R74" s="15" t="n">
        <v>4.375</v>
      </c>
      <c r="S74" s="13" t="n">
        <v>40899</v>
      </c>
      <c r="T74" s="13" t="n">
        <v>40899</v>
      </c>
      <c r="U74" s="18" t="n">
        <v>40940</v>
      </c>
      <c r="V74" s="18" t="n">
        <v>51898</v>
      </c>
      <c r="W74" s="19" t="n">
        <v>0</v>
      </c>
      <c r="X74" s="3" t="n">
        <v>471977</v>
      </c>
      <c r="Y74" s="19"/>
      <c r="Z74" s="15" t="n">
        <v>1</v>
      </c>
      <c r="AB74" s="15" t="s">
        <v>404</v>
      </c>
      <c r="AD74" s="10" t="s">
        <v>563</v>
      </c>
      <c r="AE74" s="10" t="s">
        <v>200</v>
      </c>
      <c r="AF74" s="10" t="s">
        <v>564</v>
      </c>
      <c r="AG74" s="11"/>
      <c r="AH74" s="11"/>
      <c r="AQ74" s="11"/>
      <c r="AT74" s="9" t="s">
        <v>236</v>
      </c>
      <c r="AU74" s="11" t="s">
        <v>237</v>
      </c>
      <c r="AV74" s="15" t="n">
        <v>100</v>
      </c>
      <c r="AW74" s="18" t="n">
        <v>40900</v>
      </c>
      <c r="AX74" s="18" t="n">
        <v>40930</v>
      </c>
      <c r="AZ74" s="15" t="s">
        <v>271</v>
      </c>
      <c r="BA74" s="1" t="n">
        <v>1</v>
      </c>
      <c r="BB74" s="15" t="n">
        <v>81.698</v>
      </c>
      <c r="BC74" s="15" t="n">
        <v>81.698</v>
      </c>
      <c r="BD74" s="15" t="n">
        <v>0</v>
      </c>
      <c r="BE74" s="15" t="n">
        <v>809</v>
      </c>
      <c r="BF74" s="15" t="n">
        <v>360</v>
      </c>
      <c r="BG74" s="15" t="n">
        <v>360</v>
      </c>
      <c r="BH74" s="15" t="s">
        <v>238</v>
      </c>
      <c r="BI74" s="15" t="n">
        <v>1</v>
      </c>
      <c r="BJ74" s="20" t="n">
        <f aca="false">+O74</f>
        <v>862500</v>
      </c>
      <c r="BK74" s="9" t="s">
        <v>510</v>
      </c>
      <c r="BL74" s="15" t="s">
        <v>157</v>
      </c>
      <c r="BM74" s="15" t="n">
        <v>1</v>
      </c>
      <c r="BN74" s="15" t="n">
        <v>29.360949</v>
      </c>
      <c r="BO74" s="15" t="n">
        <v>1</v>
      </c>
      <c r="BP74" s="15" t="n">
        <v>0</v>
      </c>
      <c r="BY74" s="20" t="n">
        <f aca="false">+O74</f>
        <v>862500</v>
      </c>
      <c r="BZ74" s="15" t="n">
        <v>0</v>
      </c>
      <c r="CA74" s="15" t="n">
        <v>0</v>
      </c>
      <c r="CC74" s="15" t="n">
        <v>0</v>
      </c>
      <c r="CD74" s="15" t="n">
        <v>0</v>
      </c>
      <c r="CE74" s="18" t="n">
        <v>40909</v>
      </c>
      <c r="CF74" s="15" t="n">
        <v>1</v>
      </c>
      <c r="CG74" s="15" t="n">
        <v>0</v>
      </c>
      <c r="CH74" s="15" t="n">
        <v>0</v>
      </c>
      <c r="CI74" s="15" t="n">
        <v>0</v>
      </c>
      <c r="CJ74" s="15" t="n">
        <v>0</v>
      </c>
      <c r="CK74" s="15" t="n">
        <v>1</v>
      </c>
      <c r="CL74" s="15" t="n">
        <v>1</v>
      </c>
      <c r="CM74" s="15" t="s">
        <v>176</v>
      </c>
      <c r="CO74" s="15" t="n">
        <v>27</v>
      </c>
      <c r="CQ74" s="15" t="s">
        <v>159</v>
      </c>
      <c r="CS74" s="15" t="n">
        <v>0</v>
      </c>
      <c r="CT74" s="15" t="n">
        <v>0</v>
      </c>
      <c r="CU74" s="15" t="n">
        <v>0</v>
      </c>
      <c r="DA74" s="15" t="s">
        <v>160</v>
      </c>
      <c r="DB74" s="15" t="n">
        <v>1000100100</v>
      </c>
      <c r="DC74" s="15" t="n">
        <v>0</v>
      </c>
      <c r="DE74" s="15" t="n">
        <v>2</v>
      </c>
      <c r="DF74" s="15" t="n">
        <v>15</v>
      </c>
      <c r="DG74" s="15" t="n">
        <v>20808.22</v>
      </c>
      <c r="DH74" s="11" t="s">
        <v>161</v>
      </c>
      <c r="DJ74" s="15" t="n">
        <v>0</v>
      </c>
      <c r="DL74" s="15" t="n">
        <f aca="false">+R74</f>
        <v>4.375</v>
      </c>
      <c r="DQ74" s="15" t="n">
        <v>0</v>
      </c>
      <c r="DR74" s="15" t="n">
        <v>100</v>
      </c>
      <c r="DS74" s="15" t="s">
        <v>224</v>
      </c>
      <c r="DU74" s="15" t="n">
        <v>0</v>
      </c>
      <c r="DV74" s="15" t="n">
        <v>0</v>
      </c>
      <c r="DW74" s="15" t="n">
        <v>0</v>
      </c>
      <c r="DX74" s="15" t="s">
        <v>225</v>
      </c>
      <c r="EH74" s="10" t="s">
        <v>531</v>
      </c>
      <c r="EI74" s="15" t="n">
        <v>3333</v>
      </c>
      <c r="EJ74" s="10" t="s">
        <v>536</v>
      </c>
      <c r="EK74" s="10" t="s">
        <v>563</v>
      </c>
      <c r="EL74" s="10" t="s">
        <v>200</v>
      </c>
      <c r="EM74" s="10" t="s">
        <v>564</v>
      </c>
    </row>
    <row collapsed="false" customFormat="true" customHeight="false" hidden="false" ht="14.9" outlineLevel="0" r="75" s="15">
      <c r="A75" s="15" t="s">
        <v>516</v>
      </c>
      <c r="B75" s="10" t="s">
        <v>566</v>
      </c>
      <c r="C75" s="10" t="s">
        <v>567</v>
      </c>
      <c r="H75" s="10" t="s">
        <v>568</v>
      </c>
      <c r="I75" s="10" t="s">
        <v>168</v>
      </c>
      <c r="J75" s="10" t="s">
        <v>569</v>
      </c>
      <c r="K75" s="11" t="s">
        <v>570</v>
      </c>
      <c r="L75" s="11"/>
      <c r="M75" s="15" t="n">
        <v>1</v>
      </c>
      <c r="N75" s="15" t="s">
        <v>194</v>
      </c>
      <c r="O75" s="12" t="n">
        <v>248535</v>
      </c>
      <c r="P75" s="12" t="n">
        <v>248535</v>
      </c>
      <c r="Q75" s="15" t="n">
        <v>1242.675</v>
      </c>
      <c r="R75" s="15" t="n">
        <v>4.25</v>
      </c>
      <c r="S75" s="13" t="n">
        <v>40899</v>
      </c>
      <c r="T75" s="13" t="n">
        <v>40899</v>
      </c>
      <c r="U75" s="18" t="n">
        <v>40940</v>
      </c>
      <c r="V75" s="18" t="n">
        <v>50072</v>
      </c>
      <c r="W75" s="19" t="n">
        <v>0</v>
      </c>
      <c r="X75" s="3" t="n">
        <v>233465</v>
      </c>
      <c r="Y75" s="19"/>
      <c r="Z75" s="15" t="n">
        <v>1</v>
      </c>
      <c r="AB75" s="15" t="s">
        <v>404</v>
      </c>
      <c r="AD75" s="10" t="s">
        <v>568</v>
      </c>
      <c r="AE75" s="10" t="s">
        <v>168</v>
      </c>
      <c r="AF75" s="10" t="s">
        <v>569</v>
      </c>
      <c r="AG75" s="11"/>
      <c r="AH75" s="11"/>
      <c r="AQ75" s="11"/>
      <c r="AT75" s="21" t="s">
        <v>364</v>
      </c>
      <c r="AU75" s="11" t="s">
        <v>365</v>
      </c>
      <c r="AV75" s="15" t="n">
        <v>100</v>
      </c>
      <c r="AW75" s="18" t="n">
        <v>40900</v>
      </c>
      <c r="AX75" s="18" t="n">
        <v>40930</v>
      </c>
      <c r="AZ75" s="15" t="s">
        <v>154</v>
      </c>
      <c r="BA75" s="1" t="n">
        <v>2</v>
      </c>
      <c r="BB75" s="15" t="n">
        <v>19.776</v>
      </c>
      <c r="BC75" s="15" t="n">
        <v>19.776</v>
      </c>
      <c r="BD75" s="15" t="n">
        <v>0</v>
      </c>
      <c r="BE75" s="15" t="n">
        <v>713</v>
      </c>
      <c r="BF75" s="15" t="n">
        <v>300</v>
      </c>
      <c r="BG75" s="15" t="n">
        <v>300</v>
      </c>
      <c r="BH75" s="15" t="s">
        <v>155</v>
      </c>
      <c r="BI75" s="15" t="n">
        <v>1</v>
      </c>
      <c r="BJ75" s="20" t="n">
        <f aca="false">+O75</f>
        <v>248535</v>
      </c>
      <c r="BK75" s="9" t="s">
        <v>510</v>
      </c>
      <c r="BL75" s="15" t="s">
        <v>157</v>
      </c>
      <c r="BM75" s="15" t="n">
        <v>1</v>
      </c>
      <c r="BN75" s="15" t="n">
        <v>48.18622</v>
      </c>
      <c r="BO75" s="15" t="n">
        <v>1</v>
      </c>
      <c r="BP75" s="15" t="n">
        <v>0</v>
      </c>
      <c r="BY75" s="20" t="n">
        <f aca="false">+O75</f>
        <v>248535</v>
      </c>
      <c r="BZ75" s="15" t="n">
        <v>0</v>
      </c>
      <c r="CA75" s="15" t="n">
        <v>0</v>
      </c>
      <c r="CC75" s="15" t="n">
        <v>0</v>
      </c>
      <c r="CD75" s="15" t="n">
        <v>0</v>
      </c>
      <c r="CE75" s="18" t="n">
        <v>40909</v>
      </c>
      <c r="CF75" s="15" t="n">
        <v>1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1</v>
      </c>
      <c r="CL75" s="15" t="n">
        <v>1</v>
      </c>
      <c r="CM75" s="15" t="s">
        <v>176</v>
      </c>
      <c r="CO75" s="15" t="n">
        <v>31</v>
      </c>
      <c r="CQ75" s="15" t="s">
        <v>159</v>
      </c>
      <c r="CS75" s="15" t="n">
        <v>0</v>
      </c>
      <c r="CT75" s="15" t="n">
        <v>0</v>
      </c>
      <c r="CU75" s="15" t="n">
        <v>0</v>
      </c>
      <c r="DA75" s="15" t="s">
        <v>160</v>
      </c>
      <c r="DB75" s="15" t="n">
        <v>1000100100</v>
      </c>
      <c r="DC75" s="15" t="n">
        <v>0</v>
      </c>
      <c r="DE75" s="15" t="n">
        <v>6</v>
      </c>
      <c r="DF75" s="15" t="n">
        <v>2</v>
      </c>
      <c r="DG75" s="15" t="n">
        <v>2641.44</v>
      </c>
      <c r="DH75" s="11" t="s">
        <v>161</v>
      </c>
      <c r="DJ75" s="15" t="n">
        <v>0</v>
      </c>
      <c r="DL75" s="15" t="n">
        <f aca="false">+R75</f>
        <v>4.25</v>
      </c>
      <c r="DQ75" s="15" t="n">
        <v>0</v>
      </c>
      <c r="DR75" s="15" t="n">
        <v>100</v>
      </c>
      <c r="DU75" s="15" t="n">
        <v>0</v>
      </c>
      <c r="DV75" s="15" t="n">
        <v>0</v>
      </c>
      <c r="DW75" s="15" t="n">
        <v>0</v>
      </c>
      <c r="DX75" s="15" t="s">
        <v>162</v>
      </c>
      <c r="EH75" s="10" t="s">
        <v>206</v>
      </c>
      <c r="EI75" s="15" t="n">
        <v>2222</v>
      </c>
      <c r="EJ75" s="10" t="s">
        <v>289</v>
      </c>
      <c r="EK75" s="10" t="s">
        <v>568</v>
      </c>
      <c r="EL75" s="10" t="s">
        <v>168</v>
      </c>
      <c r="EM75" s="10" t="s">
        <v>569</v>
      </c>
    </row>
    <row collapsed="false" customFormat="true" customHeight="false" hidden="false" ht="14.9" outlineLevel="0" r="76" s="15">
      <c r="A76" s="15" t="s">
        <v>516</v>
      </c>
      <c r="B76" s="10" t="s">
        <v>571</v>
      </c>
      <c r="C76" s="10" t="s">
        <v>572</v>
      </c>
      <c r="H76" s="10" t="s">
        <v>305</v>
      </c>
      <c r="I76" s="10" t="s">
        <v>168</v>
      </c>
      <c r="J76" s="10" t="s">
        <v>573</v>
      </c>
      <c r="K76" s="11" t="s">
        <v>574</v>
      </c>
      <c r="L76" s="11"/>
      <c r="M76" s="15" t="n">
        <v>1</v>
      </c>
      <c r="N76" s="15" t="s">
        <v>204</v>
      </c>
      <c r="O76" s="12" t="n">
        <v>172000</v>
      </c>
      <c r="P76" s="12" t="n">
        <v>172000</v>
      </c>
      <c r="Q76" s="15" t="n">
        <v>860</v>
      </c>
      <c r="R76" s="15" t="n">
        <v>4.99</v>
      </c>
      <c r="S76" s="13" t="n">
        <v>40899</v>
      </c>
      <c r="T76" s="13" t="n">
        <v>40899</v>
      </c>
      <c r="U76" s="18" t="n">
        <v>40940</v>
      </c>
      <c r="V76" s="18" t="n">
        <v>51898</v>
      </c>
      <c r="W76" s="19" t="n">
        <v>0</v>
      </c>
      <c r="X76" s="3" t="n">
        <v>146018</v>
      </c>
      <c r="Y76" s="19"/>
      <c r="Z76" s="15" t="n">
        <v>1</v>
      </c>
      <c r="AB76" s="15" t="s">
        <v>404</v>
      </c>
      <c r="AD76" s="10" t="s">
        <v>305</v>
      </c>
      <c r="AE76" s="10" t="s">
        <v>168</v>
      </c>
      <c r="AF76" s="10" t="s">
        <v>573</v>
      </c>
      <c r="AG76" s="11"/>
      <c r="AH76" s="11"/>
      <c r="AQ76" s="11"/>
      <c r="AT76" s="15" t="s">
        <v>195</v>
      </c>
      <c r="AU76" s="11" t="n">
        <v>12333333</v>
      </c>
      <c r="AV76" s="15" t="n">
        <v>100</v>
      </c>
      <c r="AW76" s="18" t="n">
        <v>40900</v>
      </c>
      <c r="AX76" s="18" t="n">
        <v>40930</v>
      </c>
      <c r="AZ76" s="15" t="s">
        <v>154</v>
      </c>
      <c r="BA76" s="1" t="n">
        <v>2</v>
      </c>
      <c r="BB76" s="15" t="n">
        <v>93.32</v>
      </c>
      <c r="BC76" s="15" t="n">
        <v>93.32</v>
      </c>
      <c r="BD76" s="15" t="n">
        <v>0</v>
      </c>
      <c r="BE76" s="15" t="n">
        <v>735</v>
      </c>
      <c r="BF76" s="15" t="n">
        <v>360</v>
      </c>
      <c r="BG76" s="15" t="n">
        <v>360</v>
      </c>
      <c r="BH76" s="15" t="s">
        <v>173</v>
      </c>
      <c r="BI76" s="15" t="n">
        <v>1</v>
      </c>
      <c r="BJ76" s="20" t="n">
        <f aca="false">+O76</f>
        <v>172000</v>
      </c>
      <c r="BK76" s="9" t="s">
        <v>510</v>
      </c>
      <c r="BL76" s="15" t="s">
        <v>157</v>
      </c>
      <c r="BM76" s="15" t="n">
        <v>1</v>
      </c>
      <c r="BN76" s="15" t="n">
        <v>46.50168</v>
      </c>
      <c r="BO76" s="15" t="n">
        <v>0</v>
      </c>
      <c r="BP76" s="15" t="n">
        <v>0</v>
      </c>
      <c r="BY76" s="20" t="n">
        <f aca="false">+O76</f>
        <v>172000</v>
      </c>
      <c r="BZ76" s="15" t="n">
        <v>0</v>
      </c>
      <c r="CA76" s="15" t="n">
        <v>0</v>
      </c>
      <c r="CC76" s="15" t="n">
        <v>0</v>
      </c>
      <c r="CD76" s="15" t="n">
        <v>0</v>
      </c>
      <c r="CE76" s="18" t="n">
        <v>40909</v>
      </c>
      <c r="CF76" s="15" t="n">
        <v>1</v>
      </c>
      <c r="CG76" s="15" t="n">
        <v>0</v>
      </c>
      <c r="CH76" s="15" t="n">
        <v>0</v>
      </c>
      <c r="CI76" s="15" t="n">
        <v>0</v>
      </c>
      <c r="CJ76" s="15" t="n">
        <v>0</v>
      </c>
      <c r="CK76" s="15" t="n">
        <v>1</v>
      </c>
      <c r="CL76" s="15" t="n">
        <v>1</v>
      </c>
      <c r="CM76" s="15" t="s">
        <v>176</v>
      </c>
      <c r="CO76" s="15" t="n">
        <v>49</v>
      </c>
      <c r="CQ76" s="15" t="s">
        <v>159</v>
      </c>
      <c r="CS76" s="15" t="n">
        <v>0</v>
      </c>
      <c r="CT76" s="15" t="n">
        <v>0</v>
      </c>
      <c r="CU76" s="15" t="n">
        <v>0</v>
      </c>
      <c r="DA76" s="15" t="s">
        <v>160</v>
      </c>
      <c r="DB76" s="15" t="n">
        <v>1000100100</v>
      </c>
      <c r="DC76" s="15" t="n">
        <v>0</v>
      </c>
      <c r="DE76" s="15" t="n">
        <v>7</v>
      </c>
      <c r="DF76" s="15" t="n">
        <v>15</v>
      </c>
      <c r="DG76" s="15" t="n">
        <v>35251.64</v>
      </c>
      <c r="DH76" s="11" t="s">
        <v>161</v>
      </c>
      <c r="DJ76" s="15" t="n">
        <v>0</v>
      </c>
      <c r="DL76" s="15" t="n">
        <f aca="false">+R76</f>
        <v>4.99</v>
      </c>
      <c r="DQ76" s="15" t="n">
        <v>0</v>
      </c>
      <c r="DR76" s="15" t="n">
        <v>100</v>
      </c>
      <c r="DU76" s="15" t="n">
        <v>0</v>
      </c>
      <c r="DV76" s="15" t="n">
        <v>0</v>
      </c>
      <c r="DW76" s="15" t="n">
        <v>0</v>
      </c>
      <c r="DX76" s="15" t="s">
        <v>162</v>
      </c>
      <c r="EH76" s="10" t="s">
        <v>297</v>
      </c>
      <c r="EI76" s="15" t="n">
        <v>123456</v>
      </c>
      <c r="EJ76" s="10" t="s">
        <v>547</v>
      </c>
      <c r="EK76" s="10" t="s">
        <v>305</v>
      </c>
      <c r="EL76" s="10" t="s">
        <v>168</v>
      </c>
      <c r="EM76" s="10" t="s">
        <v>573</v>
      </c>
    </row>
    <row collapsed="false" customFormat="true" customHeight="false" hidden="false" ht="14.9" outlineLevel="0" r="77" s="15">
      <c r="A77" s="15" t="s">
        <v>516</v>
      </c>
      <c r="B77" s="10" t="s">
        <v>575</v>
      </c>
      <c r="C77" s="10" t="s">
        <v>576</v>
      </c>
      <c r="H77" s="10" t="s">
        <v>305</v>
      </c>
      <c r="I77" s="10" t="s">
        <v>168</v>
      </c>
      <c r="J77" s="10" t="s">
        <v>577</v>
      </c>
      <c r="K77" s="11" t="s">
        <v>578</v>
      </c>
      <c r="L77" s="11"/>
      <c r="M77" s="15" t="n">
        <v>1</v>
      </c>
      <c r="N77" s="15" t="s">
        <v>211</v>
      </c>
      <c r="O77" s="12" t="n">
        <v>100000</v>
      </c>
      <c r="P77" s="12" t="n">
        <v>100000</v>
      </c>
      <c r="Q77" s="15" t="n">
        <v>500</v>
      </c>
      <c r="R77" s="15" t="n">
        <v>4.99</v>
      </c>
      <c r="S77" s="13" t="n">
        <v>40899</v>
      </c>
      <c r="T77" s="13" t="n">
        <v>40899</v>
      </c>
      <c r="U77" s="18" t="n">
        <v>40940</v>
      </c>
      <c r="V77" s="18" t="n">
        <v>51898</v>
      </c>
      <c r="W77" s="19" t="n">
        <v>1</v>
      </c>
      <c r="X77" s="3" t="n">
        <v>9452</v>
      </c>
      <c r="Y77" s="19"/>
      <c r="Z77" s="15" t="n">
        <v>1</v>
      </c>
      <c r="AB77" s="15" t="s">
        <v>404</v>
      </c>
      <c r="AD77" s="10" t="s">
        <v>305</v>
      </c>
      <c r="AE77" s="10" t="s">
        <v>168</v>
      </c>
      <c r="AF77" s="10" t="s">
        <v>577</v>
      </c>
      <c r="AG77" s="11"/>
      <c r="AH77" s="11"/>
      <c r="AQ77" s="11"/>
      <c r="AT77" s="15" t="s">
        <v>195</v>
      </c>
      <c r="AU77" s="11" t="n">
        <v>12333333</v>
      </c>
      <c r="AV77" s="15" t="n">
        <v>100</v>
      </c>
      <c r="AW77" s="18" t="n">
        <v>40900</v>
      </c>
      <c r="AX77" s="18" t="n">
        <v>40930</v>
      </c>
      <c r="AZ77" s="15" t="s">
        <v>154</v>
      </c>
      <c r="BA77" s="1" t="n">
        <v>2</v>
      </c>
      <c r="BB77" s="15" t="n">
        <v>88.915</v>
      </c>
      <c r="BC77" s="15" t="n">
        <v>88.915</v>
      </c>
      <c r="BD77" s="15" t="n">
        <v>0</v>
      </c>
      <c r="BE77" s="15" t="n">
        <v>773</v>
      </c>
      <c r="BF77" s="15" t="n">
        <v>360</v>
      </c>
      <c r="BG77" s="15" t="n">
        <v>360</v>
      </c>
      <c r="BH77" s="15" t="s">
        <v>238</v>
      </c>
      <c r="BI77" s="15" t="n">
        <v>1</v>
      </c>
      <c r="BJ77" s="20" t="n">
        <f aca="false">+O77</f>
        <v>100000</v>
      </c>
      <c r="BK77" s="9" t="s">
        <v>510</v>
      </c>
      <c r="BL77" s="15" t="s">
        <v>174</v>
      </c>
      <c r="BM77" s="15" t="n">
        <v>1</v>
      </c>
      <c r="BN77" s="15" t="n">
        <v>33.272985</v>
      </c>
      <c r="BO77" s="15" t="n">
        <v>1</v>
      </c>
      <c r="BP77" s="15" t="n">
        <v>2</v>
      </c>
      <c r="BQ77" s="15" t="s">
        <v>223</v>
      </c>
      <c r="BR77" s="15" t="n">
        <v>3.875</v>
      </c>
      <c r="BS77" s="18" t="n">
        <v>41974</v>
      </c>
      <c r="BT77" s="15" t="n">
        <v>1</v>
      </c>
      <c r="BU77" s="15" t="n">
        <v>12</v>
      </c>
      <c r="BV77" s="15" t="n">
        <v>1</v>
      </c>
      <c r="BW77" s="15" t="n">
        <v>5</v>
      </c>
      <c r="BX77" s="15" t="n">
        <v>2</v>
      </c>
      <c r="BY77" s="20" t="n">
        <f aca="false">+O77</f>
        <v>100000</v>
      </c>
      <c r="BZ77" s="15" t="n">
        <v>0</v>
      </c>
      <c r="CA77" s="15" t="n">
        <v>0</v>
      </c>
      <c r="CC77" s="15" t="n">
        <v>0</v>
      </c>
      <c r="CD77" s="15" t="n">
        <v>0</v>
      </c>
      <c r="CE77" s="18" t="n">
        <v>40909</v>
      </c>
      <c r="CF77" s="15" t="n">
        <v>1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1</v>
      </c>
      <c r="CL77" s="15" t="n">
        <v>1</v>
      </c>
      <c r="CM77" s="15" t="s">
        <v>176</v>
      </c>
      <c r="CO77" s="15" t="n">
        <v>45</v>
      </c>
      <c r="CQ77" s="15" t="s">
        <v>159</v>
      </c>
      <c r="CS77" s="15" t="n">
        <v>0</v>
      </c>
      <c r="CT77" s="15" t="n">
        <v>0</v>
      </c>
      <c r="CU77" s="15" t="n">
        <v>0</v>
      </c>
      <c r="DA77" s="15" t="s">
        <v>160</v>
      </c>
      <c r="DB77" s="15" t="n">
        <v>1000100100</v>
      </c>
      <c r="DC77" s="15" t="n">
        <v>0</v>
      </c>
      <c r="DD77" s="15" t="n">
        <v>30</v>
      </c>
      <c r="DE77" s="15" t="n">
        <v>4</v>
      </c>
      <c r="DF77" s="15" t="n">
        <v>0</v>
      </c>
      <c r="DG77" s="15" t="n">
        <v>196.04</v>
      </c>
      <c r="DH77" s="11" t="s">
        <v>161</v>
      </c>
      <c r="DJ77" s="15" t="n">
        <v>0</v>
      </c>
      <c r="DL77" s="15" t="n">
        <f aca="false">+R77</f>
        <v>4.99</v>
      </c>
      <c r="DM77" s="15" t="n">
        <v>1</v>
      </c>
      <c r="DN77" s="15" t="n">
        <v>0</v>
      </c>
      <c r="DO77" s="15" t="n">
        <v>0</v>
      </c>
      <c r="DP77" s="15" t="n">
        <v>0</v>
      </c>
      <c r="DQ77" s="15" t="n">
        <v>0</v>
      </c>
      <c r="DR77" s="15" t="n">
        <v>100</v>
      </c>
      <c r="DT77" s="15" t="n">
        <v>8.875</v>
      </c>
      <c r="DU77" s="15" t="n">
        <v>0</v>
      </c>
      <c r="DV77" s="15" t="n">
        <v>0</v>
      </c>
      <c r="DW77" s="15" t="n">
        <v>0</v>
      </c>
      <c r="DX77" s="15" t="s">
        <v>162</v>
      </c>
      <c r="EH77" s="10" t="s">
        <v>520</v>
      </c>
      <c r="EI77" s="15" t="n">
        <v>5555</v>
      </c>
      <c r="EJ77" s="10" t="s">
        <v>282</v>
      </c>
      <c r="EK77" s="10" t="s">
        <v>305</v>
      </c>
      <c r="EL77" s="10" t="s">
        <v>168</v>
      </c>
      <c r="EM77" s="10" t="s">
        <v>577</v>
      </c>
    </row>
    <row collapsed="false" customFormat="true" customHeight="false" hidden="false" ht="14.9" outlineLevel="0" r="78" s="15">
      <c r="A78" s="15" t="s">
        <v>516</v>
      </c>
      <c r="B78" s="10" t="s">
        <v>579</v>
      </c>
      <c r="C78" s="10" t="s">
        <v>580</v>
      </c>
      <c r="H78" s="10" t="s">
        <v>581</v>
      </c>
      <c r="I78" s="10" t="s">
        <v>200</v>
      </c>
      <c r="J78" s="10" t="s">
        <v>582</v>
      </c>
      <c r="K78" s="11" t="s">
        <v>583</v>
      </c>
      <c r="L78" s="11"/>
      <c r="M78" s="15" t="n">
        <v>1</v>
      </c>
      <c r="N78" s="15" t="s">
        <v>150</v>
      </c>
      <c r="O78" s="12" t="n">
        <v>485300</v>
      </c>
      <c r="P78" s="12" t="n">
        <v>485300</v>
      </c>
      <c r="Q78" s="15" t="n">
        <v>2426.5</v>
      </c>
      <c r="R78" s="15" t="n">
        <v>5.875</v>
      </c>
      <c r="S78" s="13" t="n">
        <v>40899</v>
      </c>
      <c r="T78" s="13" t="n">
        <v>40899</v>
      </c>
      <c r="U78" s="18" t="n">
        <v>40940</v>
      </c>
      <c r="V78" s="18" t="n">
        <v>44593</v>
      </c>
      <c r="W78" s="19" t="n">
        <v>0</v>
      </c>
      <c r="X78" s="3" t="n">
        <v>214210</v>
      </c>
      <c r="Y78" s="19"/>
      <c r="Z78" s="15" t="n">
        <v>1</v>
      </c>
      <c r="AB78" s="15" t="s">
        <v>584</v>
      </c>
      <c r="AD78" s="10" t="s">
        <v>581</v>
      </c>
      <c r="AE78" s="10" t="s">
        <v>200</v>
      </c>
      <c r="AF78" s="10" t="s">
        <v>582</v>
      </c>
      <c r="AG78" s="11"/>
      <c r="AH78" s="11"/>
      <c r="AQ78" s="11"/>
      <c r="AT78" s="15" t="s">
        <v>195</v>
      </c>
      <c r="AU78" s="11" t="n">
        <v>12333333</v>
      </c>
      <c r="AV78" s="15" t="n">
        <v>100</v>
      </c>
      <c r="AW78" s="18" t="n">
        <v>40900</v>
      </c>
      <c r="AX78" s="18" t="n">
        <v>40930</v>
      </c>
      <c r="AZ78" s="15" t="s">
        <v>154</v>
      </c>
      <c r="BA78" s="1" t="n">
        <v>1</v>
      </c>
      <c r="BB78" s="15" t="n">
        <v>96.498</v>
      </c>
      <c r="BC78" s="15" t="n">
        <v>96.498</v>
      </c>
      <c r="BD78" s="15" t="n">
        <v>0</v>
      </c>
      <c r="BE78" s="15" t="n">
        <v>752</v>
      </c>
      <c r="BF78" s="15" t="n">
        <v>120</v>
      </c>
      <c r="BG78" s="15" t="n">
        <v>120</v>
      </c>
      <c r="BH78" s="15" t="s">
        <v>238</v>
      </c>
      <c r="BI78" s="15" t="n">
        <v>1</v>
      </c>
      <c r="BJ78" s="20" t="n">
        <f aca="false">+O78</f>
        <v>485300</v>
      </c>
      <c r="BK78" s="9" t="s">
        <v>510</v>
      </c>
      <c r="BL78" s="15" t="s">
        <v>157</v>
      </c>
      <c r="BM78" s="15" t="n">
        <v>3</v>
      </c>
      <c r="BN78" s="15" t="n">
        <v>56.782254</v>
      </c>
      <c r="BO78" s="15" t="n">
        <v>0</v>
      </c>
      <c r="BP78" s="15" t="n">
        <v>0</v>
      </c>
      <c r="BY78" s="20" t="n">
        <f aca="false">+O78</f>
        <v>485300</v>
      </c>
      <c r="BZ78" s="15" t="n">
        <v>0</v>
      </c>
      <c r="CA78" s="15" t="n">
        <v>0</v>
      </c>
      <c r="CC78" s="15" t="n">
        <v>0</v>
      </c>
      <c r="CD78" s="15" t="n">
        <v>0</v>
      </c>
      <c r="CE78" s="18" t="n">
        <v>40909</v>
      </c>
      <c r="CF78" s="15" t="n">
        <v>1</v>
      </c>
      <c r="CG78" s="15" t="n">
        <v>0</v>
      </c>
      <c r="CH78" s="15" t="n">
        <v>0</v>
      </c>
      <c r="CI78" s="15" t="n">
        <v>0</v>
      </c>
      <c r="CJ78" s="15" t="n">
        <v>0</v>
      </c>
      <c r="CK78" s="15" t="n">
        <v>1</v>
      </c>
      <c r="CL78" s="15" t="n">
        <v>1</v>
      </c>
      <c r="CM78" s="15" t="s">
        <v>176</v>
      </c>
      <c r="CO78" s="15" t="n">
        <v>46</v>
      </c>
      <c r="CQ78" s="15" t="s">
        <v>159</v>
      </c>
      <c r="CS78" s="15" t="n">
        <v>0</v>
      </c>
      <c r="CT78" s="15" t="n">
        <v>0</v>
      </c>
      <c r="CU78" s="15" t="n">
        <v>0</v>
      </c>
      <c r="DA78" s="15" t="s">
        <v>160</v>
      </c>
      <c r="DB78" s="15" t="n">
        <v>1000100100</v>
      </c>
      <c r="DC78" s="15" t="n">
        <v>0</v>
      </c>
      <c r="DE78" s="15" t="n">
        <v>4</v>
      </c>
      <c r="DF78" s="15" t="n">
        <v>87</v>
      </c>
      <c r="DG78" s="15" t="n">
        <v>148993.24</v>
      </c>
      <c r="DH78" s="11" t="s">
        <v>161</v>
      </c>
      <c r="DJ78" s="15" t="n">
        <v>0</v>
      </c>
      <c r="DL78" s="15" t="n">
        <f aca="false">+R78</f>
        <v>5.875</v>
      </c>
      <c r="DQ78" s="15" t="n">
        <v>0</v>
      </c>
      <c r="DR78" s="15" t="n">
        <v>100</v>
      </c>
      <c r="DU78" s="15" t="n">
        <v>0</v>
      </c>
      <c r="DV78" s="15" t="n">
        <v>0</v>
      </c>
      <c r="DW78" s="15" t="n">
        <v>0</v>
      </c>
      <c r="DX78" s="15" t="s">
        <v>162</v>
      </c>
      <c r="EH78" s="10" t="s">
        <v>206</v>
      </c>
      <c r="EI78" s="15" t="n">
        <v>2222</v>
      </c>
      <c r="EJ78" s="10" t="s">
        <v>536</v>
      </c>
      <c r="EK78" s="10" t="s">
        <v>581</v>
      </c>
      <c r="EL78" s="10" t="s">
        <v>200</v>
      </c>
      <c r="EM78" s="10" t="s">
        <v>582</v>
      </c>
    </row>
    <row collapsed="false" customFormat="true" customHeight="false" hidden="false" ht="14.9" outlineLevel="0" r="79" s="15">
      <c r="A79" s="15" t="s">
        <v>516</v>
      </c>
      <c r="B79" s="10" t="s">
        <v>585</v>
      </c>
      <c r="C79" s="10" t="s">
        <v>586</v>
      </c>
      <c r="H79" s="10" t="s">
        <v>587</v>
      </c>
      <c r="I79" s="10" t="s">
        <v>168</v>
      </c>
      <c r="J79" s="10" t="s">
        <v>588</v>
      </c>
      <c r="K79" s="11" t="s">
        <v>589</v>
      </c>
      <c r="L79" s="11"/>
      <c r="M79" s="15" t="n">
        <v>1</v>
      </c>
      <c r="N79" s="15" t="s">
        <v>172</v>
      </c>
      <c r="O79" s="12" t="n">
        <v>166000</v>
      </c>
      <c r="P79" s="12" t="n">
        <v>166000</v>
      </c>
      <c r="Q79" s="15" t="n">
        <v>830</v>
      </c>
      <c r="R79" s="15" t="n">
        <v>3.5</v>
      </c>
      <c r="S79" s="13" t="n">
        <v>40899</v>
      </c>
      <c r="T79" s="13" t="n">
        <v>40899</v>
      </c>
      <c r="U79" s="18" t="n">
        <v>40940</v>
      </c>
      <c r="V79" s="18" t="n">
        <v>46419</v>
      </c>
      <c r="W79" s="19" t="n">
        <v>0</v>
      </c>
      <c r="X79" s="3" t="n">
        <v>90430</v>
      </c>
      <c r="Y79" s="19"/>
      <c r="Z79" s="15" t="n">
        <v>1</v>
      </c>
      <c r="AB79" s="15" t="s">
        <v>584</v>
      </c>
      <c r="AD79" s="10" t="s">
        <v>587</v>
      </c>
      <c r="AE79" s="10" t="s">
        <v>168</v>
      </c>
      <c r="AF79" s="10" t="s">
        <v>588</v>
      </c>
      <c r="AG79" s="11"/>
      <c r="AH79" s="11"/>
      <c r="AQ79" s="11"/>
      <c r="AT79" s="21" t="s">
        <v>364</v>
      </c>
      <c r="AU79" s="11" t="s">
        <v>365</v>
      </c>
      <c r="AV79" s="15" t="n">
        <v>100</v>
      </c>
      <c r="AW79" s="18" t="n">
        <v>40900</v>
      </c>
      <c r="AX79" s="18" t="n">
        <v>40930</v>
      </c>
      <c r="AZ79" s="15" t="s">
        <v>154</v>
      </c>
      <c r="BA79" s="1" t="n">
        <v>2</v>
      </c>
      <c r="BB79" s="15" t="n">
        <v>79.167</v>
      </c>
      <c r="BC79" s="15" t="n">
        <v>79.167</v>
      </c>
      <c r="BD79" s="15" t="n">
        <v>0</v>
      </c>
      <c r="BE79" s="15" t="n">
        <v>658</v>
      </c>
      <c r="BF79" s="9" t="n">
        <f aca="false">15*12</f>
        <v>180</v>
      </c>
      <c r="BG79" s="15" t="n">
        <v>180</v>
      </c>
      <c r="BH79" s="15" t="s">
        <v>238</v>
      </c>
      <c r="BI79" s="15" t="n">
        <v>1</v>
      </c>
      <c r="BJ79" s="20" t="n">
        <f aca="false">+O79</f>
        <v>166000</v>
      </c>
      <c r="BK79" s="9" t="s">
        <v>510</v>
      </c>
      <c r="BL79" s="15" t="s">
        <v>157</v>
      </c>
      <c r="BM79" s="15" t="n">
        <v>1</v>
      </c>
      <c r="BN79" s="15" t="n">
        <v>47.847961</v>
      </c>
      <c r="BO79" s="15" t="n">
        <v>1</v>
      </c>
      <c r="BP79" s="15" t="n">
        <v>0</v>
      </c>
      <c r="BY79" s="20" t="n">
        <f aca="false">+O79</f>
        <v>166000</v>
      </c>
      <c r="BZ79" s="15" t="n">
        <v>0</v>
      </c>
      <c r="CA79" s="15" t="n">
        <v>0</v>
      </c>
      <c r="CC79" s="15" t="n">
        <v>0</v>
      </c>
      <c r="CD79" s="15" t="n">
        <v>0</v>
      </c>
      <c r="CE79" s="18" t="n">
        <v>40909</v>
      </c>
      <c r="CF79" s="15" t="n">
        <v>1</v>
      </c>
      <c r="CG79" s="15" t="n">
        <v>0</v>
      </c>
      <c r="CH79" s="15" t="n">
        <v>0</v>
      </c>
      <c r="CI79" s="15" t="n">
        <v>0</v>
      </c>
      <c r="CJ79" s="15" t="n">
        <v>0</v>
      </c>
      <c r="CK79" s="15" t="n">
        <v>1</v>
      </c>
      <c r="CL79" s="15" t="n">
        <v>1</v>
      </c>
      <c r="CM79" s="15" t="s">
        <v>176</v>
      </c>
      <c r="CO79" s="15" t="n">
        <v>64</v>
      </c>
      <c r="CQ79" s="15" t="s">
        <v>159</v>
      </c>
      <c r="CS79" s="15" t="n">
        <v>0</v>
      </c>
      <c r="CT79" s="15" t="n">
        <v>0</v>
      </c>
      <c r="CU79" s="15" t="n">
        <v>0</v>
      </c>
      <c r="DA79" s="15" t="s">
        <v>160</v>
      </c>
      <c r="DB79" s="15" t="n">
        <v>1000100100</v>
      </c>
      <c r="DC79" s="15" t="n">
        <v>0</v>
      </c>
      <c r="DE79" s="15" t="n">
        <v>8</v>
      </c>
      <c r="DF79" s="15" t="n">
        <v>0</v>
      </c>
      <c r="DG79" s="15" t="n">
        <v>209.47</v>
      </c>
      <c r="DH79" s="11" t="s">
        <v>161</v>
      </c>
      <c r="DJ79" s="15" t="n">
        <v>0</v>
      </c>
      <c r="DL79" s="15" t="n">
        <f aca="false">+R79</f>
        <v>3.5</v>
      </c>
      <c r="DQ79" s="15" t="n">
        <v>0</v>
      </c>
      <c r="DR79" s="15" t="n">
        <v>100</v>
      </c>
      <c r="DU79" s="15" t="n">
        <v>0</v>
      </c>
      <c r="DV79" s="15" t="n">
        <v>0</v>
      </c>
      <c r="DW79" s="15" t="n">
        <v>0</v>
      </c>
      <c r="DX79" s="15" t="s">
        <v>162</v>
      </c>
      <c r="EH79" s="10" t="s">
        <v>531</v>
      </c>
      <c r="EI79" s="15" t="n">
        <v>3333</v>
      </c>
      <c r="EJ79" s="10" t="s">
        <v>289</v>
      </c>
      <c r="EK79" s="10" t="s">
        <v>587</v>
      </c>
      <c r="EL79" s="10" t="s">
        <v>168</v>
      </c>
      <c r="EM79" s="10" t="s">
        <v>588</v>
      </c>
    </row>
    <row collapsed="false" customFormat="true" customHeight="false" hidden="false" ht="14" outlineLevel="0" r="80" s="15">
      <c r="A80" s="15" t="s">
        <v>516</v>
      </c>
      <c r="B80" s="10" t="s">
        <v>590</v>
      </c>
      <c r="C80" s="10" t="s">
        <v>591</v>
      </c>
      <c r="H80" s="10" t="s">
        <v>592</v>
      </c>
      <c r="I80" s="10" t="s">
        <v>593</v>
      </c>
      <c r="J80" s="10" t="s">
        <v>594</v>
      </c>
      <c r="K80" s="11" t="s">
        <v>595</v>
      </c>
      <c r="L80" s="11" t="s">
        <v>363</v>
      </c>
      <c r="M80" s="15" t="n">
        <v>1</v>
      </c>
      <c r="N80" s="15" t="s">
        <v>185</v>
      </c>
      <c r="O80" s="12" t="n">
        <v>366000</v>
      </c>
      <c r="P80" s="12" t="n">
        <v>366000</v>
      </c>
      <c r="Q80" s="15" t="n">
        <v>1830</v>
      </c>
      <c r="R80" s="15" t="n">
        <v>3.875</v>
      </c>
      <c r="S80" s="13" t="n">
        <v>40899</v>
      </c>
      <c r="T80" s="13" t="n">
        <v>40899</v>
      </c>
      <c r="U80" s="18" t="n">
        <v>40940</v>
      </c>
      <c r="V80" s="18" t="n">
        <v>48245</v>
      </c>
      <c r="W80" s="19" t="n">
        <v>0</v>
      </c>
      <c r="X80" s="3" t="n">
        <v>179296</v>
      </c>
      <c r="Y80" s="19"/>
      <c r="Z80" s="15" t="n">
        <v>1</v>
      </c>
      <c r="AB80" s="15" t="s">
        <v>584</v>
      </c>
      <c r="AD80" s="10" t="s">
        <v>592</v>
      </c>
      <c r="AE80" s="10" t="s">
        <v>593</v>
      </c>
      <c r="AF80" s="10" t="s">
        <v>594</v>
      </c>
      <c r="AG80" s="11"/>
      <c r="AH80" s="11"/>
      <c r="AQ80" s="11"/>
      <c r="AT80" s="21" t="s">
        <v>364</v>
      </c>
      <c r="AU80" s="11" t="s">
        <v>365</v>
      </c>
      <c r="AV80" s="15" t="n">
        <v>100</v>
      </c>
      <c r="AW80" s="18" t="n">
        <v>40900</v>
      </c>
      <c r="AX80" s="18" t="n">
        <v>40930</v>
      </c>
      <c r="AZ80" s="15" t="s">
        <v>154</v>
      </c>
      <c r="BA80" s="1" t="n">
        <v>2</v>
      </c>
      <c r="BB80" s="15" t="n">
        <v>45.714</v>
      </c>
      <c r="BC80" s="15" t="n">
        <v>45.714</v>
      </c>
      <c r="BD80" s="15" t="n">
        <v>0</v>
      </c>
      <c r="BE80" s="15" t="n">
        <v>590</v>
      </c>
      <c r="BF80" s="15" t="n">
        <v>240</v>
      </c>
      <c r="BG80" s="15" t="n">
        <v>240</v>
      </c>
      <c r="BH80" s="15" t="s">
        <v>238</v>
      </c>
      <c r="BI80" s="15" t="n">
        <v>1</v>
      </c>
      <c r="BJ80" s="20" t="n">
        <f aca="false">+O80</f>
        <v>366000</v>
      </c>
      <c r="BK80" s="9" t="s">
        <v>510</v>
      </c>
      <c r="BL80" s="15" t="s">
        <v>157</v>
      </c>
      <c r="BM80" s="15" t="n">
        <v>1</v>
      </c>
      <c r="BN80" s="15" t="n">
        <v>26.671097</v>
      </c>
      <c r="BO80" s="15" t="n">
        <v>1</v>
      </c>
      <c r="BP80" s="15" t="n">
        <v>0</v>
      </c>
      <c r="BY80" s="20" t="n">
        <f aca="false">+O80</f>
        <v>366000</v>
      </c>
      <c r="BZ80" s="15" t="n">
        <v>0</v>
      </c>
      <c r="CA80" s="15" t="n">
        <v>0</v>
      </c>
      <c r="CC80" s="15" t="n">
        <v>0</v>
      </c>
      <c r="CD80" s="15" t="n">
        <v>0</v>
      </c>
      <c r="CE80" s="18" t="n">
        <v>40909</v>
      </c>
      <c r="CF80" s="15" t="n">
        <v>1</v>
      </c>
      <c r="CG80" s="15" t="n">
        <v>0</v>
      </c>
      <c r="CH80" s="15" t="n">
        <v>0</v>
      </c>
      <c r="CI80" s="15" t="n">
        <v>0</v>
      </c>
      <c r="CJ80" s="15" t="n">
        <v>0</v>
      </c>
      <c r="CK80" s="15" t="n">
        <v>1</v>
      </c>
      <c r="CL80" s="15" t="n">
        <v>1</v>
      </c>
      <c r="CM80" s="15" t="s">
        <v>176</v>
      </c>
      <c r="CO80" s="15" t="n">
        <v>33</v>
      </c>
      <c r="CQ80" s="15" t="s">
        <v>159</v>
      </c>
      <c r="CS80" s="15" t="n">
        <v>0</v>
      </c>
      <c r="CT80" s="15" t="n">
        <v>0</v>
      </c>
      <c r="CU80" s="15" t="n">
        <v>0</v>
      </c>
      <c r="DA80" s="15" t="s">
        <v>160</v>
      </c>
      <c r="DB80" s="15" t="n">
        <v>1000100100</v>
      </c>
      <c r="DC80" s="15" t="n">
        <v>0</v>
      </c>
      <c r="DE80" s="15" t="n">
        <v>12</v>
      </c>
      <c r="DF80" s="15" t="n">
        <v>0</v>
      </c>
      <c r="DG80" s="15" t="n">
        <v>301.07</v>
      </c>
      <c r="DH80" s="11" t="s">
        <v>161</v>
      </c>
      <c r="DJ80" s="15" t="n">
        <v>0</v>
      </c>
      <c r="DL80" s="15" t="n">
        <f aca="false">+R80</f>
        <v>3.875</v>
      </c>
      <c r="DQ80" s="15" t="n">
        <v>0</v>
      </c>
      <c r="DR80" s="15" t="n">
        <v>100</v>
      </c>
      <c r="DU80" s="15" t="n">
        <v>0</v>
      </c>
      <c r="DV80" s="15" t="n">
        <v>0</v>
      </c>
      <c r="DW80" s="15" t="n">
        <v>0</v>
      </c>
      <c r="DX80" s="15" t="s">
        <v>162</v>
      </c>
      <c r="EH80" s="10" t="s">
        <v>206</v>
      </c>
      <c r="EI80" s="15" t="n">
        <v>2222</v>
      </c>
      <c r="EJ80" s="10" t="s">
        <v>547</v>
      </c>
      <c r="EK80" s="10" t="s">
        <v>592</v>
      </c>
      <c r="EL80" s="10" t="s">
        <v>593</v>
      </c>
      <c r="EM80" s="10" t="s">
        <v>594</v>
      </c>
    </row>
    <row collapsed="false" customFormat="true" customHeight="false" hidden="false" ht="14.9" outlineLevel="0" r="81" s="15">
      <c r="A81" s="15" t="s">
        <v>516</v>
      </c>
      <c r="B81" s="10" t="s">
        <v>596</v>
      </c>
      <c r="C81" s="10" t="s">
        <v>597</v>
      </c>
      <c r="H81" s="10" t="s">
        <v>305</v>
      </c>
      <c r="I81" s="10" t="s">
        <v>168</v>
      </c>
      <c r="J81" s="10" t="s">
        <v>598</v>
      </c>
      <c r="K81" s="11" t="s">
        <v>599</v>
      </c>
      <c r="L81" s="11" t="s">
        <v>369</v>
      </c>
      <c r="M81" s="15" t="n">
        <v>1</v>
      </c>
      <c r="N81" s="15" t="s">
        <v>194</v>
      </c>
      <c r="O81" s="12" t="n">
        <v>85000</v>
      </c>
      <c r="P81" s="12" t="n">
        <v>85000</v>
      </c>
      <c r="Q81" s="15" t="n">
        <v>425</v>
      </c>
      <c r="R81" s="15" t="n">
        <v>4.875</v>
      </c>
      <c r="S81" s="13" t="n">
        <v>40899</v>
      </c>
      <c r="T81" s="13" t="n">
        <v>40899</v>
      </c>
      <c r="U81" s="18" t="n">
        <v>40940</v>
      </c>
      <c r="V81" s="18" t="n">
        <v>50072</v>
      </c>
      <c r="W81" s="19" t="n">
        <v>0</v>
      </c>
      <c r="X81" s="3" t="n">
        <v>48590</v>
      </c>
      <c r="Y81" s="19"/>
      <c r="Z81" s="15" t="n">
        <v>1</v>
      </c>
      <c r="AB81" s="15" t="s">
        <v>584</v>
      </c>
      <c r="AD81" s="10" t="s">
        <v>305</v>
      </c>
      <c r="AE81" s="10" t="s">
        <v>168</v>
      </c>
      <c r="AF81" s="10" t="s">
        <v>598</v>
      </c>
      <c r="AG81" s="11"/>
      <c r="AH81" s="11"/>
      <c r="AQ81" s="11"/>
      <c r="AT81" s="21" t="s">
        <v>364</v>
      </c>
      <c r="AU81" s="11" t="s">
        <v>365</v>
      </c>
      <c r="AV81" s="15" t="n">
        <v>100</v>
      </c>
      <c r="AW81" s="18" t="n">
        <v>40900</v>
      </c>
      <c r="AX81" s="18" t="n">
        <v>40930</v>
      </c>
      <c r="AZ81" s="15" t="s">
        <v>154</v>
      </c>
      <c r="BA81" s="1" t="n">
        <v>1</v>
      </c>
      <c r="BB81" s="15" t="n">
        <v>50.722</v>
      </c>
      <c r="BC81" s="15" t="n">
        <v>50.722</v>
      </c>
      <c r="BD81" s="15" t="n">
        <v>0</v>
      </c>
      <c r="BE81" s="15" t="n">
        <v>757</v>
      </c>
      <c r="BF81" s="15" t="n">
        <v>300</v>
      </c>
      <c r="BG81" s="15" t="n">
        <v>300</v>
      </c>
      <c r="BH81" s="15" t="s">
        <v>238</v>
      </c>
      <c r="BI81" s="15" t="n">
        <v>1</v>
      </c>
      <c r="BJ81" s="20" t="n">
        <f aca="false">+O81</f>
        <v>85000</v>
      </c>
      <c r="BK81" s="9" t="s">
        <v>510</v>
      </c>
      <c r="BL81" s="15" t="s">
        <v>157</v>
      </c>
      <c r="BM81" s="15" t="n">
        <v>1</v>
      </c>
      <c r="BN81" s="15" t="n">
        <v>20.801104</v>
      </c>
      <c r="BO81" s="15" t="n">
        <v>1</v>
      </c>
      <c r="BP81" s="15" t="n">
        <v>0</v>
      </c>
      <c r="BY81" s="20" t="n">
        <f aca="false">+O81</f>
        <v>85000</v>
      </c>
      <c r="BZ81" s="15" t="n">
        <v>0</v>
      </c>
      <c r="CA81" s="15" t="n">
        <v>0</v>
      </c>
      <c r="CC81" s="15" t="n">
        <v>0</v>
      </c>
      <c r="CD81" s="15" t="n">
        <v>0</v>
      </c>
      <c r="CE81" s="18" t="n">
        <v>40909</v>
      </c>
      <c r="CF81" s="15" t="n">
        <v>1</v>
      </c>
      <c r="CG81" s="15" t="n">
        <v>0</v>
      </c>
      <c r="CH81" s="15" t="n">
        <v>0</v>
      </c>
      <c r="CI81" s="15" t="n">
        <v>0</v>
      </c>
      <c r="CJ81" s="15" t="n">
        <v>0</v>
      </c>
      <c r="CK81" s="15" t="n">
        <v>1</v>
      </c>
      <c r="CL81" s="15" t="n">
        <v>1</v>
      </c>
      <c r="CM81" s="15" t="s">
        <v>176</v>
      </c>
      <c r="CO81" s="15" t="n">
        <v>27</v>
      </c>
      <c r="CQ81" s="15" t="s">
        <v>159</v>
      </c>
      <c r="CS81" s="15" t="n">
        <v>0</v>
      </c>
      <c r="CT81" s="15" t="n">
        <v>0</v>
      </c>
      <c r="CU81" s="15" t="n">
        <v>0</v>
      </c>
      <c r="DA81" s="15" t="s">
        <v>160</v>
      </c>
      <c r="DB81" s="15" t="n">
        <v>1000100100</v>
      </c>
      <c r="DC81" s="15" t="n">
        <v>0</v>
      </c>
      <c r="DE81" s="15" t="n">
        <v>12</v>
      </c>
      <c r="DF81" s="15" t="n">
        <v>0</v>
      </c>
      <c r="DG81" s="15" t="n">
        <v>301.07</v>
      </c>
      <c r="DH81" s="11" t="s">
        <v>161</v>
      </c>
      <c r="DJ81" s="15" t="n">
        <v>0</v>
      </c>
      <c r="DL81" s="15" t="n">
        <f aca="false">+R81</f>
        <v>4.875</v>
      </c>
      <c r="DQ81" s="15" t="n">
        <v>0</v>
      </c>
      <c r="DR81" s="15" t="n">
        <v>100</v>
      </c>
      <c r="DU81" s="15" t="n">
        <v>0</v>
      </c>
      <c r="DV81" s="15" t="n">
        <v>0</v>
      </c>
      <c r="DW81" s="15" t="n">
        <v>0</v>
      </c>
      <c r="DX81" s="15" t="s">
        <v>162</v>
      </c>
      <c r="EH81" s="10" t="s">
        <v>297</v>
      </c>
      <c r="EI81" s="15" t="n">
        <v>123456</v>
      </c>
      <c r="EJ81" s="10" t="s">
        <v>256</v>
      </c>
      <c r="EK81" s="10" t="s">
        <v>305</v>
      </c>
      <c r="EL81" s="10" t="s">
        <v>168</v>
      </c>
      <c r="EM81" s="10" t="s">
        <v>598</v>
      </c>
    </row>
    <row collapsed="false" customFormat="true" customHeight="false" hidden="false" ht="14.9" outlineLevel="0" r="82" s="15">
      <c r="A82" s="15" t="s">
        <v>516</v>
      </c>
      <c r="B82" s="10" t="s">
        <v>600</v>
      </c>
      <c r="C82" s="10" t="s">
        <v>601</v>
      </c>
      <c r="H82" s="10" t="s">
        <v>602</v>
      </c>
      <c r="I82" s="10" t="s">
        <v>168</v>
      </c>
      <c r="J82" s="10" t="s">
        <v>603</v>
      </c>
      <c r="K82" s="11" t="s">
        <v>604</v>
      </c>
      <c r="L82" s="11"/>
      <c r="M82" s="15" t="n">
        <v>1</v>
      </c>
      <c r="N82" s="15" t="s">
        <v>204</v>
      </c>
      <c r="O82" s="12" t="n">
        <v>496000</v>
      </c>
      <c r="P82" s="12" t="n">
        <v>496000</v>
      </c>
      <c r="Q82" s="15" t="n">
        <v>2480</v>
      </c>
      <c r="R82" s="15" t="n">
        <v>4.99</v>
      </c>
      <c r="S82" s="13" t="n">
        <v>40899</v>
      </c>
      <c r="T82" s="13" t="n">
        <v>40899</v>
      </c>
      <c r="U82" s="18" t="n">
        <v>40940</v>
      </c>
      <c r="V82" s="18" t="n">
        <v>51898</v>
      </c>
      <c r="W82" s="19" t="n">
        <v>0</v>
      </c>
      <c r="X82" s="3" t="n">
        <v>33706</v>
      </c>
      <c r="Y82" s="19"/>
      <c r="Z82" s="15" t="n">
        <v>1</v>
      </c>
      <c r="AB82" s="15" t="s">
        <v>584</v>
      </c>
      <c r="AD82" s="10" t="s">
        <v>602</v>
      </c>
      <c r="AE82" s="10" t="s">
        <v>168</v>
      </c>
      <c r="AF82" s="10" t="s">
        <v>603</v>
      </c>
      <c r="AG82" s="11"/>
      <c r="AH82" s="11"/>
      <c r="AQ82" s="11"/>
      <c r="AT82" s="9" t="s">
        <v>152</v>
      </c>
      <c r="AU82" s="11" t="s">
        <v>153</v>
      </c>
      <c r="AV82" s="15" t="n">
        <v>100</v>
      </c>
      <c r="AW82" s="18" t="n">
        <v>40900</v>
      </c>
      <c r="AX82" s="18" t="n">
        <v>40930</v>
      </c>
      <c r="AZ82" s="15" t="s">
        <v>154</v>
      </c>
      <c r="BA82" s="1" t="n">
        <v>1</v>
      </c>
      <c r="BB82" s="15" t="n">
        <v>80</v>
      </c>
      <c r="BC82" s="15" t="n">
        <v>80</v>
      </c>
      <c r="BD82" s="15" t="n">
        <v>0</v>
      </c>
      <c r="BE82" s="15" t="n">
        <v>708</v>
      </c>
      <c r="BF82" s="15" t="n">
        <v>360</v>
      </c>
      <c r="BG82" s="15" t="n">
        <v>360</v>
      </c>
      <c r="BH82" s="15" t="s">
        <v>238</v>
      </c>
      <c r="BI82" s="15" t="n">
        <v>1</v>
      </c>
      <c r="BJ82" s="20" t="n">
        <f aca="false">+O82</f>
        <v>496000</v>
      </c>
      <c r="BK82" s="9" t="s">
        <v>510</v>
      </c>
      <c r="BL82" s="15" t="s">
        <v>157</v>
      </c>
      <c r="BM82" s="15" t="n">
        <v>1</v>
      </c>
      <c r="BN82" s="15" t="n">
        <v>25.643788</v>
      </c>
      <c r="BO82" s="15" t="n">
        <v>1</v>
      </c>
      <c r="BP82" s="15" t="n">
        <v>0</v>
      </c>
      <c r="BY82" s="20" t="n">
        <f aca="false">+O82</f>
        <v>496000</v>
      </c>
      <c r="BZ82" s="15" t="n">
        <v>0</v>
      </c>
      <c r="CA82" s="15" t="n">
        <v>0</v>
      </c>
      <c r="CC82" s="15" t="n">
        <v>0</v>
      </c>
      <c r="CD82" s="15" t="n">
        <v>0</v>
      </c>
      <c r="CE82" s="18" t="n">
        <v>40909</v>
      </c>
      <c r="CF82" s="15" t="n">
        <v>1</v>
      </c>
      <c r="CG82" s="15" t="n">
        <v>0</v>
      </c>
      <c r="CH82" s="15" t="n">
        <v>0</v>
      </c>
      <c r="CI82" s="15" t="n">
        <v>0</v>
      </c>
      <c r="CJ82" s="15" t="n">
        <v>0</v>
      </c>
      <c r="CK82" s="15" t="n">
        <v>1</v>
      </c>
      <c r="CL82" s="15" t="n">
        <v>1</v>
      </c>
      <c r="CM82" s="9" t="s">
        <v>245</v>
      </c>
      <c r="CO82" s="15" t="n">
        <v>31</v>
      </c>
      <c r="CQ82" s="15" t="s">
        <v>159</v>
      </c>
      <c r="CS82" s="15" t="n">
        <v>0</v>
      </c>
      <c r="CT82" s="15" t="n">
        <v>0</v>
      </c>
      <c r="CU82" s="15" t="n">
        <v>0</v>
      </c>
      <c r="DA82" s="15" t="s">
        <v>160</v>
      </c>
      <c r="DB82" s="15" t="n">
        <v>1000100100</v>
      </c>
      <c r="DC82" s="15" t="n">
        <v>0</v>
      </c>
      <c r="DE82" s="15" t="n">
        <v>4</v>
      </c>
      <c r="DF82" s="15" t="n">
        <v>0</v>
      </c>
      <c r="DG82" s="15" t="n">
        <v>371.31</v>
      </c>
      <c r="DH82" s="11" t="s">
        <v>161</v>
      </c>
      <c r="DJ82" s="15" t="n">
        <v>0</v>
      </c>
      <c r="DL82" s="15" t="n">
        <f aca="false">+R82</f>
        <v>4.99</v>
      </c>
      <c r="DQ82" s="15" t="n">
        <v>0</v>
      </c>
      <c r="DR82" s="15" t="n">
        <v>100</v>
      </c>
      <c r="DU82" s="15" t="n">
        <v>0</v>
      </c>
      <c r="DV82" s="15" t="n">
        <v>0</v>
      </c>
      <c r="DW82" s="15" t="n">
        <v>0</v>
      </c>
      <c r="DX82" s="15" t="s">
        <v>162</v>
      </c>
      <c r="EH82" s="10" t="s">
        <v>520</v>
      </c>
      <c r="EI82" s="15" t="n">
        <v>5555</v>
      </c>
      <c r="EJ82" s="10" t="s">
        <v>239</v>
      </c>
      <c r="EK82" s="10" t="s">
        <v>602</v>
      </c>
      <c r="EL82" s="10" t="s">
        <v>168</v>
      </c>
      <c r="EM82" s="10" t="s">
        <v>603</v>
      </c>
    </row>
    <row collapsed="false" customFormat="true" customHeight="false" hidden="false" ht="14" outlineLevel="0" r="83" s="15">
      <c r="A83" s="15" t="s">
        <v>516</v>
      </c>
      <c r="B83" s="10" t="s">
        <v>605</v>
      </c>
      <c r="C83" s="10" t="s">
        <v>606</v>
      </c>
      <c r="H83" s="10" t="s">
        <v>563</v>
      </c>
      <c r="I83" s="10" t="s">
        <v>200</v>
      </c>
      <c r="J83" s="10" t="s">
        <v>564</v>
      </c>
      <c r="K83" s="11" t="s">
        <v>607</v>
      </c>
      <c r="L83" s="11"/>
      <c r="M83" s="15" t="n">
        <v>1</v>
      </c>
      <c r="N83" s="15" t="s">
        <v>211</v>
      </c>
      <c r="O83" s="12" t="n">
        <v>230000</v>
      </c>
      <c r="P83" s="12" t="n">
        <v>230000</v>
      </c>
      <c r="Q83" s="15" t="n">
        <v>1150</v>
      </c>
      <c r="R83" s="15" t="n">
        <v>5.875</v>
      </c>
      <c r="S83" s="13" t="n">
        <v>40899</v>
      </c>
      <c r="T83" s="13" t="n">
        <v>40899</v>
      </c>
      <c r="U83" s="18" t="n">
        <v>40940</v>
      </c>
      <c r="V83" s="18" t="n">
        <v>51898</v>
      </c>
      <c r="W83" s="19" t="n">
        <v>0</v>
      </c>
      <c r="X83" s="3" t="n">
        <v>94624</v>
      </c>
      <c r="Y83" s="19"/>
      <c r="Z83" s="15" t="n">
        <v>1</v>
      </c>
      <c r="AB83" s="15" t="s">
        <v>584</v>
      </c>
      <c r="AD83" s="10" t="s">
        <v>563</v>
      </c>
      <c r="AE83" s="10" t="s">
        <v>200</v>
      </c>
      <c r="AF83" s="10" t="s">
        <v>564</v>
      </c>
      <c r="AG83" s="11"/>
      <c r="AH83" s="11"/>
      <c r="AQ83" s="11"/>
      <c r="AT83" s="9" t="s">
        <v>152</v>
      </c>
      <c r="AU83" s="11" t="s">
        <v>153</v>
      </c>
      <c r="AV83" s="15" t="n">
        <v>100</v>
      </c>
      <c r="AW83" s="18" t="n">
        <v>40900</v>
      </c>
      <c r="AX83" s="18" t="n">
        <v>40930</v>
      </c>
      <c r="AZ83" s="15" t="s">
        <v>154</v>
      </c>
      <c r="BA83" s="1" t="n">
        <v>2</v>
      </c>
      <c r="BB83" s="15" t="n">
        <v>35.831</v>
      </c>
      <c r="BC83" s="15" t="n">
        <v>35.831</v>
      </c>
      <c r="BD83" s="15" t="n">
        <v>0</v>
      </c>
      <c r="BE83" s="15" t="n">
        <v>741</v>
      </c>
      <c r="BF83" s="15" t="n">
        <v>360</v>
      </c>
      <c r="BG83" s="15" t="n">
        <v>360</v>
      </c>
      <c r="BH83" s="15" t="s">
        <v>238</v>
      </c>
      <c r="BI83" s="15" t="n">
        <v>1</v>
      </c>
      <c r="BJ83" s="20" t="n">
        <f aca="false">+O83</f>
        <v>230000</v>
      </c>
      <c r="BK83" s="9" t="s">
        <v>510</v>
      </c>
      <c r="BL83" s="15" t="s">
        <v>157</v>
      </c>
      <c r="BM83" s="15" t="n">
        <v>1</v>
      </c>
      <c r="BN83" s="15" t="n">
        <v>33.156344</v>
      </c>
      <c r="BO83" s="15" t="n">
        <v>1</v>
      </c>
      <c r="BP83" s="15" t="n">
        <v>0</v>
      </c>
      <c r="BY83" s="20" t="n">
        <f aca="false">+O83</f>
        <v>230000</v>
      </c>
      <c r="BZ83" s="15" t="n">
        <v>0</v>
      </c>
      <c r="CA83" s="15" t="n">
        <v>0</v>
      </c>
      <c r="CC83" s="15" t="n">
        <v>0</v>
      </c>
      <c r="CD83" s="15" t="n">
        <v>0</v>
      </c>
      <c r="CE83" s="18" t="n">
        <v>40909</v>
      </c>
      <c r="CF83" s="15" t="n">
        <v>1</v>
      </c>
      <c r="CG83" s="15" t="n">
        <v>0</v>
      </c>
      <c r="CH83" s="15" t="n">
        <v>0</v>
      </c>
      <c r="CI83" s="15" t="n">
        <v>0</v>
      </c>
      <c r="CJ83" s="15" t="n">
        <v>0</v>
      </c>
      <c r="CK83" s="15" t="n">
        <v>1</v>
      </c>
      <c r="CL83" s="15" t="n">
        <v>1</v>
      </c>
      <c r="CM83" s="15" t="s">
        <v>176</v>
      </c>
      <c r="CO83" s="15" t="n">
        <v>46</v>
      </c>
      <c r="CQ83" s="15" t="s">
        <v>159</v>
      </c>
      <c r="CS83" s="15" t="n">
        <v>0</v>
      </c>
      <c r="CT83" s="15" t="n">
        <v>0</v>
      </c>
      <c r="CU83" s="15" t="n">
        <v>0</v>
      </c>
      <c r="DA83" s="15" t="s">
        <v>160</v>
      </c>
      <c r="DB83" s="15" t="n">
        <v>1000100100</v>
      </c>
      <c r="DC83" s="15" t="n">
        <v>0</v>
      </c>
      <c r="DE83" s="15" t="n">
        <v>8</v>
      </c>
      <c r="DF83" s="15" t="n">
        <v>1</v>
      </c>
      <c r="DG83" s="15" t="n">
        <v>1585.86</v>
      </c>
      <c r="DH83" s="11" t="s">
        <v>161</v>
      </c>
      <c r="DJ83" s="15" t="n">
        <v>0</v>
      </c>
      <c r="DL83" s="15" t="n">
        <f aca="false">+R83</f>
        <v>5.875</v>
      </c>
      <c r="DQ83" s="15" t="n">
        <v>0</v>
      </c>
      <c r="DR83" s="15" t="n">
        <v>100</v>
      </c>
      <c r="DU83" s="15" t="n">
        <v>0</v>
      </c>
      <c r="DV83" s="15" t="n">
        <v>0</v>
      </c>
      <c r="DW83" s="15" t="n">
        <v>0</v>
      </c>
      <c r="DX83" s="15" t="s">
        <v>162</v>
      </c>
      <c r="EH83" s="10" t="s">
        <v>526</v>
      </c>
      <c r="EI83" s="15" t="n">
        <v>4444</v>
      </c>
      <c r="EJ83" s="10" t="s">
        <v>282</v>
      </c>
      <c r="EK83" s="10" t="s">
        <v>563</v>
      </c>
      <c r="EL83" s="10" t="s">
        <v>200</v>
      </c>
      <c r="EM83" s="10" t="s">
        <v>564</v>
      </c>
    </row>
    <row collapsed="false" customFormat="true" customHeight="false" hidden="false" ht="14.9" outlineLevel="0" r="84" s="15">
      <c r="A84" s="15" t="s">
        <v>516</v>
      </c>
      <c r="B84" s="10" t="s">
        <v>608</v>
      </c>
      <c r="C84" s="10" t="s">
        <v>609</v>
      </c>
      <c r="H84" s="10" t="s">
        <v>401</v>
      </c>
      <c r="I84" s="10" t="s">
        <v>168</v>
      </c>
      <c r="J84" s="10" t="s">
        <v>402</v>
      </c>
      <c r="K84" s="11" t="s">
        <v>610</v>
      </c>
      <c r="L84" s="11"/>
      <c r="M84" s="15" t="n">
        <v>1</v>
      </c>
      <c r="N84" s="15" t="s">
        <v>150</v>
      </c>
      <c r="O84" s="12" t="n">
        <v>178800</v>
      </c>
      <c r="P84" s="12" t="n">
        <v>178800</v>
      </c>
      <c r="Q84" s="15" t="n">
        <v>894</v>
      </c>
      <c r="R84" s="15" t="n">
        <v>3.5</v>
      </c>
      <c r="S84" s="13" t="n">
        <v>40899</v>
      </c>
      <c r="T84" s="13" t="n">
        <v>40899</v>
      </c>
      <c r="U84" s="18" t="n">
        <v>40940</v>
      </c>
      <c r="V84" s="18" t="n">
        <v>44593</v>
      </c>
      <c r="W84" s="19" t="n">
        <v>0</v>
      </c>
      <c r="X84" s="3" t="n">
        <v>158584</v>
      </c>
      <c r="Y84" s="19"/>
      <c r="Z84" s="15" t="n">
        <v>1</v>
      </c>
      <c r="AB84" s="15" t="s">
        <v>584</v>
      </c>
      <c r="AD84" s="10" t="s">
        <v>401</v>
      </c>
      <c r="AE84" s="10" t="s">
        <v>168</v>
      </c>
      <c r="AF84" s="10" t="s">
        <v>402</v>
      </c>
      <c r="AG84" s="11"/>
      <c r="AH84" s="11"/>
      <c r="AQ84" s="11"/>
      <c r="AT84" s="9" t="s">
        <v>152</v>
      </c>
      <c r="AU84" s="11" t="s">
        <v>153</v>
      </c>
      <c r="AV84" s="15" t="n">
        <v>100</v>
      </c>
      <c r="AW84" s="18" t="n">
        <v>40900</v>
      </c>
      <c r="AX84" s="18" t="n">
        <v>40930</v>
      </c>
      <c r="AZ84" s="15" t="s">
        <v>154</v>
      </c>
      <c r="BA84" s="1" t="n">
        <v>2</v>
      </c>
      <c r="BB84" s="15" t="n">
        <v>45.833</v>
      </c>
      <c r="BC84" s="15" t="n">
        <v>45.833</v>
      </c>
      <c r="BD84" s="15" t="n">
        <v>0</v>
      </c>
      <c r="BE84" s="15" t="n">
        <v>758</v>
      </c>
      <c r="BF84" s="15" t="n">
        <v>120</v>
      </c>
      <c r="BG84" s="15" t="n">
        <v>120</v>
      </c>
      <c r="BH84" s="15" t="s">
        <v>238</v>
      </c>
      <c r="BI84" s="15" t="n">
        <v>1</v>
      </c>
      <c r="BJ84" s="20" t="n">
        <f aca="false">+O84</f>
        <v>178800</v>
      </c>
      <c r="BK84" s="9" t="s">
        <v>510</v>
      </c>
      <c r="BL84" s="15" t="s">
        <v>157</v>
      </c>
      <c r="BM84" s="15" t="n">
        <v>1</v>
      </c>
      <c r="BN84" s="15" t="n">
        <v>29.360949</v>
      </c>
      <c r="BO84" s="15" t="n">
        <v>1</v>
      </c>
      <c r="BP84" s="15" t="n">
        <v>0</v>
      </c>
      <c r="BY84" s="20" t="n">
        <f aca="false">+O84</f>
        <v>178800</v>
      </c>
      <c r="BZ84" s="15" t="n">
        <v>0</v>
      </c>
      <c r="CA84" s="15" t="n">
        <v>0</v>
      </c>
      <c r="CC84" s="15" t="n">
        <v>0</v>
      </c>
      <c r="CD84" s="15" t="n">
        <v>0</v>
      </c>
      <c r="CE84" s="18" t="n">
        <v>40909</v>
      </c>
      <c r="CF84" s="15" t="n">
        <v>1</v>
      </c>
      <c r="CG84" s="15" t="n">
        <v>0</v>
      </c>
      <c r="CH84" s="15" t="n">
        <v>0</v>
      </c>
      <c r="CI84" s="15" t="n">
        <v>0</v>
      </c>
      <c r="CJ84" s="15" t="n">
        <v>0</v>
      </c>
      <c r="CK84" s="15" t="n">
        <v>1</v>
      </c>
      <c r="CL84" s="15" t="n">
        <v>1</v>
      </c>
      <c r="CM84" s="15" t="s">
        <v>176</v>
      </c>
      <c r="CO84" s="15" t="n">
        <v>64</v>
      </c>
      <c r="CQ84" s="15" t="s">
        <v>159</v>
      </c>
      <c r="CS84" s="15" t="n">
        <v>0</v>
      </c>
      <c r="CT84" s="15" t="n">
        <v>0</v>
      </c>
      <c r="CU84" s="15" t="n">
        <v>0</v>
      </c>
      <c r="DA84" s="15" t="s">
        <v>160</v>
      </c>
      <c r="DB84" s="15" t="n">
        <v>1000100100</v>
      </c>
      <c r="DC84" s="15" t="n">
        <v>0</v>
      </c>
      <c r="DE84" s="15" t="n">
        <v>12</v>
      </c>
      <c r="DF84" s="15" t="n">
        <v>33</v>
      </c>
      <c r="DG84" s="15" t="n">
        <v>22272.67</v>
      </c>
      <c r="DH84" s="11" t="s">
        <v>161</v>
      </c>
      <c r="DJ84" s="15" t="n">
        <v>0</v>
      </c>
      <c r="DL84" s="15" t="n">
        <f aca="false">+R84</f>
        <v>3.5</v>
      </c>
      <c r="DQ84" s="15" t="n">
        <v>0</v>
      </c>
      <c r="DR84" s="15" t="n">
        <v>100</v>
      </c>
      <c r="DU84" s="15" t="n">
        <v>0</v>
      </c>
      <c r="DV84" s="15" t="n">
        <v>0</v>
      </c>
      <c r="DW84" s="15" t="n">
        <v>0</v>
      </c>
      <c r="DX84" s="15" t="s">
        <v>162</v>
      </c>
      <c r="EH84" s="10" t="s">
        <v>531</v>
      </c>
      <c r="EI84" s="15" t="n">
        <v>3333</v>
      </c>
      <c r="EJ84" s="10" t="s">
        <v>536</v>
      </c>
      <c r="EK84" s="10" t="s">
        <v>401</v>
      </c>
      <c r="EL84" s="10" t="s">
        <v>168</v>
      </c>
      <c r="EM84" s="10" t="s">
        <v>402</v>
      </c>
    </row>
    <row collapsed="false" customFormat="true" customHeight="false" hidden="false" ht="14.9" outlineLevel="0" r="85" s="15">
      <c r="A85" s="15" t="s">
        <v>516</v>
      </c>
      <c r="B85" s="10" t="s">
        <v>611</v>
      </c>
      <c r="C85" s="10" t="s">
        <v>612</v>
      </c>
      <c r="H85" s="10" t="s">
        <v>613</v>
      </c>
      <c r="I85" s="10" t="s">
        <v>168</v>
      </c>
      <c r="J85" s="10" t="s">
        <v>614</v>
      </c>
      <c r="K85" s="11" t="s">
        <v>615</v>
      </c>
      <c r="L85" s="11"/>
      <c r="M85" s="15" t="n">
        <v>1</v>
      </c>
      <c r="N85" s="15" t="s">
        <v>172</v>
      </c>
      <c r="O85" s="12" t="n">
        <v>216000</v>
      </c>
      <c r="P85" s="12" t="n">
        <v>216000</v>
      </c>
      <c r="Q85" s="15" t="n">
        <v>1080</v>
      </c>
      <c r="R85" s="15" t="n">
        <v>4</v>
      </c>
      <c r="S85" s="13" t="n">
        <v>40899</v>
      </c>
      <c r="T85" s="13" t="n">
        <v>40899</v>
      </c>
      <c r="U85" s="18" t="n">
        <v>40940</v>
      </c>
      <c r="V85" s="18" t="n">
        <v>46419</v>
      </c>
      <c r="W85" s="19" t="n">
        <v>1</v>
      </c>
      <c r="X85" s="3" t="n">
        <v>116513</v>
      </c>
      <c r="Y85" s="19"/>
      <c r="Z85" s="15" t="n">
        <v>1</v>
      </c>
      <c r="AB85" s="15" t="s">
        <v>584</v>
      </c>
      <c r="AD85" s="10" t="s">
        <v>613</v>
      </c>
      <c r="AE85" s="10" t="s">
        <v>168</v>
      </c>
      <c r="AF85" s="10" t="s">
        <v>614</v>
      </c>
      <c r="AG85" s="11"/>
      <c r="AH85" s="11"/>
      <c r="AQ85" s="11"/>
      <c r="AT85" s="9" t="s">
        <v>152</v>
      </c>
      <c r="AU85" s="11" t="s">
        <v>153</v>
      </c>
      <c r="AV85" s="15" t="n">
        <v>100</v>
      </c>
      <c r="AW85" s="18" t="n">
        <v>40900</v>
      </c>
      <c r="AX85" s="18" t="n">
        <v>40930</v>
      </c>
      <c r="AZ85" s="15" t="s">
        <v>154</v>
      </c>
      <c r="BA85" s="1" t="n">
        <v>1</v>
      </c>
      <c r="BB85" s="15" t="n">
        <v>89.209</v>
      </c>
      <c r="BC85" s="15" t="n">
        <v>89.209</v>
      </c>
      <c r="BD85" s="15" t="n">
        <v>0</v>
      </c>
      <c r="BE85" s="15" t="n">
        <v>719</v>
      </c>
      <c r="BF85" s="9" t="n">
        <f aca="false">15*12</f>
        <v>180</v>
      </c>
      <c r="BG85" s="15" t="n">
        <v>180</v>
      </c>
      <c r="BH85" s="15" t="s">
        <v>238</v>
      </c>
      <c r="BI85" s="15" t="n">
        <v>1</v>
      </c>
      <c r="BJ85" s="20" t="n">
        <f aca="false">+O85</f>
        <v>216000</v>
      </c>
      <c r="BK85" s="9" t="s">
        <v>510</v>
      </c>
      <c r="BL85" s="15" t="s">
        <v>157</v>
      </c>
      <c r="BM85" s="15" t="n">
        <v>1</v>
      </c>
      <c r="BN85" s="15" t="n">
        <v>48.18622</v>
      </c>
      <c r="BO85" s="15" t="n">
        <v>1</v>
      </c>
      <c r="BP85" s="15" t="n">
        <v>2</v>
      </c>
      <c r="BQ85" s="15" t="s">
        <v>616</v>
      </c>
      <c r="BR85" s="15" t="n">
        <v>3.875</v>
      </c>
      <c r="BS85" s="18" t="n">
        <v>41974</v>
      </c>
      <c r="BT85" s="15" t="n">
        <v>1</v>
      </c>
      <c r="BU85" s="15" t="n">
        <v>12</v>
      </c>
      <c r="BV85" s="15" t="n">
        <v>1</v>
      </c>
      <c r="BW85" s="15" t="n">
        <v>5</v>
      </c>
      <c r="BX85" s="15" t="n">
        <v>2</v>
      </c>
      <c r="BY85" s="20" t="n">
        <f aca="false">+O85</f>
        <v>216000</v>
      </c>
      <c r="BZ85" s="15" t="n">
        <v>0</v>
      </c>
      <c r="CA85" s="15" t="n">
        <v>0</v>
      </c>
      <c r="CC85" s="15" t="n">
        <v>0</v>
      </c>
      <c r="CD85" s="15" t="n">
        <v>0</v>
      </c>
      <c r="CE85" s="18" t="n">
        <v>40909</v>
      </c>
      <c r="CF85" s="15" t="n">
        <v>1</v>
      </c>
      <c r="CG85" s="15" t="n">
        <v>0</v>
      </c>
      <c r="CH85" s="15" t="n">
        <v>0</v>
      </c>
      <c r="CI85" s="15" t="n">
        <v>0</v>
      </c>
      <c r="CJ85" s="15" t="n">
        <v>0</v>
      </c>
      <c r="CK85" s="15" t="n">
        <v>1</v>
      </c>
      <c r="CL85" s="15" t="n">
        <v>1</v>
      </c>
      <c r="CM85" s="15" t="s">
        <v>176</v>
      </c>
      <c r="CO85" s="15" t="n">
        <v>33</v>
      </c>
      <c r="CQ85" s="15" t="s">
        <v>159</v>
      </c>
      <c r="CS85" s="15" t="n">
        <v>0</v>
      </c>
      <c r="CT85" s="15" t="n">
        <v>0</v>
      </c>
      <c r="CU85" s="15" t="n">
        <v>0</v>
      </c>
      <c r="DA85" s="15" t="s">
        <v>160</v>
      </c>
      <c r="DB85" s="15" t="n">
        <v>1000100100</v>
      </c>
      <c r="DC85" s="15" t="n">
        <v>0</v>
      </c>
      <c r="DD85" s="15" t="n">
        <v>30</v>
      </c>
      <c r="DE85" s="15" t="n">
        <v>10</v>
      </c>
      <c r="DF85" s="15" t="n">
        <v>14</v>
      </c>
      <c r="DG85" s="15" t="n">
        <v>10266</v>
      </c>
      <c r="DH85" s="11" t="s">
        <v>161</v>
      </c>
      <c r="DJ85" s="15" t="n">
        <v>0</v>
      </c>
      <c r="DL85" s="15" t="n">
        <f aca="false">+R85</f>
        <v>4</v>
      </c>
      <c r="DM85" s="15" t="n">
        <v>1</v>
      </c>
      <c r="DN85" s="15" t="n">
        <v>0</v>
      </c>
      <c r="DO85" s="15" t="n">
        <v>0</v>
      </c>
      <c r="DP85" s="15" t="n">
        <v>0</v>
      </c>
      <c r="DQ85" s="15" t="n">
        <v>0</v>
      </c>
      <c r="DR85" s="15" t="n">
        <v>100</v>
      </c>
      <c r="DT85" s="15" t="n">
        <v>8.875</v>
      </c>
      <c r="DU85" s="15" t="n">
        <v>0</v>
      </c>
      <c r="DV85" s="15" t="n">
        <v>0</v>
      </c>
      <c r="DW85" s="15" t="n">
        <v>0</v>
      </c>
      <c r="DX85" s="15" t="s">
        <v>162</v>
      </c>
      <c r="EH85" s="10" t="s">
        <v>206</v>
      </c>
      <c r="EI85" s="15" t="n">
        <v>2222</v>
      </c>
      <c r="EJ85" s="10" t="s">
        <v>289</v>
      </c>
      <c r="EK85" s="10" t="s">
        <v>613</v>
      </c>
      <c r="EL85" s="10" t="s">
        <v>168</v>
      </c>
      <c r="EM85" s="10" t="s">
        <v>614</v>
      </c>
    </row>
    <row collapsed="false" customFormat="true" customHeight="false" hidden="false" ht="14" outlineLevel="0" r="86" s="15">
      <c r="A86" s="15" t="s">
        <v>516</v>
      </c>
      <c r="B86" s="10" t="s">
        <v>617</v>
      </c>
      <c r="C86" s="10" t="s">
        <v>618</v>
      </c>
      <c r="H86" s="10" t="s">
        <v>619</v>
      </c>
      <c r="I86" s="10" t="s">
        <v>168</v>
      </c>
      <c r="J86" s="10" t="s">
        <v>620</v>
      </c>
      <c r="K86" s="11" t="s">
        <v>621</v>
      </c>
      <c r="L86" s="11"/>
      <c r="M86" s="15" t="n">
        <v>1</v>
      </c>
      <c r="N86" s="15" t="s">
        <v>185</v>
      </c>
      <c r="O86" s="12" t="n">
        <v>417000</v>
      </c>
      <c r="P86" s="12" t="n">
        <v>417000</v>
      </c>
      <c r="Q86" s="15" t="n">
        <v>2085</v>
      </c>
      <c r="R86" s="15" t="n">
        <v>4.25</v>
      </c>
      <c r="S86" s="13" t="n">
        <v>40899</v>
      </c>
      <c r="T86" s="13" t="n">
        <v>40899</v>
      </c>
      <c r="U86" s="18" t="n">
        <v>40940</v>
      </c>
      <c r="V86" s="18" t="n">
        <v>48245</v>
      </c>
      <c r="W86" s="19" t="n">
        <v>0</v>
      </c>
      <c r="X86" s="3" t="n">
        <v>203031</v>
      </c>
      <c r="Y86" s="19"/>
      <c r="Z86" s="15" t="n">
        <v>1</v>
      </c>
      <c r="AB86" s="15" t="s">
        <v>584</v>
      </c>
      <c r="AD86" s="10" t="s">
        <v>619</v>
      </c>
      <c r="AE86" s="10" t="s">
        <v>168</v>
      </c>
      <c r="AF86" s="10" t="s">
        <v>620</v>
      </c>
      <c r="AG86" s="11"/>
      <c r="AH86" s="11"/>
      <c r="AQ86" s="11"/>
      <c r="AT86" s="9" t="s">
        <v>152</v>
      </c>
      <c r="AU86" s="11" t="s">
        <v>153</v>
      </c>
      <c r="AV86" s="15" t="n">
        <v>100</v>
      </c>
      <c r="AW86" s="18" t="n">
        <v>40900</v>
      </c>
      <c r="AX86" s="18" t="n">
        <v>40930</v>
      </c>
      <c r="AZ86" s="15" t="s">
        <v>154</v>
      </c>
      <c r="BA86" s="1" t="n">
        <v>1</v>
      </c>
      <c r="BB86" s="15" t="n">
        <v>81.698</v>
      </c>
      <c r="BC86" s="15" t="n">
        <v>81.698</v>
      </c>
      <c r="BD86" s="15" t="n">
        <v>0</v>
      </c>
      <c r="BE86" s="15" t="n">
        <v>809</v>
      </c>
      <c r="BF86" s="15" t="n">
        <v>240</v>
      </c>
      <c r="BG86" s="15" t="n">
        <v>240</v>
      </c>
      <c r="BH86" s="15" t="s">
        <v>238</v>
      </c>
      <c r="BI86" s="15" t="n">
        <v>1</v>
      </c>
      <c r="BJ86" s="20" t="n">
        <f aca="false">+O86</f>
        <v>417000</v>
      </c>
      <c r="BK86" s="9" t="s">
        <v>510</v>
      </c>
      <c r="BL86" s="15" t="s">
        <v>157</v>
      </c>
      <c r="BM86" s="15" t="n">
        <v>3</v>
      </c>
      <c r="BN86" s="15" t="n">
        <v>33.272985</v>
      </c>
      <c r="BO86" s="15" t="n">
        <v>1</v>
      </c>
      <c r="BP86" s="15" t="n">
        <v>0</v>
      </c>
      <c r="BY86" s="20" t="n">
        <f aca="false">+O86</f>
        <v>417000</v>
      </c>
      <c r="BZ86" s="15" t="n">
        <v>0</v>
      </c>
      <c r="CA86" s="15" t="n">
        <v>0</v>
      </c>
      <c r="CC86" s="15" t="n">
        <v>0</v>
      </c>
      <c r="CD86" s="15" t="n">
        <v>0</v>
      </c>
      <c r="CE86" s="18" t="n">
        <v>40909</v>
      </c>
      <c r="CF86" s="15" t="n">
        <v>1</v>
      </c>
      <c r="CG86" s="15" t="n">
        <v>0</v>
      </c>
      <c r="CH86" s="15" t="n">
        <v>0</v>
      </c>
      <c r="CI86" s="15" t="n">
        <v>0</v>
      </c>
      <c r="CJ86" s="15" t="n">
        <v>0</v>
      </c>
      <c r="CK86" s="15" t="n">
        <v>1</v>
      </c>
      <c r="CL86" s="15" t="n">
        <v>1</v>
      </c>
      <c r="CM86" s="15" t="s">
        <v>158</v>
      </c>
      <c r="CO86" s="15" t="n">
        <v>27</v>
      </c>
      <c r="CQ86" s="15" t="s">
        <v>159</v>
      </c>
      <c r="CS86" s="15" t="n">
        <v>0</v>
      </c>
      <c r="CT86" s="15" t="n">
        <v>0</v>
      </c>
      <c r="CU86" s="15" t="n">
        <v>0</v>
      </c>
      <c r="DA86" s="15" t="s">
        <v>160</v>
      </c>
      <c r="DB86" s="15" t="n">
        <v>1000100100</v>
      </c>
      <c r="DC86" s="15" t="n">
        <v>0</v>
      </c>
      <c r="DE86" s="15" t="n">
        <v>8</v>
      </c>
      <c r="DF86" s="15" t="n">
        <v>24</v>
      </c>
      <c r="DG86" s="15" t="n">
        <v>10939.17</v>
      </c>
      <c r="DH86" s="11" t="s">
        <v>161</v>
      </c>
      <c r="DJ86" s="15" t="n">
        <v>0</v>
      </c>
      <c r="DL86" s="15" t="n">
        <f aca="false">+R86</f>
        <v>4.25</v>
      </c>
      <c r="DQ86" s="15" t="n">
        <v>0</v>
      </c>
      <c r="DR86" s="15" t="n">
        <v>100</v>
      </c>
      <c r="DU86" s="15" t="n">
        <v>0</v>
      </c>
      <c r="DV86" s="15" t="n">
        <v>0</v>
      </c>
      <c r="DW86" s="15" t="n">
        <v>0</v>
      </c>
      <c r="DX86" s="15" t="s">
        <v>162</v>
      </c>
      <c r="EH86" s="10" t="s">
        <v>206</v>
      </c>
      <c r="EI86" s="15" t="n">
        <v>2222</v>
      </c>
      <c r="EJ86" s="10" t="s">
        <v>547</v>
      </c>
      <c r="EK86" s="10" t="s">
        <v>619</v>
      </c>
      <c r="EL86" s="10" t="s">
        <v>168</v>
      </c>
      <c r="EM86" s="10" t="s">
        <v>620</v>
      </c>
    </row>
    <row collapsed="false" customFormat="true" customHeight="false" hidden="false" ht="14.9" outlineLevel="0" r="87" s="15">
      <c r="A87" s="15" t="s">
        <v>516</v>
      </c>
      <c r="B87" s="10" t="s">
        <v>622</v>
      </c>
      <c r="C87" s="10" t="s">
        <v>623</v>
      </c>
      <c r="H87" s="10" t="s">
        <v>624</v>
      </c>
      <c r="I87" s="10" t="s">
        <v>168</v>
      </c>
      <c r="J87" s="10" t="s">
        <v>625</v>
      </c>
      <c r="K87" s="11" t="s">
        <v>626</v>
      </c>
      <c r="L87" s="11"/>
      <c r="M87" s="15" t="n">
        <v>1</v>
      </c>
      <c r="N87" s="15" t="s">
        <v>194</v>
      </c>
      <c r="O87" s="12" t="n">
        <v>267500</v>
      </c>
      <c r="P87" s="12" t="n">
        <v>267500</v>
      </c>
      <c r="Q87" s="15" t="n">
        <v>1337.5</v>
      </c>
      <c r="R87" s="15" t="n">
        <v>4.99</v>
      </c>
      <c r="S87" s="13" t="n">
        <v>40899</v>
      </c>
      <c r="T87" s="13" t="n">
        <v>40899</v>
      </c>
      <c r="U87" s="18" t="n">
        <v>40940</v>
      </c>
      <c r="V87" s="18" t="n">
        <v>50072</v>
      </c>
      <c r="W87" s="19" t="n">
        <v>0</v>
      </c>
      <c r="X87" s="3" t="n">
        <v>178276</v>
      </c>
      <c r="Y87" s="19"/>
      <c r="Z87" s="15" t="n">
        <v>1</v>
      </c>
      <c r="AB87" s="15" t="s">
        <v>584</v>
      </c>
      <c r="AD87" s="10" t="s">
        <v>624</v>
      </c>
      <c r="AE87" s="10" t="s">
        <v>168</v>
      </c>
      <c r="AF87" s="10" t="s">
        <v>625</v>
      </c>
      <c r="AG87" s="11"/>
      <c r="AH87" s="11"/>
      <c r="AQ87" s="11"/>
      <c r="AT87" s="9" t="s">
        <v>152</v>
      </c>
      <c r="AU87" s="11" t="s">
        <v>153</v>
      </c>
      <c r="AV87" s="15" t="n">
        <v>100</v>
      </c>
      <c r="AW87" s="18" t="n">
        <v>40900</v>
      </c>
      <c r="AX87" s="18" t="n">
        <v>40930</v>
      </c>
      <c r="AZ87" s="15" t="s">
        <v>154</v>
      </c>
      <c r="BA87" s="1" t="n">
        <v>2</v>
      </c>
      <c r="BB87" s="15" t="n">
        <v>19.776</v>
      </c>
      <c r="BC87" s="15" t="n">
        <v>19.776</v>
      </c>
      <c r="BD87" s="15" t="n">
        <v>0</v>
      </c>
      <c r="BE87" s="15" t="n">
        <v>713</v>
      </c>
      <c r="BF87" s="15" t="n">
        <v>300</v>
      </c>
      <c r="BG87" s="15" t="n">
        <v>300</v>
      </c>
      <c r="BH87" s="15" t="s">
        <v>238</v>
      </c>
      <c r="BI87" s="15" t="n">
        <v>1</v>
      </c>
      <c r="BJ87" s="20" t="n">
        <f aca="false">+O87</f>
        <v>267500</v>
      </c>
      <c r="BK87" s="9" t="s">
        <v>510</v>
      </c>
      <c r="BL87" s="15" t="s">
        <v>157</v>
      </c>
      <c r="BM87" s="15" t="n">
        <v>1</v>
      </c>
      <c r="BN87" s="15" t="n">
        <v>56.782254</v>
      </c>
      <c r="BO87" s="15" t="n">
        <v>1</v>
      </c>
      <c r="BP87" s="15" t="n">
        <v>0</v>
      </c>
      <c r="BY87" s="20" t="n">
        <f aca="false">+O87</f>
        <v>267500</v>
      </c>
      <c r="BZ87" s="15" t="n">
        <v>0</v>
      </c>
      <c r="CA87" s="15" t="n">
        <v>0</v>
      </c>
      <c r="CC87" s="15" t="n">
        <v>0</v>
      </c>
      <c r="CD87" s="15" t="n">
        <v>0</v>
      </c>
      <c r="CE87" s="18" t="n">
        <v>40909</v>
      </c>
      <c r="CF87" s="15" t="n">
        <v>1</v>
      </c>
      <c r="CG87" s="15" t="n">
        <v>0</v>
      </c>
      <c r="CH87" s="15" t="n">
        <v>0</v>
      </c>
      <c r="CI87" s="15" t="n">
        <v>0</v>
      </c>
      <c r="CJ87" s="15" t="n">
        <v>0</v>
      </c>
      <c r="CK87" s="15" t="n">
        <v>1</v>
      </c>
      <c r="CL87" s="15" t="n">
        <v>1</v>
      </c>
      <c r="CM87" s="15" t="s">
        <v>176</v>
      </c>
      <c r="CO87" s="15" t="n">
        <v>31</v>
      </c>
      <c r="CQ87" s="15" t="s">
        <v>159</v>
      </c>
      <c r="CS87" s="15" t="n">
        <v>0</v>
      </c>
      <c r="CT87" s="15" t="n">
        <v>0</v>
      </c>
      <c r="CU87" s="15" t="n">
        <v>0</v>
      </c>
      <c r="DA87" s="15" t="s">
        <v>160</v>
      </c>
      <c r="DB87" s="15" t="n">
        <v>1000100100</v>
      </c>
      <c r="DC87" s="15" t="n">
        <v>0</v>
      </c>
      <c r="DE87" s="15" t="n">
        <v>14</v>
      </c>
      <c r="DF87" s="15" t="n">
        <v>21</v>
      </c>
      <c r="DG87" s="15" t="n">
        <v>19900.41</v>
      </c>
      <c r="DH87" s="11" t="s">
        <v>161</v>
      </c>
      <c r="DJ87" s="15" t="n">
        <v>0</v>
      </c>
      <c r="DL87" s="15" t="n">
        <f aca="false">+R87</f>
        <v>4.99</v>
      </c>
      <c r="DQ87" s="15" t="n">
        <v>0</v>
      </c>
      <c r="DR87" s="15" t="n">
        <v>100</v>
      </c>
      <c r="DU87" s="15" t="n">
        <v>0</v>
      </c>
      <c r="DV87" s="15" t="n">
        <v>0</v>
      </c>
      <c r="DW87" s="15" t="n">
        <v>0</v>
      </c>
      <c r="DX87" s="15" t="s">
        <v>162</v>
      </c>
      <c r="EH87" s="10" t="s">
        <v>214</v>
      </c>
      <c r="EI87" s="15" t="n">
        <v>1111</v>
      </c>
      <c r="EJ87" s="10" t="s">
        <v>547</v>
      </c>
      <c r="EK87" s="10" t="s">
        <v>624</v>
      </c>
      <c r="EL87" s="10" t="s">
        <v>168</v>
      </c>
      <c r="EM87" s="10" t="s">
        <v>625</v>
      </c>
    </row>
    <row collapsed="false" customFormat="true" customHeight="false" hidden="false" ht="14.9" outlineLevel="0" r="88" s="15">
      <c r="A88" s="15" t="s">
        <v>627</v>
      </c>
      <c r="B88" s="10" t="s">
        <v>628</v>
      </c>
      <c r="C88" s="10" t="s">
        <v>629</v>
      </c>
      <c r="H88" s="10" t="s">
        <v>630</v>
      </c>
      <c r="I88" s="10" t="s">
        <v>147</v>
      </c>
      <c r="J88" s="10" t="s">
        <v>631</v>
      </c>
      <c r="K88" s="11" t="s">
        <v>632</v>
      </c>
      <c r="L88" s="11"/>
      <c r="M88" s="15" t="n">
        <v>1</v>
      </c>
      <c r="N88" s="15" t="s">
        <v>204</v>
      </c>
      <c r="O88" s="12" t="n">
        <v>394000</v>
      </c>
      <c r="P88" s="12" t="n">
        <v>394000</v>
      </c>
      <c r="Q88" s="15" t="n">
        <v>1970</v>
      </c>
      <c r="R88" s="15" t="n">
        <v>4.99</v>
      </c>
      <c r="S88" s="13" t="n">
        <v>40900</v>
      </c>
      <c r="T88" s="13" t="n">
        <v>40900</v>
      </c>
      <c r="U88" s="18" t="n">
        <v>40940</v>
      </c>
      <c r="V88" s="18" t="n">
        <v>51898</v>
      </c>
      <c r="W88" s="19" t="n">
        <v>0</v>
      </c>
      <c r="X88" s="3" t="n">
        <v>166044</v>
      </c>
      <c r="Y88" s="19"/>
      <c r="Z88" s="15" t="n">
        <v>1</v>
      </c>
      <c r="AB88" s="15" t="s">
        <v>584</v>
      </c>
      <c r="AD88" s="10" t="s">
        <v>630</v>
      </c>
      <c r="AE88" s="10" t="s">
        <v>147</v>
      </c>
      <c r="AF88" s="10" t="s">
        <v>631</v>
      </c>
      <c r="AG88" s="11"/>
      <c r="AH88" s="11"/>
      <c r="AQ88" s="11"/>
      <c r="AT88" s="9" t="s">
        <v>152</v>
      </c>
      <c r="AU88" s="11" t="s">
        <v>153</v>
      </c>
      <c r="AV88" s="15" t="n">
        <v>100</v>
      </c>
      <c r="AW88" s="18" t="n">
        <v>40901</v>
      </c>
      <c r="AX88" s="18" t="n">
        <v>40931</v>
      </c>
      <c r="AZ88" s="15" t="s">
        <v>154</v>
      </c>
      <c r="BA88" s="1" t="n">
        <v>1</v>
      </c>
      <c r="BB88" s="15" t="n">
        <v>80</v>
      </c>
      <c r="BC88" s="15" t="n">
        <v>80</v>
      </c>
      <c r="BD88" s="15" t="n">
        <v>0</v>
      </c>
      <c r="BE88" s="15" t="n">
        <v>708</v>
      </c>
      <c r="BF88" s="15" t="n">
        <v>360</v>
      </c>
      <c r="BG88" s="15" t="n">
        <v>360</v>
      </c>
      <c r="BH88" s="15" t="s">
        <v>238</v>
      </c>
      <c r="BI88" s="15" t="n">
        <v>1</v>
      </c>
      <c r="BJ88" s="20" t="n">
        <f aca="false">+O88</f>
        <v>394000</v>
      </c>
      <c r="BK88" s="9" t="s">
        <v>510</v>
      </c>
      <c r="BL88" s="15" t="s">
        <v>157</v>
      </c>
      <c r="BM88" s="15" t="n">
        <v>1</v>
      </c>
      <c r="BN88" s="15" t="n">
        <v>47.847961</v>
      </c>
      <c r="BO88" s="15" t="n">
        <v>1</v>
      </c>
      <c r="BP88" s="15" t="n">
        <v>0</v>
      </c>
      <c r="BY88" s="20" t="n">
        <f aca="false">+O88</f>
        <v>394000</v>
      </c>
      <c r="BZ88" s="15" t="n">
        <v>0</v>
      </c>
      <c r="CA88" s="15" t="n">
        <v>0</v>
      </c>
      <c r="CC88" s="15" t="n">
        <v>0</v>
      </c>
      <c r="CD88" s="15" t="n">
        <v>0</v>
      </c>
      <c r="CE88" s="18" t="n">
        <v>40909</v>
      </c>
      <c r="CF88" s="15" t="n">
        <v>1</v>
      </c>
      <c r="CG88" s="15" t="n">
        <v>0</v>
      </c>
      <c r="CH88" s="15" t="n">
        <v>0</v>
      </c>
      <c r="CI88" s="15" t="n">
        <v>0</v>
      </c>
      <c r="CJ88" s="15" t="n">
        <v>0</v>
      </c>
      <c r="CK88" s="15" t="n">
        <v>1</v>
      </c>
      <c r="CL88" s="15" t="n">
        <v>1</v>
      </c>
      <c r="CM88" s="15" t="s">
        <v>176</v>
      </c>
      <c r="CO88" s="15" t="n">
        <v>31</v>
      </c>
      <c r="CQ88" s="15" t="s">
        <v>159</v>
      </c>
      <c r="CS88" s="15" t="n">
        <v>0</v>
      </c>
      <c r="CT88" s="15" t="n">
        <v>0</v>
      </c>
      <c r="CU88" s="15" t="n">
        <v>0</v>
      </c>
      <c r="DA88" s="15" t="s">
        <v>160</v>
      </c>
      <c r="DB88" s="15" t="n">
        <v>1000100100</v>
      </c>
      <c r="DC88" s="15" t="n">
        <v>0</v>
      </c>
      <c r="DE88" s="15" t="n">
        <v>2</v>
      </c>
      <c r="DF88" s="15" t="n">
        <v>15</v>
      </c>
      <c r="DG88" s="15" t="n">
        <v>20808.22</v>
      </c>
      <c r="DH88" s="11" t="s">
        <v>161</v>
      </c>
      <c r="DJ88" s="15" t="n">
        <v>0</v>
      </c>
      <c r="DL88" s="15" t="n">
        <f aca="false">+R88</f>
        <v>4.99</v>
      </c>
      <c r="DQ88" s="15" t="n">
        <v>0</v>
      </c>
      <c r="DR88" s="15" t="n">
        <v>100</v>
      </c>
      <c r="DU88" s="15" t="n">
        <v>0</v>
      </c>
      <c r="DV88" s="15" t="n">
        <v>0</v>
      </c>
      <c r="DW88" s="15" t="n">
        <v>0</v>
      </c>
      <c r="DX88" s="15" t="s">
        <v>162</v>
      </c>
      <c r="EH88" s="10" t="s">
        <v>633</v>
      </c>
      <c r="EI88" s="15" t="n">
        <v>9876</v>
      </c>
      <c r="EJ88" s="10" t="s">
        <v>281</v>
      </c>
      <c r="EK88" s="10" t="s">
        <v>630</v>
      </c>
      <c r="EL88" s="10" t="s">
        <v>147</v>
      </c>
      <c r="EM88" s="10" t="s">
        <v>631</v>
      </c>
    </row>
    <row collapsed="false" customFormat="true" customHeight="false" hidden="false" ht="14.9" outlineLevel="0" r="89" s="15">
      <c r="A89" s="15" t="s">
        <v>627</v>
      </c>
      <c r="B89" s="10" t="s">
        <v>634</v>
      </c>
      <c r="C89" s="10" t="s">
        <v>635</v>
      </c>
      <c r="H89" s="10" t="s">
        <v>636</v>
      </c>
      <c r="I89" s="10" t="s">
        <v>168</v>
      </c>
      <c r="J89" s="10" t="s">
        <v>637</v>
      </c>
      <c r="K89" s="11" t="s">
        <v>638</v>
      </c>
      <c r="L89" s="11"/>
      <c r="M89" s="15" t="n">
        <v>1</v>
      </c>
      <c r="N89" s="15" t="s">
        <v>211</v>
      </c>
      <c r="O89" s="12" t="n">
        <v>417000</v>
      </c>
      <c r="P89" s="12" t="n">
        <v>417000</v>
      </c>
      <c r="Q89" s="15" t="n">
        <v>2085</v>
      </c>
      <c r="R89" s="15" t="n">
        <v>5.875</v>
      </c>
      <c r="S89" s="13" t="n">
        <v>40900</v>
      </c>
      <c r="T89" s="13" t="n">
        <v>40900</v>
      </c>
      <c r="U89" s="18" t="n">
        <v>40940</v>
      </c>
      <c r="V89" s="18" t="n">
        <v>51898</v>
      </c>
      <c r="W89" s="19" t="n">
        <v>0</v>
      </c>
      <c r="X89" s="3" t="n">
        <v>407409</v>
      </c>
      <c r="Y89" s="19"/>
      <c r="Z89" s="15" t="n">
        <v>1</v>
      </c>
      <c r="AB89" s="15" t="s">
        <v>584</v>
      </c>
      <c r="AD89" s="10" t="s">
        <v>636</v>
      </c>
      <c r="AE89" s="10" t="s">
        <v>168</v>
      </c>
      <c r="AF89" s="10" t="s">
        <v>637</v>
      </c>
      <c r="AG89" s="11"/>
      <c r="AH89" s="11"/>
      <c r="AQ89" s="11"/>
      <c r="AT89" s="9" t="s">
        <v>236</v>
      </c>
      <c r="AU89" s="11" t="s">
        <v>237</v>
      </c>
      <c r="AV89" s="15" t="n">
        <v>100</v>
      </c>
      <c r="AW89" s="18" t="n">
        <v>40901</v>
      </c>
      <c r="AX89" s="18" t="n">
        <v>40931</v>
      </c>
      <c r="AZ89" s="15" t="s">
        <v>271</v>
      </c>
      <c r="BA89" s="1" t="n">
        <v>1</v>
      </c>
      <c r="BB89" s="15" t="n">
        <v>89.209</v>
      </c>
      <c r="BC89" s="15" t="n">
        <v>89.209</v>
      </c>
      <c r="BD89" s="15" t="n">
        <v>0</v>
      </c>
      <c r="BE89" s="15" t="n">
        <v>719</v>
      </c>
      <c r="BF89" s="15" t="n">
        <v>360</v>
      </c>
      <c r="BG89" s="15" t="n">
        <v>360</v>
      </c>
      <c r="BH89" s="15" t="s">
        <v>173</v>
      </c>
      <c r="BI89" s="15" t="n">
        <v>1</v>
      </c>
      <c r="BJ89" s="20" t="n">
        <f aca="false">+O89</f>
        <v>417000</v>
      </c>
      <c r="BK89" s="9" t="s">
        <v>510</v>
      </c>
      <c r="BL89" s="15" t="s">
        <v>157</v>
      </c>
      <c r="BM89" s="15" t="n">
        <v>1</v>
      </c>
      <c r="BN89" s="15" t="n">
        <v>26.671097</v>
      </c>
      <c r="BO89" s="15" t="n">
        <v>1</v>
      </c>
      <c r="BP89" s="15" t="n">
        <v>0</v>
      </c>
      <c r="BY89" s="20" t="n">
        <f aca="false">+O89</f>
        <v>417000</v>
      </c>
      <c r="BZ89" s="15" t="n">
        <v>0</v>
      </c>
      <c r="CA89" s="15" t="n">
        <v>0</v>
      </c>
      <c r="CC89" s="15" t="n">
        <v>0</v>
      </c>
      <c r="CD89" s="15" t="n">
        <v>0</v>
      </c>
      <c r="CE89" s="18" t="n">
        <v>40909</v>
      </c>
      <c r="CF89" s="15" t="n">
        <v>1</v>
      </c>
      <c r="CG89" s="15" t="n">
        <v>0</v>
      </c>
      <c r="CH89" s="15" t="n">
        <v>0</v>
      </c>
      <c r="CI89" s="15" t="n">
        <v>0</v>
      </c>
      <c r="CJ89" s="15" t="n">
        <v>0</v>
      </c>
      <c r="CK89" s="15" t="n">
        <v>1</v>
      </c>
      <c r="CL89" s="15" t="n">
        <v>1</v>
      </c>
      <c r="CM89" s="15" t="s">
        <v>176</v>
      </c>
      <c r="CO89" s="15" t="n">
        <v>49</v>
      </c>
      <c r="CQ89" s="15" t="s">
        <v>159</v>
      </c>
      <c r="CS89" s="15" t="n">
        <v>0</v>
      </c>
      <c r="CT89" s="15" t="n">
        <v>0</v>
      </c>
      <c r="CU89" s="15" t="n">
        <v>0</v>
      </c>
      <c r="DA89" s="15" t="s">
        <v>160</v>
      </c>
      <c r="DB89" s="15" t="n">
        <v>1000100100</v>
      </c>
      <c r="DC89" s="15" t="n">
        <v>0</v>
      </c>
      <c r="DE89" s="15" t="n">
        <v>6</v>
      </c>
      <c r="DF89" s="15" t="n">
        <v>2</v>
      </c>
      <c r="DG89" s="15" t="n">
        <v>2641.44</v>
      </c>
      <c r="DH89" s="11" t="s">
        <v>161</v>
      </c>
      <c r="DJ89" s="15" t="n">
        <v>0</v>
      </c>
      <c r="DL89" s="15" t="n">
        <f aca="false">+R89</f>
        <v>5.875</v>
      </c>
      <c r="DQ89" s="15" t="n">
        <v>0</v>
      </c>
      <c r="DR89" s="15" t="n">
        <v>100</v>
      </c>
      <c r="DU89" s="15" t="n">
        <v>0</v>
      </c>
      <c r="DV89" s="15" t="n">
        <v>0</v>
      </c>
      <c r="DW89" s="15" t="n">
        <v>0</v>
      </c>
      <c r="DX89" s="15" t="s">
        <v>162</v>
      </c>
      <c r="EH89" s="10" t="s">
        <v>281</v>
      </c>
      <c r="EI89" s="15" t="n">
        <v>654</v>
      </c>
      <c r="EJ89" s="10" t="s">
        <v>250</v>
      </c>
      <c r="EK89" s="10" t="s">
        <v>636</v>
      </c>
      <c r="EL89" s="10" t="s">
        <v>168</v>
      </c>
      <c r="EM89" s="10" t="s">
        <v>637</v>
      </c>
    </row>
    <row collapsed="false" customFormat="true" customHeight="false" hidden="false" ht="14" outlineLevel="0" r="90" s="15">
      <c r="A90" s="15" t="s">
        <v>627</v>
      </c>
      <c r="B90" s="10" t="s">
        <v>639</v>
      </c>
      <c r="C90" s="10" t="s">
        <v>640</v>
      </c>
      <c r="H90" s="10" t="s">
        <v>473</v>
      </c>
      <c r="I90" s="10" t="s">
        <v>168</v>
      </c>
      <c r="J90" s="10" t="s">
        <v>474</v>
      </c>
      <c r="K90" s="11" t="s">
        <v>641</v>
      </c>
      <c r="L90" s="11"/>
      <c r="M90" s="15" t="n">
        <v>1</v>
      </c>
      <c r="N90" s="15" t="s">
        <v>222</v>
      </c>
      <c r="O90" s="12" t="n">
        <v>241000</v>
      </c>
      <c r="P90" s="12" t="n">
        <v>241000</v>
      </c>
      <c r="Q90" s="15" t="n">
        <v>1205</v>
      </c>
      <c r="R90" s="15" t="n">
        <v>4.99</v>
      </c>
      <c r="S90" s="13" t="n">
        <v>40900</v>
      </c>
      <c r="T90" s="13" t="n">
        <v>40900</v>
      </c>
      <c r="U90" s="18" t="n">
        <v>40940</v>
      </c>
      <c r="V90" s="18" t="n">
        <v>51898</v>
      </c>
      <c r="W90" s="19" t="n">
        <v>0</v>
      </c>
      <c r="X90" s="3" t="n">
        <v>119741</v>
      </c>
      <c r="Y90" s="19"/>
      <c r="Z90" s="15" t="n">
        <v>1</v>
      </c>
      <c r="AB90" s="15" t="s">
        <v>584</v>
      </c>
      <c r="AD90" s="10" t="s">
        <v>473</v>
      </c>
      <c r="AE90" s="10" t="s">
        <v>168</v>
      </c>
      <c r="AF90" s="10" t="s">
        <v>474</v>
      </c>
      <c r="AG90" s="11"/>
      <c r="AH90" s="11"/>
      <c r="AQ90" s="11"/>
      <c r="AT90" s="9" t="s">
        <v>236</v>
      </c>
      <c r="AU90" s="11" t="s">
        <v>237</v>
      </c>
      <c r="AV90" s="15" t="n">
        <v>100</v>
      </c>
      <c r="AW90" s="18" t="n">
        <v>40901</v>
      </c>
      <c r="AX90" s="18" t="n">
        <v>40931</v>
      </c>
      <c r="AZ90" s="15" t="s">
        <v>154</v>
      </c>
      <c r="BA90" s="1" t="n">
        <v>2</v>
      </c>
      <c r="BB90" s="15" t="n">
        <v>81.698</v>
      </c>
      <c r="BC90" s="15" t="n">
        <v>81.698</v>
      </c>
      <c r="BD90" s="15" t="n">
        <v>0</v>
      </c>
      <c r="BE90" s="15" t="n">
        <v>809</v>
      </c>
      <c r="BF90" s="15" t="n">
        <v>360</v>
      </c>
      <c r="BG90" s="15" t="n">
        <v>360</v>
      </c>
      <c r="BH90" s="15" t="s">
        <v>238</v>
      </c>
      <c r="BI90" s="15" t="n">
        <v>1</v>
      </c>
      <c r="BJ90" s="20" t="n">
        <f aca="false">+O90</f>
        <v>241000</v>
      </c>
      <c r="BK90" s="9" t="s">
        <v>510</v>
      </c>
      <c r="BL90" s="15" t="s">
        <v>174</v>
      </c>
      <c r="BM90" s="15" t="n">
        <v>1</v>
      </c>
      <c r="BN90" s="15" t="n">
        <v>33.272985</v>
      </c>
      <c r="BO90" s="15" t="n">
        <v>1</v>
      </c>
      <c r="BP90" s="15" t="n">
        <v>0</v>
      </c>
      <c r="BY90" s="20" t="n">
        <f aca="false">+O90</f>
        <v>241000</v>
      </c>
      <c r="BZ90" s="15" t="n">
        <v>0</v>
      </c>
      <c r="CA90" s="15" t="n">
        <v>0</v>
      </c>
      <c r="CC90" s="15" t="n">
        <v>0</v>
      </c>
      <c r="CD90" s="15" t="n">
        <v>0</v>
      </c>
      <c r="CE90" s="18" t="n">
        <v>40909</v>
      </c>
      <c r="CF90" s="15" t="n">
        <v>1</v>
      </c>
      <c r="CG90" s="15" t="n">
        <v>0</v>
      </c>
      <c r="CH90" s="15" t="n">
        <v>0</v>
      </c>
      <c r="CI90" s="15" t="n">
        <v>0</v>
      </c>
      <c r="CJ90" s="15" t="n">
        <v>0</v>
      </c>
      <c r="CK90" s="15" t="n">
        <v>1</v>
      </c>
      <c r="CL90" s="15" t="n">
        <v>1</v>
      </c>
      <c r="CM90" s="15" t="s">
        <v>176</v>
      </c>
      <c r="CO90" s="15" t="n">
        <v>49</v>
      </c>
      <c r="CQ90" s="15" t="s">
        <v>159</v>
      </c>
      <c r="CS90" s="15" t="n">
        <v>0</v>
      </c>
      <c r="CT90" s="15" t="n">
        <v>0</v>
      </c>
      <c r="CU90" s="15" t="n">
        <v>0</v>
      </c>
      <c r="DA90" s="15" t="s">
        <v>160</v>
      </c>
      <c r="DB90" s="15" t="n">
        <v>1000100100</v>
      </c>
      <c r="DC90" s="15" t="n">
        <v>0</v>
      </c>
      <c r="DE90" s="15" t="n">
        <v>7</v>
      </c>
      <c r="DF90" s="15" t="n">
        <v>15</v>
      </c>
      <c r="DG90" s="15" t="n">
        <v>35251.64</v>
      </c>
      <c r="DH90" s="11" t="s">
        <v>161</v>
      </c>
      <c r="DJ90" s="15" t="n">
        <v>0</v>
      </c>
      <c r="DL90" s="15" t="n">
        <f aca="false">+R90</f>
        <v>4.99</v>
      </c>
      <c r="DQ90" s="15" t="n">
        <v>0</v>
      </c>
      <c r="DR90" s="15" t="n">
        <v>100</v>
      </c>
      <c r="DS90" s="15" t="s">
        <v>224</v>
      </c>
      <c r="DU90" s="15" t="n">
        <v>0</v>
      </c>
      <c r="DV90" s="15" t="n">
        <v>0</v>
      </c>
      <c r="DW90" s="15" t="n">
        <v>0</v>
      </c>
      <c r="DX90" s="15" t="s">
        <v>225</v>
      </c>
      <c r="EH90" s="10" t="s">
        <v>642</v>
      </c>
      <c r="EI90" s="15" t="n">
        <v>321</v>
      </c>
      <c r="EJ90" s="10" t="s">
        <v>273</v>
      </c>
      <c r="EK90" s="10" t="s">
        <v>473</v>
      </c>
      <c r="EL90" s="10" t="s">
        <v>168</v>
      </c>
      <c r="EM90" s="10" t="s">
        <v>474</v>
      </c>
    </row>
    <row collapsed="false" customFormat="true" customHeight="false" hidden="false" ht="14.9" outlineLevel="0" r="91" s="15">
      <c r="A91" s="15" t="s">
        <v>627</v>
      </c>
      <c r="B91" s="10" t="s">
        <v>643</v>
      </c>
      <c r="C91" s="10" t="s">
        <v>644</v>
      </c>
      <c r="H91" s="10" t="s">
        <v>242</v>
      </c>
      <c r="I91" s="10" t="s">
        <v>168</v>
      </c>
      <c r="J91" s="10" t="s">
        <v>645</v>
      </c>
      <c r="K91" s="11" t="s">
        <v>646</v>
      </c>
      <c r="L91" s="11" t="s">
        <v>318</v>
      </c>
      <c r="M91" s="15" t="n">
        <v>1</v>
      </c>
      <c r="N91" s="15" t="s">
        <v>222</v>
      </c>
      <c r="O91" s="12" t="n">
        <v>160000</v>
      </c>
      <c r="P91" s="12" t="n">
        <v>160000</v>
      </c>
      <c r="Q91" s="15" t="n">
        <v>800</v>
      </c>
      <c r="R91" s="15" t="n">
        <v>5.875</v>
      </c>
      <c r="S91" s="13" t="n">
        <v>40900</v>
      </c>
      <c r="T91" s="13" t="n">
        <v>40900</v>
      </c>
      <c r="U91" s="18" t="n">
        <v>40940</v>
      </c>
      <c r="V91" s="18" t="n">
        <v>51898</v>
      </c>
      <c r="W91" s="19" t="n">
        <v>0</v>
      </c>
      <c r="X91" s="3" t="n">
        <v>142394</v>
      </c>
      <c r="Y91" s="19"/>
      <c r="Z91" s="15" t="n">
        <v>1</v>
      </c>
      <c r="AB91" s="15" t="s">
        <v>584</v>
      </c>
      <c r="AD91" s="10" t="s">
        <v>242</v>
      </c>
      <c r="AE91" s="10" t="s">
        <v>168</v>
      </c>
      <c r="AF91" s="10" t="s">
        <v>645</v>
      </c>
      <c r="AG91" s="11"/>
      <c r="AH91" s="11"/>
      <c r="AQ91" s="11"/>
      <c r="AT91" s="9" t="s">
        <v>236</v>
      </c>
      <c r="AU91" s="11" t="s">
        <v>237</v>
      </c>
      <c r="AV91" s="15" t="n">
        <v>100</v>
      </c>
      <c r="AW91" s="18" t="n">
        <v>40901</v>
      </c>
      <c r="AX91" s="18" t="n">
        <v>40931</v>
      </c>
      <c r="AZ91" s="15" t="s">
        <v>154</v>
      </c>
      <c r="BA91" s="1" t="n">
        <v>2</v>
      </c>
      <c r="BB91" s="15" t="n">
        <v>19.776</v>
      </c>
      <c r="BC91" s="15" t="n">
        <v>19.776</v>
      </c>
      <c r="BD91" s="15" t="n">
        <v>0</v>
      </c>
      <c r="BE91" s="15" t="n">
        <v>713</v>
      </c>
      <c r="BF91" s="15" t="n">
        <v>360</v>
      </c>
      <c r="BG91" s="15" t="n">
        <v>360</v>
      </c>
      <c r="BH91" s="15" t="s">
        <v>155</v>
      </c>
      <c r="BI91" s="15" t="n">
        <v>1</v>
      </c>
      <c r="BJ91" s="20" t="n">
        <f aca="false">+O91</f>
        <v>160000</v>
      </c>
      <c r="BK91" s="9" t="s">
        <v>510</v>
      </c>
      <c r="BL91" s="15" t="s">
        <v>157</v>
      </c>
      <c r="BM91" s="15" t="n">
        <v>3</v>
      </c>
      <c r="BN91" s="15" t="n">
        <v>56.782254</v>
      </c>
      <c r="BO91" s="15" t="n">
        <v>1</v>
      </c>
      <c r="BP91" s="15" t="n">
        <v>0</v>
      </c>
      <c r="BY91" s="20" t="n">
        <f aca="false">+O91</f>
        <v>160000</v>
      </c>
      <c r="BZ91" s="15" t="n">
        <v>0</v>
      </c>
      <c r="CA91" s="15" t="n">
        <v>0</v>
      </c>
      <c r="CC91" s="15" t="n">
        <v>0</v>
      </c>
      <c r="CD91" s="15" t="n">
        <v>0</v>
      </c>
      <c r="CE91" s="18" t="n">
        <v>40909</v>
      </c>
      <c r="CF91" s="15" t="n">
        <v>1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1</v>
      </c>
      <c r="CL91" s="15" t="n">
        <v>1</v>
      </c>
      <c r="CM91" s="15" t="s">
        <v>176</v>
      </c>
      <c r="CO91" s="15" t="n">
        <v>58</v>
      </c>
      <c r="CQ91" s="15" t="s">
        <v>159</v>
      </c>
      <c r="CS91" s="15" t="n">
        <v>0</v>
      </c>
      <c r="CT91" s="15" t="n">
        <v>0</v>
      </c>
      <c r="CU91" s="15" t="n">
        <v>0</v>
      </c>
      <c r="DA91" s="15" t="s">
        <v>160</v>
      </c>
      <c r="DB91" s="15" t="n">
        <v>1000100100</v>
      </c>
      <c r="DC91" s="15" t="n">
        <v>0</v>
      </c>
      <c r="DE91" s="15" t="n">
        <v>4</v>
      </c>
      <c r="DF91" s="15" t="n">
        <v>0</v>
      </c>
      <c r="DG91" s="15" t="n">
        <v>196.04</v>
      </c>
      <c r="DH91" s="11" t="s">
        <v>161</v>
      </c>
      <c r="DJ91" s="15" t="n">
        <v>0</v>
      </c>
      <c r="DL91" s="15" t="n">
        <f aca="false">+R91</f>
        <v>5.875</v>
      </c>
      <c r="DQ91" s="15" t="n">
        <v>0</v>
      </c>
      <c r="DR91" s="15" t="n">
        <v>100</v>
      </c>
      <c r="DS91" s="15" t="s">
        <v>224</v>
      </c>
      <c r="DU91" s="15" t="n">
        <v>0</v>
      </c>
      <c r="DV91" s="15" t="n">
        <v>0</v>
      </c>
      <c r="DW91" s="15" t="n">
        <v>0</v>
      </c>
      <c r="DX91" s="15" t="s">
        <v>225</v>
      </c>
      <c r="EH91" s="10" t="s">
        <v>647</v>
      </c>
      <c r="EI91" s="15" t="n">
        <v>9513</v>
      </c>
      <c r="EJ91" s="10" t="s">
        <v>648</v>
      </c>
      <c r="EK91" s="10" t="s">
        <v>242</v>
      </c>
      <c r="EL91" s="10" t="s">
        <v>168</v>
      </c>
      <c r="EM91" s="10" t="s">
        <v>645</v>
      </c>
    </row>
    <row collapsed="false" customFormat="true" customHeight="false" hidden="false" ht="14" outlineLevel="0" r="92" s="15">
      <c r="A92" s="15" t="s">
        <v>627</v>
      </c>
      <c r="B92" s="10" t="s">
        <v>649</v>
      </c>
      <c r="C92" s="10" t="s">
        <v>650</v>
      </c>
      <c r="H92" s="10" t="s">
        <v>372</v>
      </c>
      <c r="I92" s="10" t="s">
        <v>168</v>
      </c>
      <c r="J92" s="10" t="s">
        <v>651</v>
      </c>
      <c r="K92" s="11" t="s">
        <v>652</v>
      </c>
      <c r="L92" s="11"/>
      <c r="M92" s="15" t="n">
        <v>1</v>
      </c>
      <c r="N92" s="15" t="s">
        <v>194</v>
      </c>
      <c r="O92" s="12" t="n">
        <v>403500</v>
      </c>
      <c r="P92" s="12" t="n">
        <v>403500</v>
      </c>
      <c r="Q92" s="15" t="n">
        <v>2017.5</v>
      </c>
      <c r="R92" s="15" t="n">
        <v>3.5</v>
      </c>
      <c r="S92" s="13" t="n">
        <v>40900</v>
      </c>
      <c r="T92" s="13" t="n">
        <v>40900</v>
      </c>
      <c r="U92" s="18" t="n">
        <v>40940</v>
      </c>
      <c r="V92" s="18" t="n">
        <v>50072</v>
      </c>
      <c r="W92" s="19" t="n">
        <v>0</v>
      </c>
      <c r="X92" s="3" t="n">
        <v>108450</v>
      </c>
      <c r="Y92" s="19"/>
      <c r="Z92" s="15" t="n">
        <v>1</v>
      </c>
      <c r="AB92" s="15" t="s">
        <v>584</v>
      </c>
      <c r="AD92" s="10" t="s">
        <v>372</v>
      </c>
      <c r="AE92" s="10" t="s">
        <v>168</v>
      </c>
      <c r="AF92" s="10" t="s">
        <v>651</v>
      </c>
      <c r="AG92" s="11"/>
      <c r="AH92" s="11"/>
      <c r="AQ92" s="11"/>
      <c r="AT92" s="15" t="s">
        <v>195</v>
      </c>
      <c r="AU92" s="11" t="n">
        <v>12333333</v>
      </c>
      <c r="AV92" s="15" t="n">
        <v>100</v>
      </c>
      <c r="AW92" s="18" t="n">
        <v>40901</v>
      </c>
      <c r="AX92" s="18" t="n">
        <v>40931</v>
      </c>
      <c r="AZ92" s="15" t="s">
        <v>154</v>
      </c>
      <c r="BA92" s="1" t="n">
        <v>1</v>
      </c>
      <c r="BB92" s="15" t="n">
        <v>80</v>
      </c>
      <c r="BC92" s="15" t="n">
        <v>80</v>
      </c>
      <c r="BD92" s="15" t="n">
        <v>0</v>
      </c>
      <c r="BE92" s="15" t="n">
        <v>708</v>
      </c>
      <c r="BF92" s="15" t="n">
        <v>300</v>
      </c>
      <c r="BG92" s="15" t="n">
        <v>300</v>
      </c>
      <c r="BH92" s="15" t="s">
        <v>155</v>
      </c>
      <c r="BI92" s="15" t="n">
        <v>1</v>
      </c>
      <c r="BJ92" s="20" t="n">
        <f aca="false">+O92</f>
        <v>403500</v>
      </c>
      <c r="BK92" s="9" t="s">
        <v>653</v>
      </c>
      <c r="BL92" s="15" t="s">
        <v>212</v>
      </c>
      <c r="BM92" s="15" t="n">
        <v>1</v>
      </c>
      <c r="BN92" s="15" t="n">
        <v>47.847961</v>
      </c>
      <c r="BO92" s="15" t="n">
        <v>1</v>
      </c>
      <c r="BP92" s="15" t="n">
        <v>0</v>
      </c>
      <c r="BY92" s="20" t="n">
        <f aca="false">+O92</f>
        <v>403500</v>
      </c>
      <c r="BZ92" s="15" t="n">
        <v>0</v>
      </c>
      <c r="CA92" s="15" t="n">
        <v>0</v>
      </c>
      <c r="CC92" s="15" t="n">
        <v>0</v>
      </c>
      <c r="CD92" s="15" t="n">
        <v>0</v>
      </c>
      <c r="CE92" s="18" t="n">
        <v>40909</v>
      </c>
      <c r="CF92" s="15" t="n">
        <v>1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1</v>
      </c>
      <c r="CL92" s="15" t="n">
        <v>1</v>
      </c>
      <c r="CM92" s="15" t="s">
        <v>176</v>
      </c>
      <c r="CO92" s="15" t="n">
        <v>52</v>
      </c>
      <c r="CQ92" s="15" t="s">
        <v>159</v>
      </c>
      <c r="CS92" s="15" t="n">
        <v>0</v>
      </c>
      <c r="CT92" s="15" t="n">
        <v>0</v>
      </c>
      <c r="CU92" s="15" t="n">
        <v>0</v>
      </c>
      <c r="DA92" s="15" t="s">
        <v>160</v>
      </c>
      <c r="DB92" s="15" t="n">
        <v>1000100100</v>
      </c>
      <c r="DC92" s="15" t="n">
        <v>0</v>
      </c>
      <c r="DE92" s="15" t="n">
        <v>4</v>
      </c>
      <c r="DF92" s="15" t="n">
        <v>87</v>
      </c>
      <c r="DG92" s="15" t="n">
        <v>148993.24</v>
      </c>
      <c r="DH92" s="11" t="s">
        <v>161</v>
      </c>
      <c r="DJ92" s="15" t="n">
        <v>0</v>
      </c>
      <c r="DL92" s="15" t="n">
        <f aca="false">+R92</f>
        <v>3.5</v>
      </c>
      <c r="DQ92" s="15" t="n">
        <v>0</v>
      </c>
      <c r="DR92" s="15" t="n">
        <v>100</v>
      </c>
      <c r="DU92" s="15" t="n">
        <v>0</v>
      </c>
      <c r="DV92" s="15" t="n">
        <v>0</v>
      </c>
      <c r="DW92" s="15" t="n">
        <v>0</v>
      </c>
      <c r="DX92" s="15" t="s">
        <v>162</v>
      </c>
      <c r="EH92" s="10" t="s">
        <v>654</v>
      </c>
      <c r="EI92" s="15" t="n">
        <v>7531</v>
      </c>
      <c r="EJ92" s="10" t="s">
        <v>281</v>
      </c>
      <c r="EK92" s="10" t="s">
        <v>372</v>
      </c>
      <c r="EL92" s="10" t="s">
        <v>168</v>
      </c>
      <c r="EM92" s="10" t="s">
        <v>651</v>
      </c>
    </row>
    <row collapsed="false" customFormat="true" customHeight="false" hidden="false" ht="14" outlineLevel="0" r="93" s="15">
      <c r="A93" s="15" t="s">
        <v>627</v>
      </c>
      <c r="B93" s="10" t="s">
        <v>655</v>
      </c>
      <c r="C93" s="10" t="s">
        <v>656</v>
      </c>
      <c r="H93" s="10" t="s">
        <v>657</v>
      </c>
      <c r="I93" s="10" t="s">
        <v>168</v>
      </c>
      <c r="J93" s="10" t="s">
        <v>658</v>
      </c>
      <c r="K93" s="11" t="s">
        <v>659</v>
      </c>
      <c r="L93" s="11"/>
      <c r="M93" s="15" t="n">
        <v>1</v>
      </c>
      <c r="N93" s="15" t="s">
        <v>204</v>
      </c>
      <c r="O93" s="12" t="n">
        <v>1022000</v>
      </c>
      <c r="P93" s="12" t="n">
        <v>1022000</v>
      </c>
      <c r="Q93" s="15" t="n">
        <v>5110</v>
      </c>
      <c r="R93" s="15" t="n">
        <v>3.875</v>
      </c>
      <c r="S93" s="13" t="n">
        <v>40900</v>
      </c>
      <c r="T93" s="13" t="n">
        <v>40900</v>
      </c>
      <c r="U93" s="18" t="n">
        <v>40940</v>
      </c>
      <c r="V93" s="18" t="n">
        <v>51898</v>
      </c>
      <c r="W93" s="19" t="n">
        <v>0</v>
      </c>
      <c r="X93" s="3" t="n">
        <v>731427</v>
      </c>
      <c r="Y93" s="19"/>
      <c r="Z93" s="15" t="n">
        <v>1</v>
      </c>
      <c r="AB93" s="15" t="s">
        <v>584</v>
      </c>
      <c r="AD93" s="10" t="s">
        <v>657</v>
      </c>
      <c r="AE93" s="10" t="s">
        <v>168</v>
      </c>
      <c r="AF93" s="10" t="s">
        <v>658</v>
      </c>
      <c r="AG93" s="11"/>
      <c r="AH93" s="11"/>
      <c r="AQ93" s="11"/>
      <c r="AT93" s="15" t="s">
        <v>195</v>
      </c>
      <c r="AU93" s="11" t="n">
        <v>12333333</v>
      </c>
      <c r="AV93" s="15" t="n">
        <v>100</v>
      </c>
      <c r="AW93" s="18" t="n">
        <v>40901</v>
      </c>
      <c r="AX93" s="18" t="n">
        <v>40931</v>
      </c>
      <c r="AZ93" s="15" t="s">
        <v>154</v>
      </c>
      <c r="BA93" s="1" t="n">
        <v>1</v>
      </c>
      <c r="BB93" s="15" t="n">
        <v>35.831</v>
      </c>
      <c r="BC93" s="15" t="n">
        <v>35.831</v>
      </c>
      <c r="BD93" s="15" t="n">
        <v>0</v>
      </c>
      <c r="BE93" s="15" t="n">
        <v>741</v>
      </c>
      <c r="BF93" s="15" t="n">
        <v>360</v>
      </c>
      <c r="BG93" s="15" t="n">
        <v>360</v>
      </c>
      <c r="BH93" s="15" t="s">
        <v>238</v>
      </c>
      <c r="BI93" s="15" t="n">
        <v>1</v>
      </c>
      <c r="BJ93" s="20" t="n">
        <f aca="false">+O93</f>
        <v>1022000</v>
      </c>
      <c r="BK93" s="9" t="s">
        <v>653</v>
      </c>
      <c r="BL93" s="15" t="s">
        <v>157</v>
      </c>
      <c r="BM93" s="15" t="n">
        <v>1</v>
      </c>
      <c r="BN93" s="15" t="n">
        <v>26.671097</v>
      </c>
      <c r="BO93" s="15" t="n">
        <v>0</v>
      </c>
      <c r="BP93" s="15" t="n">
        <v>0</v>
      </c>
      <c r="BY93" s="20" t="n">
        <f aca="false">+O93</f>
        <v>1022000</v>
      </c>
      <c r="BZ93" s="15" t="n">
        <v>0</v>
      </c>
      <c r="CA93" s="15" t="n">
        <v>0</v>
      </c>
      <c r="CC93" s="15" t="n">
        <v>0</v>
      </c>
      <c r="CD93" s="15" t="n">
        <v>0</v>
      </c>
      <c r="CE93" s="18" t="n">
        <v>40909</v>
      </c>
      <c r="CF93" s="15" t="n">
        <v>1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1</v>
      </c>
      <c r="CL93" s="15" t="n">
        <v>1</v>
      </c>
      <c r="CM93" s="15" t="s">
        <v>176</v>
      </c>
      <c r="CO93" s="15" t="n">
        <v>43</v>
      </c>
      <c r="CQ93" s="15" t="s">
        <v>159</v>
      </c>
      <c r="CS93" s="15" t="n">
        <v>0</v>
      </c>
      <c r="CT93" s="15" t="n">
        <v>0</v>
      </c>
      <c r="CU93" s="15" t="n">
        <v>0</v>
      </c>
      <c r="DA93" s="15" t="s">
        <v>160</v>
      </c>
      <c r="DB93" s="15" t="n">
        <v>1000100100</v>
      </c>
      <c r="DC93" s="15" t="n">
        <v>0</v>
      </c>
      <c r="DE93" s="15" t="n">
        <v>8</v>
      </c>
      <c r="DF93" s="15" t="n">
        <v>0</v>
      </c>
      <c r="DG93" s="15" t="n">
        <v>209.47</v>
      </c>
      <c r="DH93" s="11" t="s">
        <v>161</v>
      </c>
      <c r="DJ93" s="15" t="n">
        <v>0</v>
      </c>
      <c r="DL93" s="15" t="n">
        <f aca="false">+R93</f>
        <v>3.875</v>
      </c>
      <c r="DQ93" s="15" t="n">
        <v>0</v>
      </c>
      <c r="DR93" s="15" t="n">
        <v>100</v>
      </c>
      <c r="DU93" s="15" t="n">
        <v>0</v>
      </c>
      <c r="DV93" s="15" t="n">
        <v>0</v>
      </c>
      <c r="DW93" s="15" t="n">
        <v>0</v>
      </c>
      <c r="DX93" s="15" t="s">
        <v>162</v>
      </c>
      <c r="EH93" s="10" t="s">
        <v>547</v>
      </c>
      <c r="EI93" s="15" t="n">
        <v>987465</v>
      </c>
      <c r="EJ93" s="10" t="s">
        <v>660</v>
      </c>
      <c r="EK93" s="10" t="s">
        <v>657</v>
      </c>
      <c r="EL93" s="10" t="s">
        <v>168</v>
      </c>
      <c r="EM93" s="10" t="s">
        <v>658</v>
      </c>
    </row>
    <row collapsed="false" customFormat="true" customHeight="false" hidden="false" ht="14.9" outlineLevel="0" r="94" s="15">
      <c r="A94" s="15" t="s">
        <v>627</v>
      </c>
      <c r="B94" s="10" t="s">
        <v>661</v>
      </c>
      <c r="C94" s="10" t="s">
        <v>662</v>
      </c>
      <c r="H94" s="10" t="s">
        <v>663</v>
      </c>
      <c r="I94" s="10" t="s">
        <v>168</v>
      </c>
      <c r="J94" s="10" t="s">
        <v>664</v>
      </c>
      <c r="K94" s="11" t="s">
        <v>665</v>
      </c>
      <c r="L94" s="11"/>
      <c r="M94" s="15" t="n">
        <v>0</v>
      </c>
      <c r="N94" s="15" t="s">
        <v>211</v>
      </c>
      <c r="O94" s="12" t="n">
        <v>522269</v>
      </c>
      <c r="P94" s="12" t="n">
        <v>522269</v>
      </c>
      <c r="Q94" s="15" t="n">
        <v>2611.345</v>
      </c>
      <c r="R94" s="15" t="n">
        <v>4.875</v>
      </c>
      <c r="S94" s="13" t="n">
        <v>40900</v>
      </c>
      <c r="T94" s="13" t="n">
        <v>40900</v>
      </c>
      <c r="U94" s="18" t="n">
        <v>40940</v>
      </c>
      <c r="V94" s="18" t="n">
        <v>51898</v>
      </c>
      <c r="W94" s="19" t="n">
        <v>1</v>
      </c>
      <c r="X94" s="3" t="n">
        <v>20568</v>
      </c>
      <c r="Y94" s="19"/>
      <c r="Z94" s="15" t="n">
        <v>1</v>
      </c>
      <c r="AB94" s="15" t="s">
        <v>584</v>
      </c>
      <c r="AD94" s="10" t="s">
        <v>663</v>
      </c>
      <c r="AE94" s="10" t="s">
        <v>168</v>
      </c>
      <c r="AF94" s="10" t="s">
        <v>664</v>
      </c>
      <c r="AG94" s="11"/>
      <c r="AH94" s="11"/>
      <c r="AQ94" s="11"/>
      <c r="AT94" s="15" t="s">
        <v>195</v>
      </c>
      <c r="AU94" s="11" t="n">
        <v>12333333</v>
      </c>
      <c r="AV94" s="15" t="n">
        <v>100</v>
      </c>
      <c r="AW94" s="18" t="n">
        <v>40901</v>
      </c>
      <c r="AX94" s="18" t="n">
        <v>40931</v>
      </c>
      <c r="AZ94" s="15" t="s">
        <v>154</v>
      </c>
      <c r="BA94" s="1" t="n">
        <v>2</v>
      </c>
      <c r="BB94" s="15" t="n">
        <v>45.833</v>
      </c>
      <c r="BC94" s="15" t="n">
        <v>45.833</v>
      </c>
      <c r="BD94" s="15" t="n">
        <v>0</v>
      </c>
      <c r="BE94" s="15" t="n">
        <v>758</v>
      </c>
      <c r="BF94" s="15" t="n">
        <v>360</v>
      </c>
      <c r="BG94" s="15" t="n">
        <v>360</v>
      </c>
      <c r="BH94" s="15" t="s">
        <v>238</v>
      </c>
      <c r="BI94" s="15" t="n">
        <v>1</v>
      </c>
      <c r="BJ94" s="20" t="n">
        <f aca="false">+O94</f>
        <v>522269</v>
      </c>
      <c r="BK94" s="9" t="s">
        <v>653</v>
      </c>
      <c r="BL94" s="15" t="s">
        <v>157</v>
      </c>
      <c r="BM94" s="15" t="n">
        <v>1</v>
      </c>
      <c r="BN94" s="15" t="n">
        <v>20.801104</v>
      </c>
      <c r="BO94" s="15" t="n">
        <v>1</v>
      </c>
      <c r="BP94" s="15" t="n">
        <v>2</v>
      </c>
      <c r="BQ94" s="15" t="s">
        <v>325</v>
      </c>
      <c r="BR94" s="15" t="n">
        <v>3.875</v>
      </c>
      <c r="BS94" s="18" t="n">
        <v>41974</v>
      </c>
      <c r="BT94" s="15" t="n">
        <v>1</v>
      </c>
      <c r="BU94" s="15" t="n">
        <v>12</v>
      </c>
      <c r="BV94" s="15" t="n">
        <v>1</v>
      </c>
      <c r="BW94" s="15" t="n">
        <v>5</v>
      </c>
      <c r="BX94" s="15" t="n">
        <v>2</v>
      </c>
      <c r="BY94" s="20" t="n">
        <f aca="false">+O94</f>
        <v>522269</v>
      </c>
      <c r="BZ94" s="15" t="n">
        <v>0</v>
      </c>
      <c r="CA94" s="15" t="n">
        <v>0</v>
      </c>
      <c r="CC94" s="15" t="n">
        <v>0</v>
      </c>
      <c r="CD94" s="15" t="n">
        <v>0</v>
      </c>
      <c r="CE94" s="18" t="n">
        <v>40909</v>
      </c>
      <c r="CF94" s="15" t="n">
        <v>1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1</v>
      </c>
      <c r="CL94" s="15" t="n">
        <v>1</v>
      </c>
      <c r="CM94" s="9" t="s">
        <v>245</v>
      </c>
      <c r="CO94" s="15" t="n">
        <v>66</v>
      </c>
      <c r="CQ94" s="15" t="s">
        <v>159</v>
      </c>
      <c r="CS94" s="15" t="n">
        <v>0</v>
      </c>
      <c r="CT94" s="15" t="n">
        <v>0</v>
      </c>
      <c r="CU94" s="15" t="n">
        <v>0</v>
      </c>
      <c r="DA94" s="15" t="s">
        <v>160</v>
      </c>
      <c r="DB94" s="15" t="n">
        <v>1000100100</v>
      </c>
      <c r="DC94" s="15" t="n">
        <v>0</v>
      </c>
      <c r="DD94" s="15" t="n">
        <v>30</v>
      </c>
      <c r="DE94" s="15" t="n">
        <v>12</v>
      </c>
      <c r="DF94" s="15" t="n">
        <v>0</v>
      </c>
      <c r="DG94" s="15" t="n">
        <v>301.07</v>
      </c>
      <c r="DH94" s="11" t="s">
        <v>161</v>
      </c>
      <c r="DJ94" s="15" t="n">
        <v>0</v>
      </c>
      <c r="DL94" s="15" t="n">
        <f aca="false">+R94</f>
        <v>4.875</v>
      </c>
      <c r="DM94" s="15" t="n">
        <v>1</v>
      </c>
      <c r="DN94" s="15" t="n">
        <v>0</v>
      </c>
      <c r="DO94" s="15" t="n">
        <v>0</v>
      </c>
      <c r="DP94" s="15" t="n">
        <v>0</v>
      </c>
      <c r="DQ94" s="15" t="n">
        <v>0</v>
      </c>
      <c r="DR94" s="15" t="n">
        <v>100</v>
      </c>
      <c r="DT94" s="15" t="n">
        <v>8.875</v>
      </c>
      <c r="DU94" s="15" t="n">
        <v>0</v>
      </c>
      <c r="DV94" s="15" t="n">
        <v>0</v>
      </c>
      <c r="DW94" s="15" t="n">
        <v>0</v>
      </c>
      <c r="DX94" s="15" t="s">
        <v>162</v>
      </c>
      <c r="EH94" s="10" t="s">
        <v>633</v>
      </c>
      <c r="EI94" s="15" t="n">
        <v>9876</v>
      </c>
      <c r="EJ94" s="10" t="s">
        <v>666</v>
      </c>
      <c r="EK94" s="10" t="s">
        <v>663</v>
      </c>
      <c r="EL94" s="10" t="s">
        <v>168</v>
      </c>
      <c r="EM94" s="10" t="s">
        <v>664</v>
      </c>
    </row>
    <row collapsed="false" customFormat="true" customHeight="false" hidden="false" ht="14.9" outlineLevel="0" r="95" s="15">
      <c r="A95" s="15" t="s">
        <v>627</v>
      </c>
      <c r="B95" s="10" t="s">
        <v>667</v>
      </c>
      <c r="C95" s="10" t="s">
        <v>668</v>
      </c>
      <c r="H95" s="10" t="s">
        <v>669</v>
      </c>
      <c r="I95" s="10" t="s">
        <v>168</v>
      </c>
      <c r="J95" s="10" t="s">
        <v>670</v>
      </c>
      <c r="K95" s="11" t="s">
        <v>671</v>
      </c>
      <c r="L95" s="11"/>
      <c r="M95" s="15" t="n">
        <v>1</v>
      </c>
      <c r="N95" s="15" t="s">
        <v>150</v>
      </c>
      <c r="O95" s="12" t="n">
        <v>504000</v>
      </c>
      <c r="P95" s="12" t="n">
        <v>504000</v>
      </c>
      <c r="Q95" s="15" t="n">
        <v>2520</v>
      </c>
      <c r="R95" s="15" t="n">
        <v>4.99</v>
      </c>
      <c r="S95" s="13" t="n">
        <v>40900</v>
      </c>
      <c r="T95" s="13" t="n">
        <v>40900</v>
      </c>
      <c r="U95" s="18" t="n">
        <v>40940</v>
      </c>
      <c r="V95" s="18" t="n">
        <v>44593</v>
      </c>
      <c r="W95" s="19" t="n">
        <v>0</v>
      </c>
      <c r="X95" s="3" t="n">
        <v>60944</v>
      </c>
      <c r="Y95" s="19"/>
      <c r="Z95" s="15" t="n">
        <v>1</v>
      </c>
      <c r="AB95" s="15" t="s">
        <v>584</v>
      </c>
      <c r="AD95" s="10" t="s">
        <v>669</v>
      </c>
      <c r="AE95" s="10" t="s">
        <v>168</v>
      </c>
      <c r="AF95" s="10" t="s">
        <v>670</v>
      </c>
      <c r="AG95" s="11"/>
      <c r="AH95" s="11"/>
      <c r="AQ95" s="11"/>
      <c r="AT95" s="21" t="s">
        <v>364</v>
      </c>
      <c r="AU95" s="11" t="s">
        <v>365</v>
      </c>
      <c r="AV95" s="15" t="n">
        <v>100</v>
      </c>
      <c r="AW95" s="18" t="n">
        <v>40901</v>
      </c>
      <c r="AX95" s="18" t="n">
        <v>40931</v>
      </c>
      <c r="AZ95" s="15" t="s">
        <v>154</v>
      </c>
      <c r="BA95" s="1" t="n">
        <v>2</v>
      </c>
      <c r="BB95" s="15" t="n">
        <v>89.209</v>
      </c>
      <c r="BC95" s="15" t="n">
        <v>89.209</v>
      </c>
      <c r="BD95" s="15" t="n">
        <v>0</v>
      </c>
      <c r="BE95" s="15" t="n">
        <v>719</v>
      </c>
      <c r="BF95" s="15" t="n">
        <v>120</v>
      </c>
      <c r="BG95" s="15" t="n">
        <v>120</v>
      </c>
      <c r="BH95" s="15" t="s">
        <v>238</v>
      </c>
      <c r="BI95" s="15" t="n">
        <v>1</v>
      </c>
      <c r="BJ95" s="20" t="n">
        <f aca="false">+O95</f>
        <v>504000</v>
      </c>
      <c r="BK95" s="9" t="s">
        <v>653</v>
      </c>
      <c r="BL95" s="15" t="s">
        <v>157</v>
      </c>
      <c r="BM95" s="15" t="n">
        <v>1</v>
      </c>
      <c r="BN95" s="15" t="n">
        <v>25.643788</v>
      </c>
      <c r="BO95" s="15" t="n">
        <v>1</v>
      </c>
      <c r="BP95" s="15" t="n">
        <v>0</v>
      </c>
      <c r="BY95" s="20" t="n">
        <f aca="false">+O95</f>
        <v>504000</v>
      </c>
      <c r="BZ95" s="15" t="n">
        <v>0</v>
      </c>
      <c r="CA95" s="15" t="n">
        <v>0</v>
      </c>
      <c r="CC95" s="15" t="n">
        <v>0</v>
      </c>
      <c r="CD95" s="15" t="n">
        <v>0</v>
      </c>
      <c r="CE95" s="18" t="n">
        <v>40909</v>
      </c>
      <c r="CF95" s="15" t="n">
        <v>1</v>
      </c>
      <c r="CG95" s="15" t="n">
        <v>0</v>
      </c>
      <c r="CH95" s="15" t="n">
        <v>0</v>
      </c>
      <c r="CI95" s="15" t="n">
        <v>0</v>
      </c>
      <c r="CJ95" s="15" t="n">
        <v>0</v>
      </c>
      <c r="CK95" s="15" t="n">
        <v>1</v>
      </c>
      <c r="CL95" s="15" t="n">
        <v>1</v>
      </c>
      <c r="CM95" s="15" t="s">
        <v>176</v>
      </c>
      <c r="CO95" s="15" t="n">
        <v>49</v>
      </c>
      <c r="CQ95" s="15" t="s">
        <v>159</v>
      </c>
      <c r="CS95" s="15" t="n">
        <v>0</v>
      </c>
      <c r="CT95" s="15" t="n">
        <v>0</v>
      </c>
      <c r="CU95" s="15" t="n">
        <v>0</v>
      </c>
      <c r="DA95" s="15" t="s">
        <v>160</v>
      </c>
      <c r="DB95" s="15" t="n">
        <v>1000100100</v>
      </c>
      <c r="DC95" s="15" t="n">
        <v>0</v>
      </c>
      <c r="DE95" s="15" t="n">
        <v>4</v>
      </c>
      <c r="DF95" s="15" t="n">
        <v>0</v>
      </c>
      <c r="DG95" s="15" t="n">
        <v>371.31</v>
      </c>
      <c r="DH95" s="11" t="s">
        <v>161</v>
      </c>
      <c r="DJ95" s="15" t="n">
        <v>0</v>
      </c>
      <c r="DL95" s="15" t="n">
        <f aca="false">+R95</f>
        <v>4.99</v>
      </c>
      <c r="DQ95" s="15" t="n">
        <v>0</v>
      </c>
      <c r="DR95" s="15" t="n">
        <v>100</v>
      </c>
      <c r="DU95" s="15" t="n">
        <v>0</v>
      </c>
      <c r="DV95" s="15" t="n">
        <v>0</v>
      </c>
      <c r="DW95" s="15" t="n">
        <v>0</v>
      </c>
      <c r="DX95" s="15" t="s">
        <v>162</v>
      </c>
      <c r="EH95" s="10" t="s">
        <v>281</v>
      </c>
      <c r="EI95" s="15" t="n">
        <v>654</v>
      </c>
      <c r="EJ95" s="10" t="s">
        <v>536</v>
      </c>
      <c r="EK95" s="10" t="s">
        <v>669</v>
      </c>
      <c r="EL95" s="10" t="s">
        <v>168</v>
      </c>
      <c r="EM95" s="10" t="s">
        <v>670</v>
      </c>
    </row>
    <row collapsed="false" customFormat="true" customHeight="false" hidden="false" ht="14.9" outlineLevel="0" r="96" s="15">
      <c r="A96" s="15" t="s">
        <v>627</v>
      </c>
      <c r="B96" s="10" t="s">
        <v>672</v>
      </c>
      <c r="C96" s="10" t="s">
        <v>673</v>
      </c>
      <c r="H96" s="10" t="s">
        <v>199</v>
      </c>
      <c r="I96" s="10" t="s">
        <v>200</v>
      </c>
      <c r="J96" s="10" t="s">
        <v>674</v>
      </c>
      <c r="K96" s="11" t="s">
        <v>675</v>
      </c>
      <c r="L96" s="11"/>
      <c r="M96" s="15" t="n">
        <v>1</v>
      </c>
      <c r="N96" s="15" t="s">
        <v>172</v>
      </c>
      <c r="O96" s="12" t="n">
        <v>327200</v>
      </c>
      <c r="P96" s="12" t="n">
        <v>327200</v>
      </c>
      <c r="Q96" s="15" t="n">
        <v>1636</v>
      </c>
      <c r="R96" s="15" t="n">
        <v>5.875</v>
      </c>
      <c r="S96" s="13" t="n">
        <v>40900</v>
      </c>
      <c r="T96" s="13" t="n">
        <v>40900</v>
      </c>
      <c r="U96" s="18" t="n">
        <v>40940</v>
      </c>
      <c r="V96" s="18" t="n">
        <v>46419</v>
      </c>
      <c r="W96" s="19" t="n">
        <v>0</v>
      </c>
      <c r="X96" s="3" t="n">
        <v>321970</v>
      </c>
      <c r="Y96" s="19"/>
      <c r="Z96" s="15" t="n">
        <v>1</v>
      </c>
      <c r="AB96" s="15" t="s">
        <v>584</v>
      </c>
      <c r="AD96" s="10" t="s">
        <v>199</v>
      </c>
      <c r="AE96" s="10" t="s">
        <v>200</v>
      </c>
      <c r="AF96" s="10" t="s">
        <v>674</v>
      </c>
      <c r="AG96" s="11"/>
      <c r="AH96" s="11"/>
      <c r="AQ96" s="11"/>
      <c r="AT96" s="21" t="s">
        <v>364</v>
      </c>
      <c r="AU96" s="11" t="s">
        <v>365</v>
      </c>
      <c r="AV96" s="15" t="n">
        <v>100</v>
      </c>
      <c r="AW96" s="18" t="n">
        <v>40901</v>
      </c>
      <c r="AX96" s="18" t="n">
        <v>40931</v>
      </c>
      <c r="AZ96" s="15" t="s">
        <v>154</v>
      </c>
      <c r="BA96" s="1" t="n">
        <v>1</v>
      </c>
      <c r="BB96" s="15" t="n">
        <v>81.698</v>
      </c>
      <c r="BC96" s="15" t="n">
        <v>81.698</v>
      </c>
      <c r="BD96" s="15" t="n">
        <v>0</v>
      </c>
      <c r="BE96" s="15" t="n">
        <v>809</v>
      </c>
      <c r="BF96" s="9" t="n">
        <f aca="false">15*12</f>
        <v>180</v>
      </c>
      <c r="BG96" s="15" t="n">
        <v>180</v>
      </c>
      <c r="BH96" s="15" t="s">
        <v>238</v>
      </c>
      <c r="BI96" s="15" t="n">
        <v>1</v>
      </c>
      <c r="BJ96" s="20" t="n">
        <f aca="false">+O96</f>
        <v>327200</v>
      </c>
      <c r="BK96" s="9" t="s">
        <v>653</v>
      </c>
      <c r="BL96" s="15" t="s">
        <v>174</v>
      </c>
      <c r="BM96" s="15" t="n">
        <v>3</v>
      </c>
      <c r="BN96" s="15" t="n">
        <v>33.156344</v>
      </c>
      <c r="BO96" s="15" t="n">
        <v>1</v>
      </c>
      <c r="BP96" s="15" t="n">
        <v>0</v>
      </c>
      <c r="BY96" s="20" t="n">
        <f aca="false">+O96</f>
        <v>327200</v>
      </c>
      <c r="BZ96" s="15" t="n">
        <v>0</v>
      </c>
      <c r="CA96" s="15" t="n">
        <v>0</v>
      </c>
      <c r="CC96" s="15" t="n">
        <v>0</v>
      </c>
      <c r="CD96" s="15" t="n">
        <v>0</v>
      </c>
      <c r="CE96" s="18" t="n">
        <v>40909</v>
      </c>
      <c r="CF96" s="15" t="n">
        <v>1</v>
      </c>
      <c r="CG96" s="15" t="n">
        <v>0</v>
      </c>
      <c r="CH96" s="15" t="n">
        <v>0</v>
      </c>
      <c r="CI96" s="15" t="n">
        <v>0</v>
      </c>
      <c r="CJ96" s="15" t="n">
        <v>0</v>
      </c>
      <c r="CK96" s="15" t="n">
        <v>1</v>
      </c>
      <c r="CL96" s="15" t="n">
        <v>1</v>
      </c>
      <c r="CM96" s="15" t="s">
        <v>176</v>
      </c>
      <c r="CO96" s="15" t="n">
        <v>45</v>
      </c>
      <c r="CQ96" s="15" t="s">
        <v>159</v>
      </c>
      <c r="CS96" s="15" t="n">
        <v>0</v>
      </c>
      <c r="CT96" s="15" t="n">
        <v>0</v>
      </c>
      <c r="CU96" s="15" t="n">
        <v>0</v>
      </c>
      <c r="DA96" s="15" t="s">
        <v>160</v>
      </c>
      <c r="DB96" s="15" t="n">
        <v>1000100100</v>
      </c>
      <c r="DC96" s="15" t="n">
        <v>0</v>
      </c>
      <c r="DE96" s="15" t="n">
        <v>8</v>
      </c>
      <c r="DF96" s="15" t="n">
        <v>1</v>
      </c>
      <c r="DG96" s="15" t="n">
        <v>1585.86</v>
      </c>
      <c r="DH96" s="11" t="s">
        <v>161</v>
      </c>
      <c r="DJ96" s="15" t="n">
        <v>0</v>
      </c>
      <c r="DL96" s="15" t="n">
        <f aca="false">+R96</f>
        <v>5.875</v>
      </c>
      <c r="DQ96" s="15" t="n">
        <v>0</v>
      </c>
      <c r="DR96" s="15" t="n">
        <v>100</v>
      </c>
      <c r="DU96" s="15" t="n">
        <v>0</v>
      </c>
      <c r="DV96" s="15" t="n">
        <v>0</v>
      </c>
      <c r="DW96" s="15" t="n">
        <v>0</v>
      </c>
      <c r="DX96" s="15" t="s">
        <v>162</v>
      </c>
      <c r="EH96" s="10" t="s">
        <v>642</v>
      </c>
      <c r="EI96" s="15" t="n">
        <v>321</v>
      </c>
      <c r="EJ96" s="10" t="s">
        <v>281</v>
      </c>
      <c r="EK96" s="10" t="s">
        <v>199</v>
      </c>
      <c r="EL96" s="10" t="s">
        <v>200</v>
      </c>
      <c r="EM96" s="10" t="s">
        <v>674</v>
      </c>
    </row>
    <row collapsed="false" customFormat="true" customHeight="false" hidden="false" ht="14.9" outlineLevel="0" r="97" s="15">
      <c r="A97" s="15" t="s">
        <v>627</v>
      </c>
      <c r="B97" s="10" t="s">
        <v>676</v>
      </c>
      <c r="C97" s="10" t="s">
        <v>677</v>
      </c>
      <c r="H97" s="10" t="s">
        <v>678</v>
      </c>
      <c r="I97" s="10" t="s">
        <v>168</v>
      </c>
      <c r="J97" s="10" t="s">
        <v>679</v>
      </c>
      <c r="K97" s="11" t="s">
        <v>680</v>
      </c>
      <c r="L97" s="11"/>
      <c r="M97" s="15" t="n">
        <v>1</v>
      </c>
      <c r="N97" s="15" t="s">
        <v>185</v>
      </c>
      <c r="O97" s="12" t="n">
        <v>301000</v>
      </c>
      <c r="P97" s="12" t="n">
        <v>301000</v>
      </c>
      <c r="Q97" s="15" t="n">
        <v>1505</v>
      </c>
      <c r="R97" s="15" t="n">
        <v>3.5</v>
      </c>
      <c r="S97" s="13" t="n">
        <v>40900</v>
      </c>
      <c r="T97" s="13" t="n">
        <v>40900</v>
      </c>
      <c r="U97" s="18" t="n">
        <v>40940</v>
      </c>
      <c r="V97" s="18" t="n">
        <v>48245</v>
      </c>
      <c r="W97" s="19" t="n">
        <v>0</v>
      </c>
      <c r="X97" s="3" t="n">
        <v>192527</v>
      </c>
      <c r="Y97" s="19"/>
      <c r="Z97" s="15" t="n">
        <v>1</v>
      </c>
      <c r="AB97" s="15" t="s">
        <v>584</v>
      </c>
      <c r="AD97" s="10" t="s">
        <v>678</v>
      </c>
      <c r="AE97" s="10" t="s">
        <v>168</v>
      </c>
      <c r="AF97" s="10" t="s">
        <v>679</v>
      </c>
      <c r="AG97" s="11"/>
      <c r="AH97" s="11"/>
      <c r="AQ97" s="11"/>
      <c r="AT97" s="9" t="s">
        <v>152</v>
      </c>
      <c r="AU97" s="11" t="s">
        <v>153</v>
      </c>
      <c r="AV97" s="15" t="n">
        <v>100</v>
      </c>
      <c r="AW97" s="18" t="n">
        <v>40901</v>
      </c>
      <c r="AX97" s="18" t="n">
        <v>40931</v>
      </c>
      <c r="AZ97" s="15" t="s">
        <v>271</v>
      </c>
      <c r="BA97" s="1" t="n">
        <v>1</v>
      </c>
      <c r="BB97" s="15" t="n">
        <v>19.776</v>
      </c>
      <c r="BC97" s="15" t="n">
        <v>19.776</v>
      </c>
      <c r="BD97" s="15" t="n">
        <v>0</v>
      </c>
      <c r="BE97" s="15" t="n">
        <v>713</v>
      </c>
      <c r="BF97" s="15" t="n">
        <v>240</v>
      </c>
      <c r="BG97" s="15" t="n">
        <v>240</v>
      </c>
      <c r="BH97" s="15" t="s">
        <v>238</v>
      </c>
      <c r="BI97" s="15" t="n">
        <v>1</v>
      </c>
      <c r="BJ97" s="20" t="n">
        <f aca="false">+O97</f>
        <v>301000</v>
      </c>
      <c r="BK97" s="9" t="s">
        <v>653</v>
      </c>
      <c r="BL97" s="15" t="s">
        <v>157</v>
      </c>
      <c r="BM97" s="15" t="n">
        <v>1</v>
      </c>
      <c r="BN97" s="15" t="n">
        <v>29.360949</v>
      </c>
      <c r="BO97" s="15" t="n">
        <v>1</v>
      </c>
      <c r="BP97" s="15" t="n">
        <v>0</v>
      </c>
      <c r="BY97" s="20" t="n">
        <f aca="false">+O97</f>
        <v>301000</v>
      </c>
      <c r="BZ97" s="15" t="n">
        <v>0</v>
      </c>
      <c r="CA97" s="15" t="n">
        <v>0</v>
      </c>
      <c r="CC97" s="15" t="n">
        <v>0</v>
      </c>
      <c r="CD97" s="15" t="n">
        <v>0</v>
      </c>
      <c r="CE97" s="18" t="n">
        <v>40909</v>
      </c>
      <c r="CF97" s="15" t="n">
        <v>1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1</v>
      </c>
      <c r="CL97" s="15" t="n">
        <v>1</v>
      </c>
      <c r="CM97" s="15" t="s">
        <v>176</v>
      </c>
      <c r="CO97" s="15" t="n">
        <v>46</v>
      </c>
      <c r="CQ97" s="15" t="s">
        <v>159</v>
      </c>
      <c r="CS97" s="15" t="n">
        <v>0</v>
      </c>
      <c r="CT97" s="15" t="n">
        <v>0</v>
      </c>
      <c r="CU97" s="15" t="n">
        <v>0</v>
      </c>
      <c r="DA97" s="15" t="s">
        <v>160</v>
      </c>
      <c r="DB97" s="15" t="n">
        <v>1000100100</v>
      </c>
      <c r="DC97" s="15" t="n">
        <v>0</v>
      </c>
      <c r="DE97" s="15" t="n">
        <v>12</v>
      </c>
      <c r="DF97" s="15" t="n">
        <v>33</v>
      </c>
      <c r="DG97" s="15" t="n">
        <v>22272.67</v>
      </c>
      <c r="DH97" s="11" t="s">
        <v>161</v>
      </c>
      <c r="DJ97" s="15" t="n">
        <v>0</v>
      </c>
      <c r="DL97" s="15" t="n">
        <f aca="false">+R97</f>
        <v>3.5</v>
      </c>
      <c r="DQ97" s="15" t="n">
        <v>0</v>
      </c>
      <c r="DR97" s="15" t="n">
        <v>100</v>
      </c>
      <c r="DU97" s="15" t="n">
        <v>0</v>
      </c>
      <c r="DV97" s="15" t="n">
        <v>0</v>
      </c>
      <c r="DW97" s="15" t="n">
        <v>0</v>
      </c>
      <c r="DX97" s="15" t="s">
        <v>162</v>
      </c>
      <c r="EH97" s="10" t="s">
        <v>633</v>
      </c>
      <c r="EI97" s="15" t="n">
        <v>9876</v>
      </c>
      <c r="EJ97" s="10" t="s">
        <v>660</v>
      </c>
      <c r="EK97" s="10" t="s">
        <v>678</v>
      </c>
      <c r="EL97" s="10" t="s">
        <v>168</v>
      </c>
      <c r="EM97" s="10" t="s">
        <v>679</v>
      </c>
    </row>
    <row collapsed="false" customFormat="true" customHeight="false" hidden="false" ht="14.9" outlineLevel="0" r="98" s="15">
      <c r="A98" s="15" t="s">
        <v>627</v>
      </c>
      <c r="B98" s="10" t="s">
        <v>681</v>
      </c>
      <c r="C98" s="10" t="s">
        <v>682</v>
      </c>
      <c r="H98" s="10" t="s">
        <v>483</v>
      </c>
      <c r="I98" s="10" t="s">
        <v>200</v>
      </c>
      <c r="J98" s="10" t="s">
        <v>683</v>
      </c>
      <c r="K98" s="11" t="s">
        <v>684</v>
      </c>
      <c r="L98" s="11"/>
      <c r="M98" s="15" t="n">
        <v>1</v>
      </c>
      <c r="N98" s="15" t="s">
        <v>194</v>
      </c>
      <c r="O98" s="12" t="n">
        <v>200900</v>
      </c>
      <c r="P98" s="12" t="n">
        <v>200900</v>
      </c>
      <c r="Q98" s="15" t="n">
        <v>1004.5</v>
      </c>
      <c r="R98" s="15" t="n">
        <v>4</v>
      </c>
      <c r="S98" s="13" t="n">
        <v>40900</v>
      </c>
      <c r="T98" s="13" t="n">
        <v>40900</v>
      </c>
      <c r="U98" s="18" t="n">
        <v>40940</v>
      </c>
      <c r="V98" s="18" t="n">
        <v>50072</v>
      </c>
      <c r="W98" s="19" t="n">
        <v>0</v>
      </c>
      <c r="X98" s="3" t="n">
        <v>79744</v>
      </c>
      <c r="Y98" s="19"/>
      <c r="Z98" s="15" t="n">
        <v>1</v>
      </c>
      <c r="AB98" s="15" t="s">
        <v>584</v>
      </c>
      <c r="AD98" s="10" t="s">
        <v>483</v>
      </c>
      <c r="AE98" s="10" t="s">
        <v>200</v>
      </c>
      <c r="AF98" s="10" t="s">
        <v>683</v>
      </c>
      <c r="AG98" s="11"/>
      <c r="AH98" s="11"/>
      <c r="AQ98" s="11"/>
      <c r="AT98" s="9" t="s">
        <v>152</v>
      </c>
      <c r="AU98" s="11" t="s">
        <v>153</v>
      </c>
      <c r="AV98" s="15" t="n">
        <v>100</v>
      </c>
      <c r="AW98" s="18" t="n">
        <v>40901</v>
      </c>
      <c r="AX98" s="18" t="n">
        <v>40931</v>
      </c>
      <c r="AZ98" s="15" t="s">
        <v>154</v>
      </c>
      <c r="BA98" s="1" t="n">
        <v>2</v>
      </c>
      <c r="BB98" s="15" t="n">
        <v>47.042</v>
      </c>
      <c r="BC98" s="15" t="n">
        <v>47.042</v>
      </c>
      <c r="BD98" s="15" t="n">
        <v>0</v>
      </c>
      <c r="BE98" s="15" t="n">
        <v>745</v>
      </c>
      <c r="BF98" s="15" t="n">
        <v>300</v>
      </c>
      <c r="BG98" s="15" t="n">
        <v>300</v>
      </c>
      <c r="BH98" s="15" t="s">
        <v>173</v>
      </c>
      <c r="BI98" s="15" t="n">
        <v>1</v>
      </c>
      <c r="BJ98" s="20" t="n">
        <f aca="false">+O98</f>
        <v>200900</v>
      </c>
      <c r="BK98" s="9" t="s">
        <v>653</v>
      </c>
      <c r="BL98" s="15" t="s">
        <v>157</v>
      </c>
      <c r="BM98" s="15" t="n">
        <v>1</v>
      </c>
      <c r="BN98" s="15" t="n">
        <v>48.18622</v>
      </c>
      <c r="BO98" s="15" t="n">
        <v>1</v>
      </c>
      <c r="BP98" s="15" t="n">
        <v>0</v>
      </c>
      <c r="BY98" s="20" t="n">
        <f aca="false">+O98</f>
        <v>200900</v>
      </c>
      <c r="BZ98" s="15" t="n">
        <v>0</v>
      </c>
      <c r="CA98" s="15" t="n">
        <v>0</v>
      </c>
      <c r="CC98" s="15" t="n">
        <v>0</v>
      </c>
      <c r="CD98" s="15" t="n">
        <v>0</v>
      </c>
      <c r="CE98" s="18" t="n">
        <v>40909</v>
      </c>
      <c r="CF98" s="15" t="n">
        <v>1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1</v>
      </c>
      <c r="CL98" s="15" t="n">
        <v>1</v>
      </c>
      <c r="CM98" s="15" t="s">
        <v>158</v>
      </c>
      <c r="CO98" s="15" t="n">
        <v>64</v>
      </c>
      <c r="CQ98" s="15" t="s">
        <v>159</v>
      </c>
      <c r="CS98" s="15" t="n">
        <v>0</v>
      </c>
      <c r="CT98" s="15" t="n">
        <v>0</v>
      </c>
      <c r="CU98" s="15" t="n">
        <v>0</v>
      </c>
      <c r="DA98" s="15" t="s">
        <v>160</v>
      </c>
      <c r="DB98" s="15" t="n">
        <v>1000100100</v>
      </c>
      <c r="DC98" s="15" t="n">
        <v>0</v>
      </c>
      <c r="DE98" s="15" t="n">
        <v>10</v>
      </c>
      <c r="DF98" s="15" t="n">
        <v>14</v>
      </c>
      <c r="DG98" s="15" t="n">
        <v>10266</v>
      </c>
      <c r="DH98" s="11" t="s">
        <v>161</v>
      </c>
      <c r="DJ98" s="15" t="n">
        <v>0</v>
      </c>
      <c r="DL98" s="15" t="n">
        <f aca="false">+R98</f>
        <v>4</v>
      </c>
      <c r="DQ98" s="15" t="n">
        <v>0</v>
      </c>
      <c r="DR98" s="15" t="n">
        <v>100</v>
      </c>
      <c r="DU98" s="15" t="n">
        <v>0</v>
      </c>
      <c r="DV98" s="15" t="n">
        <v>0</v>
      </c>
      <c r="DW98" s="15" t="n">
        <v>0</v>
      </c>
      <c r="DX98" s="15" t="s">
        <v>162</v>
      </c>
      <c r="EH98" s="10" t="s">
        <v>281</v>
      </c>
      <c r="EI98" s="15" t="n">
        <v>654</v>
      </c>
      <c r="EJ98" s="10" t="s">
        <v>666</v>
      </c>
      <c r="EK98" s="10" t="s">
        <v>483</v>
      </c>
      <c r="EL98" s="10" t="s">
        <v>200</v>
      </c>
      <c r="EM98" s="10" t="s">
        <v>683</v>
      </c>
    </row>
    <row collapsed="false" customFormat="true" customHeight="false" hidden="false" ht="14.9" outlineLevel="0" r="99" s="15">
      <c r="A99" s="15" t="s">
        <v>627</v>
      </c>
      <c r="B99" s="10" t="s">
        <v>685</v>
      </c>
      <c r="C99" s="10" t="s">
        <v>686</v>
      </c>
      <c r="H99" s="10" t="s">
        <v>687</v>
      </c>
      <c r="I99" s="10" t="s">
        <v>168</v>
      </c>
      <c r="J99" s="10" t="s">
        <v>688</v>
      </c>
      <c r="K99" s="11" t="s">
        <v>689</v>
      </c>
      <c r="L99" s="11"/>
      <c r="M99" s="15" t="n">
        <v>1</v>
      </c>
      <c r="N99" s="15" t="s">
        <v>204</v>
      </c>
      <c r="O99" s="12" t="n">
        <v>270000</v>
      </c>
      <c r="P99" s="12" t="n">
        <v>270000</v>
      </c>
      <c r="Q99" s="15" t="n">
        <v>1350</v>
      </c>
      <c r="R99" s="15" t="n">
        <v>4.25</v>
      </c>
      <c r="S99" s="13" t="n">
        <v>40900</v>
      </c>
      <c r="T99" s="13" t="n">
        <v>40900</v>
      </c>
      <c r="U99" s="18" t="n">
        <v>40940</v>
      </c>
      <c r="V99" s="18" t="n">
        <v>51898</v>
      </c>
      <c r="W99" s="19" t="n">
        <v>0</v>
      </c>
      <c r="X99" s="3" t="n">
        <v>119175</v>
      </c>
      <c r="Y99" s="19"/>
      <c r="Z99" s="15" t="n">
        <v>1</v>
      </c>
      <c r="AB99" s="15" t="s">
        <v>584</v>
      </c>
      <c r="AD99" s="10" t="s">
        <v>687</v>
      </c>
      <c r="AE99" s="10" t="s">
        <v>168</v>
      </c>
      <c r="AF99" s="10" t="s">
        <v>688</v>
      </c>
      <c r="AG99" s="11"/>
      <c r="AH99" s="11"/>
      <c r="AQ99" s="11"/>
      <c r="AT99" s="9" t="s">
        <v>152</v>
      </c>
      <c r="AU99" s="11" t="s">
        <v>153</v>
      </c>
      <c r="AV99" s="15" t="n">
        <v>100</v>
      </c>
      <c r="AW99" s="18" t="n">
        <v>40901</v>
      </c>
      <c r="AX99" s="18" t="n">
        <v>40931</v>
      </c>
      <c r="AZ99" s="15" t="s">
        <v>154</v>
      </c>
      <c r="BA99" s="1" t="n">
        <v>1</v>
      </c>
      <c r="BB99" s="15" t="n">
        <v>93.32</v>
      </c>
      <c r="BC99" s="15" t="n">
        <v>93.32</v>
      </c>
      <c r="BD99" s="15" t="n">
        <v>0</v>
      </c>
      <c r="BE99" s="15" t="n">
        <v>735</v>
      </c>
      <c r="BF99" s="15" t="n">
        <v>360</v>
      </c>
      <c r="BG99" s="15" t="n">
        <v>360</v>
      </c>
      <c r="BH99" s="15" t="s">
        <v>238</v>
      </c>
      <c r="BI99" s="15" t="n">
        <v>1</v>
      </c>
      <c r="BJ99" s="20" t="n">
        <f aca="false">+O99</f>
        <v>270000</v>
      </c>
      <c r="BK99" s="9" t="s">
        <v>653</v>
      </c>
      <c r="BL99" s="15" t="s">
        <v>212</v>
      </c>
      <c r="BM99" s="15" t="n">
        <v>1</v>
      </c>
      <c r="BN99" s="15" t="n">
        <v>47.847961</v>
      </c>
      <c r="BO99" s="15" t="n">
        <v>1</v>
      </c>
      <c r="BP99" s="15" t="n">
        <v>0</v>
      </c>
      <c r="BY99" s="20" t="n">
        <f aca="false">+O99</f>
        <v>270000</v>
      </c>
      <c r="BZ99" s="15" t="n">
        <v>0</v>
      </c>
      <c r="CA99" s="15" t="n">
        <v>0</v>
      </c>
      <c r="CC99" s="15" t="n">
        <v>0</v>
      </c>
      <c r="CD99" s="15" t="n">
        <v>0</v>
      </c>
      <c r="CE99" s="18" t="n">
        <v>40909</v>
      </c>
      <c r="CF99" s="15" t="n">
        <v>1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1</v>
      </c>
      <c r="CL99" s="15" t="n">
        <v>1</v>
      </c>
      <c r="CM99" s="15" t="s">
        <v>176</v>
      </c>
      <c r="CO99" s="15" t="n">
        <v>33</v>
      </c>
      <c r="CQ99" s="15" t="s">
        <v>159</v>
      </c>
      <c r="CS99" s="15" t="n">
        <v>0</v>
      </c>
      <c r="CT99" s="15" t="n">
        <v>0</v>
      </c>
      <c r="CU99" s="15" t="n">
        <v>0</v>
      </c>
      <c r="DA99" s="15" t="s">
        <v>160</v>
      </c>
      <c r="DB99" s="15" t="n">
        <v>1000100100</v>
      </c>
      <c r="DC99" s="15" t="n">
        <v>0</v>
      </c>
      <c r="DE99" s="15" t="n">
        <v>8</v>
      </c>
      <c r="DF99" s="15" t="n">
        <v>24</v>
      </c>
      <c r="DG99" s="15" t="n">
        <v>10939.17</v>
      </c>
      <c r="DH99" s="11" t="s">
        <v>161</v>
      </c>
      <c r="DJ99" s="15" t="n">
        <v>0</v>
      </c>
      <c r="DL99" s="15" t="n">
        <f aca="false">+R99</f>
        <v>4.25</v>
      </c>
      <c r="DQ99" s="15" t="n">
        <v>0</v>
      </c>
      <c r="DR99" s="15" t="n">
        <v>100</v>
      </c>
      <c r="DU99" s="15" t="n">
        <v>0</v>
      </c>
      <c r="DV99" s="15" t="n">
        <v>0</v>
      </c>
      <c r="DW99" s="15" t="n">
        <v>0</v>
      </c>
      <c r="DX99" s="15" t="s">
        <v>162</v>
      </c>
      <c r="EH99" s="10" t="s">
        <v>642</v>
      </c>
      <c r="EI99" s="15" t="n">
        <v>321</v>
      </c>
      <c r="EJ99" s="10" t="s">
        <v>536</v>
      </c>
      <c r="EK99" s="10" t="s">
        <v>687</v>
      </c>
      <c r="EL99" s="10" t="s">
        <v>168</v>
      </c>
      <c r="EM99" s="10" t="s">
        <v>688</v>
      </c>
    </row>
    <row collapsed="false" customFormat="true" customHeight="false" hidden="false" ht="14.9" outlineLevel="0" r="100" s="15">
      <c r="A100" s="15" t="s">
        <v>627</v>
      </c>
      <c r="B100" s="10" t="s">
        <v>690</v>
      </c>
      <c r="C100" s="10" t="s">
        <v>361</v>
      </c>
      <c r="H100" s="10" t="s">
        <v>523</v>
      </c>
      <c r="I100" s="10" t="s">
        <v>168</v>
      </c>
      <c r="J100" s="10" t="s">
        <v>688</v>
      </c>
      <c r="K100" s="11" t="s">
        <v>691</v>
      </c>
      <c r="L100" s="11"/>
      <c r="M100" s="15" t="n">
        <v>1</v>
      </c>
      <c r="N100" s="15" t="s">
        <v>211</v>
      </c>
      <c r="O100" s="12" t="n">
        <v>408378</v>
      </c>
      <c r="P100" s="12" t="n">
        <v>408378</v>
      </c>
      <c r="Q100" s="15" t="n">
        <v>2041.89</v>
      </c>
      <c r="R100" s="15" t="n">
        <v>3.875</v>
      </c>
      <c r="S100" s="13" t="n">
        <v>40900</v>
      </c>
      <c r="T100" s="13" t="n">
        <v>40900</v>
      </c>
      <c r="U100" s="18" t="n">
        <v>40940</v>
      </c>
      <c r="V100" s="18" t="n">
        <v>51898</v>
      </c>
      <c r="W100" s="19" t="n">
        <v>0</v>
      </c>
      <c r="X100" s="3" t="n">
        <v>282262</v>
      </c>
      <c r="Y100" s="19"/>
      <c r="Z100" s="15" t="n">
        <v>1</v>
      </c>
      <c r="AB100" s="15" t="s">
        <v>584</v>
      </c>
      <c r="AD100" s="10" t="s">
        <v>523</v>
      </c>
      <c r="AE100" s="10" t="s">
        <v>168</v>
      </c>
      <c r="AF100" s="10" t="s">
        <v>688</v>
      </c>
      <c r="AG100" s="11"/>
      <c r="AH100" s="11"/>
      <c r="AQ100" s="11"/>
      <c r="AT100" s="9" t="s">
        <v>152</v>
      </c>
      <c r="AU100" s="11" t="s">
        <v>153</v>
      </c>
      <c r="AV100" s="15" t="n">
        <v>100</v>
      </c>
      <c r="AW100" s="18" t="n">
        <v>40901</v>
      </c>
      <c r="AX100" s="18" t="n">
        <v>40931</v>
      </c>
      <c r="AZ100" s="15" t="s">
        <v>271</v>
      </c>
      <c r="BA100" s="1" t="n">
        <v>2</v>
      </c>
      <c r="BB100" s="15" t="n">
        <v>88.915</v>
      </c>
      <c r="BC100" s="15" t="n">
        <v>88.915</v>
      </c>
      <c r="BD100" s="15" t="n">
        <v>0</v>
      </c>
      <c r="BE100" s="15" t="n">
        <v>773</v>
      </c>
      <c r="BF100" s="15" t="n">
        <v>360</v>
      </c>
      <c r="BG100" s="15" t="n">
        <v>360</v>
      </c>
      <c r="BH100" s="15" t="s">
        <v>155</v>
      </c>
      <c r="BI100" s="15" t="n">
        <v>1</v>
      </c>
      <c r="BJ100" s="20" t="n">
        <f aca="false">+O100</f>
        <v>408378</v>
      </c>
      <c r="BK100" s="9" t="s">
        <v>653</v>
      </c>
      <c r="BL100" s="15" t="s">
        <v>157</v>
      </c>
      <c r="BM100" s="15" t="n">
        <v>3</v>
      </c>
      <c r="BN100" s="15" t="n">
        <v>26.671097</v>
      </c>
      <c r="BO100" s="15" t="n">
        <v>1</v>
      </c>
      <c r="BP100" s="15" t="n">
        <v>0</v>
      </c>
      <c r="BY100" s="20" t="n">
        <f aca="false">+O100</f>
        <v>408378</v>
      </c>
      <c r="BZ100" s="15" t="n">
        <v>0</v>
      </c>
      <c r="CA100" s="15" t="n">
        <v>0</v>
      </c>
      <c r="CC100" s="15" t="n">
        <v>0</v>
      </c>
      <c r="CD100" s="15" t="n">
        <v>0</v>
      </c>
      <c r="CE100" s="18" t="n">
        <v>40909</v>
      </c>
      <c r="CF100" s="15" t="n">
        <v>1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1</v>
      </c>
      <c r="CL100" s="15" t="n">
        <v>1</v>
      </c>
      <c r="CM100" s="15" t="s">
        <v>176</v>
      </c>
      <c r="CO100" s="15" t="n">
        <v>27</v>
      </c>
      <c r="CQ100" s="15" t="s">
        <v>159</v>
      </c>
      <c r="CS100" s="15" t="n">
        <v>0</v>
      </c>
      <c r="CT100" s="15" t="n">
        <v>0</v>
      </c>
      <c r="CU100" s="15" t="n">
        <v>0</v>
      </c>
      <c r="DA100" s="15" t="s">
        <v>160</v>
      </c>
      <c r="DB100" s="15" t="n">
        <v>1000100100</v>
      </c>
      <c r="DC100" s="15" t="n">
        <v>0</v>
      </c>
      <c r="DE100" s="15" t="n">
        <v>14</v>
      </c>
      <c r="DF100" s="15" t="n">
        <v>21</v>
      </c>
      <c r="DG100" s="15" t="n">
        <v>19900.41</v>
      </c>
      <c r="DH100" s="11" t="s">
        <v>161</v>
      </c>
      <c r="DJ100" s="15" t="n">
        <v>0</v>
      </c>
      <c r="DL100" s="15" t="n">
        <f aca="false">+R100</f>
        <v>3.875</v>
      </c>
      <c r="DQ100" s="15" t="n">
        <v>0</v>
      </c>
      <c r="DR100" s="15" t="n">
        <v>100</v>
      </c>
      <c r="DU100" s="15" t="n">
        <v>0</v>
      </c>
      <c r="DV100" s="15" t="n">
        <v>0</v>
      </c>
      <c r="DW100" s="15" t="n">
        <v>0</v>
      </c>
      <c r="DX100" s="15" t="s">
        <v>162</v>
      </c>
      <c r="EH100" s="10" t="s">
        <v>647</v>
      </c>
      <c r="EI100" s="15" t="n">
        <v>9513</v>
      </c>
      <c r="EJ100" s="10" t="s">
        <v>273</v>
      </c>
      <c r="EK100" s="10" t="s">
        <v>523</v>
      </c>
      <c r="EL100" s="10" t="s">
        <v>168</v>
      </c>
      <c r="EM100" s="10" t="s">
        <v>688</v>
      </c>
    </row>
    <row collapsed="false" customFormat="true" customHeight="false" hidden="false" ht="14" outlineLevel="0" r="101" s="15">
      <c r="A101" s="15" t="s">
        <v>627</v>
      </c>
      <c r="B101" s="10" t="s">
        <v>692</v>
      </c>
      <c r="C101" s="10" t="s">
        <v>693</v>
      </c>
      <c r="H101" s="10" t="s">
        <v>218</v>
      </c>
      <c r="I101" s="10" t="s">
        <v>168</v>
      </c>
      <c r="J101" s="10" t="s">
        <v>219</v>
      </c>
      <c r="K101" s="11" t="s">
        <v>694</v>
      </c>
      <c r="L101" s="11"/>
      <c r="M101" s="15" t="n">
        <v>1</v>
      </c>
      <c r="N101" s="15" t="s">
        <v>222</v>
      </c>
      <c r="O101" s="12" t="n">
        <v>1250000</v>
      </c>
      <c r="P101" s="12" t="n">
        <v>1250000</v>
      </c>
      <c r="Q101" s="15" t="n">
        <v>6250</v>
      </c>
      <c r="R101" s="15" t="n">
        <v>4.875</v>
      </c>
      <c r="S101" s="13" t="n">
        <v>40900</v>
      </c>
      <c r="T101" s="13" t="n">
        <v>40900</v>
      </c>
      <c r="U101" s="18" t="n">
        <v>40940</v>
      </c>
      <c r="V101" s="18" t="n">
        <v>51898</v>
      </c>
      <c r="W101" s="19" t="n">
        <v>0</v>
      </c>
      <c r="X101" s="3" t="n">
        <v>894195</v>
      </c>
      <c r="Y101" s="19"/>
      <c r="Z101" s="15" t="n">
        <v>1</v>
      </c>
      <c r="AB101" s="15" t="s">
        <v>584</v>
      </c>
      <c r="AD101" s="10" t="s">
        <v>218</v>
      </c>
      <c r="AE101" s="10" t="s">
        <v>168</v>
      </c>
      <c r="AF101" s="10" t="s">
        <v>219</v>
      </c>
      <c r="AG101" s="11"/>
      <c r="AH101" s="11"/>
      <c r="AQ101" s="11"/>
      <c r="AT101" s="21" t="s">
        <v>364</v>
      </c>
      <c r="AU101" s="11" t="s">
        <v>365</v>
      </c>
      <c r="AV101" s="15" t="n">
        <v>100</v>
      </c>
      <c r="AW101" s="18" t="n">
        <v>40901</v>
      </c>
      <c r="AX101" s="18" t="n">
        <v>40931</v>
      </c>
      <c r="AZ101" s="15" t="s">
        <v>154</v>
      </c>
      <c r="BA101" s="1" t="n">
        <v>1</v>
      </c>
      <c r="BB101" s="15" t="n">
        <v>96.498</v>
      </c>
      <c r="BC101" s="15" t="n">
        <v>96.498</v>
      </c>
      <c r="BD101" s="15" t="n">
        <v>0</v>
      </c>
      <c r="BE101" s="15" t="n">
        <v>752</v>
      </c>
      <c r="BF101" s="15" t="n">
        <v>360</v>
      </c>
      <c r="BG101" s="15" t="n">
        <v>360</v>
      </c>
      <c r="BH101" s="15" t="s">
        <v>155</v>
      </c>
      <c r="BI101" s="15" t="n">
        <v>1</v>
      </c>
      <c r="BJ101" s="20" t="n">
        <f aca="false">+O101</f>
        <v>1250000</v>
      </c>
      <c r="BK101" s="9" t="s">
        <v>653</v>
      </c>
      <c r="BL101" s="15" t="s">
        <v>157</v>
      </c>
      <c r="BM101" s="15" t="n">
        <v>1</v>
      </c>
      <c r="BN101" s="15" t="n">
        <v>27.037002</v>
      </c>
      <c r="BO101" s="15" t="n">
        <v>1</v>
      </c>
      <c r="BP101" s="15" t="n">
        <v>0</v>
      </c>
      <c r="BY101" s="20" t="n">
        <f aca="false">+O101</f>
        <v>1250000</v>
      </c>
      <c r="BZ101" s="15" t="n">
        <v>0</v>
      </c>
      <c r="CA101" s="15" t="n">
        <v>0</v>
      </c>
      <c r="CC101" s="15" t="n">
        <v>0</v>
      </c>
      <c r="CD101" s="15" t="n">
        <v>0</v>
      </c>
      <c r="CE101" s="18" t="n">
        <v>40909</v>
      </c>
      <c r="CF101" s="15" t="n">
        <v>1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1</v>
      </c>
      <c r="CL101" s="15" t="n">
        <v>1</v>
      </c>
      <c r="CM101" s="15" t="s">
        <v>176</v>
      </c>
      <c r="CO101" s="15" t="n">
        <v>31</v>
      </c>
      <c r="CQ101" s="15" t="s">
        <v>159</v>
      </c>
      <c r="CS101" s="15" t="n">
        <v>0</v>
      </c>
      <c r="CT101" s="15" t="n">
        <v>0</v>
      </c>
      <c r="CU101" s="15" t="n">
        <v>0</v>
      </c>
      <c r="DA101" s="15" t="s">
        <v>160</v>
      </c>
      <c r="DB101" s="15" t="n">
        <v>1000100100</v>
      </c>
      <c r="DC101" s="15" t="n">
        <v>0</v>
      </c>
      <c r="DE101" s="15" t="n">
        <v>14</v>
      </c>
      <c r="DF101" s="15" t="n">
        <v>21</v>
      </c>
      <c r="DG101" s="15" t="n">
        <v>19900.41</v>
      </c>
      <c r="DH101" s="11" t="s">
        <v>161</v>
      </c>
      <c r="DJ101" s="15" t="n">
        <v>0</v>
      </c>
      <c r="DL101" s="15" t="n">
        <f aca="false">+R101</f>
        <v>4.875</v>
      </c>
      <c r="DQ101" s="15" t="n">
        <v>0</v>
      </c>
      <c r="DR101" s="15" t="n">
        <v>100</v>
      </c>
      <c r="DS101" s="15" t="s">
        <v>224</v>
      </c>
      <c r="DU101" s="15" t="n">
        <v>0</v>
      </c>
      <c r="DV101" s="15" t="n">
        <v>0</v>
      </c>
      <c r="DW101" s="15" t="n">
        <v>0</v>
      </c>
      <c r="DX101" s="15" t="s">
        <v>225</v>
      </c>
      <c r="EH101" s="10" t="s">
        <v>654</v>
      </c>
      <c r="EI101" s="15" t="n">
        <v>7531</v>
      </c>
      <c r="EJ101" s="10" t="s">
        <v>648</v>
      </c>
      <c r="EK101" s="10" t="s">
        <v>218</v>
      </c>
      <c r="EL101" s="10" t="s">
        <v>168</v>
      </c>
      <c r="EM101" s="10" t="s">
        <v>219</v>
      </c>
    </row>
    <row collapsed="false" customFormat="true" customHeight="false" hidden="false" ht="14" outlineLevel="0" r="102" s="15">
      <c r="B102" s="22"/>
      <c r="J102" s="11"/>
      <c r="K102" s="11"/>
      <c r="L102" s="11"/>
      <c r="S102" s="18"/>
      <c r="T102" s="18"/>
      <c r="U102" s="18"/>
      <c r="V102" s="18"/>
      <c r="W102" s="19"/>
      <c r="X102" s="19"/>
      <c r="Y102" s="19"/>
      <c r="AF102" s="11"/>
      <c r="AG102" s="11"/>
      <c r="AH102" s="11"/>
      <c r="AQ102" s="11"/>
      <c r="CE102" s="18"/>
      <c r="DH102" s="11"/>
      <c r="EH102" s="10"/>
      <c r="EJ102" s="10"/>
    </row>
    <row collapsed="false" customFormat="true" customHeight="false" hidden="false" ht="12.8" outlineLevel="0" r="103" s="15">
      <c r="B103" s="22"/>
      <c r="J103" s="11"/>
      <c r="K103" s="11"/>
      <c r="L103" s="11"/>
      <c r="S103" s="18"/>
      <c r="T103" s="18"/>
      <c r="U103" s="18"/>
      <c r="V103" s="18"/>
      <c r="W103" s="19"/>
      <c r="X103" s="19"/>
      <c r="Y103" s="19"/>
      <c r="AF103" s="11"/>
      <c r="AG103" s="11"/>
      <c r="AH103" s="11"/>
      <c r="AQ103" s="11"/>
      <c r="CE103" s="18"/>
      <c r="DH103" s="11"/>
    </row>
    <row collapsed="false" customFormat="true" customHeight="false" hidden="false" ht="12.8" outlineLevel="0" r="104" s="15">
      <c r="B104" s="22"/>
      <c r="J104" s="11"/>
      <c r="K104" s="11"/>
      <c r="L104" s="11"/>
      <c r="S104" s="18"/>
      <c r="T104" s="18"/>
      <c r="U104" s="18"/>
      <c r="V104" s="18"/>
      <c r="W104" s="19"/>
      <c r="X104" s="19"/>
      <c r="Y104" s="19"/>
      <c r="AF104" s="11"/>
      <c r="AG104" s="11"/>
      <c r="AH104" s="11"/>
      <c r="AQ104" s="11"/>
      <c r="CE104" s="18"/>
      <c r="DH104" s="11"/>
    </row>
    <row collapsed="false" customFormat="true" customHeight="false" hidden="false" ht="12.8" outlineLevel="0" r="105" s="15">
      <c r="B105" s="22"/>
      <c r="J105" s="11"/>
      <c r="K105" s="11"/>
      <c r="L105" s="11"/>
      <c r="S105" s="23"/>
      <c r="T105" s="18"/>
      <c r="U105" s="18"/>
      <c r="V105" s="18"/>
      <c r="W105" s="19"/>
      <c r="X105" s="19"/>
      <c r="Y105" s="19"/>
      <c r="AF105" s="11"/>
      <c r="AG105" s="11"/>
      <c r="AH105" s="11"/>
      <c r="CE105" s="18"/>
      <c r="DH105" s="11"/>
    </row>
    <row collapsed="false" customFormat="false" customHeight="false" hidden="false" ht="12.8" outlineLevel="0" r="106">
      <c r="AH106" s="11"/>
    </row>
    <row collapsed="false" customFormat="false" customHeight="false" hidden="false" ht="14" outlineLevel="0" r="107">
      <c r="B107" s="24" t="s">
        <v>695</v>
      </c>
      <c r="C107" s="25"/>
      <c r="D107" s="25"/>
      <c r="E107" s="15"/>
      <c r="F107" s="15"/>
      <c r="J107" s="26" t="s">
        <v>696</v>
      </c>
      <c r="K107" s="27"/>
      <c r="L107" s="27"/>
      <c r="M107" s="27"/>
      <c r="AF107" s="26" t="s">
        <v>697</v>
      </c>
      <c r="AG107" s="27"/>
      <c r="AH107" s="27"/>
      <c r="AO107" s="26" t="s">
        <v>697</v>
      </c>
      <c r="AP107" s="25"/>
      <c r="AQ107" s="25"/>
      <c r="AR107" s="25"/>
      <c r="DH107" s="26" t="s">
        <v>697</v>
      </c>
      <c r="DI107" s="25"/>
      <c r="DJ107" s="25"/>
    </row>
    <row collapsed="false" customFormat="false" customHeight="false" hidden="false" ht="12.8" outlineLevel="0" r="108">
      <c r="AF108" s="15"/>
      <c r="AG108" s="15"/>
      <c r="AH108" s="15"/>
    </row>
    <row collapsed="false" customFormat="false" customHeight="false" hidden="false" ht="12.8" outlineLevel="0" r="110">
      <c r="J110" s="16"/>
      <c r="K110" s="16"/>
      <c r="S110" s="14"/>
      <c r="T110" s="14"/>
      <c r="U110" s="14"/>
      <c r="V110" s="14"/>
      <c r="AF110" s="16"/>
      <c r="AG110" s="16"/>
      <c r="AH110" s="16"/>
      <c r="BS110" s="14"/>
      <c r="CE110" s="14"/>
      <c r="DH110" s="16"/>
      <c r="DZ110" s="14"/>
    </row>
    <row collapsed="false" customFormat="false" customHeight="false" hidden="false" ht="14" outlineLevel="0" r="111">
      <c r="A111" s="28" t="s">
        <v>698</v>
      </c>
      <c r="J111" s="16"/>
      <c r="K111" s="16"/>
      <c r="L111" s="16"/>
      <c r="S111" s="14"/>
      <c r="T111" s="14"/>
      <c r="U111" s="14"/>
      <c r="V111" s="14"/>
      <c r="AF111" s="16"/>
      <c r="AG111" s="16"/>
      <c r="AH111" s="16"/>
      <c r="AP111" s="16"/>
      <c r="CE111" s="14"/>
      <c r="DH111" s="16"/>
    </row>
  </sheetData>
  <autoFilter ref="A1:EM101"/>
  <printOptions headings="false" gridLines="true" gridLinesSet="true" horizontalCentered="false" verticalCentered="false"/>
  <pageMargins left="0.75" right="0.75" top="1" bottom="1" header="0.5" footer="0.5"/>
  <pageSetup blackAndWhite="false" cellComments="none" copies="1" draft="false" firstPageNumber="0" fitToHeight="1" fitToWidth="1" horizontalDpi="300" orientation="landscape" pageOrder="downThenOver" paperSize="75" scale="50" useFirstPageNumber="false" usePrinterDefaults="false" verticalDpi="300"/>
  <headerFooter differentFirst="false" differentOddEven="false">
    <oddHeader>&amp;RFunding Field Definitions - &amp;A</oddHeader>
    <oddFooter>&amp;L&amp;"Arial,Bold"Liquidity Spot Confidential&amp;RPage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L138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Left" topLeftCell="A125" xSplit="0" ySplit="1"/>
      <selection activeCell="A1" activeCellId="0" pane="topLeft" sqref="A1"/>
      <selection activeCell="E138" activeCellId="0" pane="bottomLeft" sqref="E138"/>
    </sheetView>
  </sheetViews>
  <cols>
    <col collapsed="false" hidden="false" max="1" min="1" style="9" width="27.556862745098"/>
    <col collapsed="false" hidden="false" max="2" min="2" style="29" width="14.2196078431373"/>
    <col collapsed="false" hidden="false" max="3" min="3" style="9" width="39.9019607843137"/>
    <col collapsed="false" hidden="false" max="4" min="4" style="30" width="16.7960784313726"/>
    <col collapsed="false" hidden="false" max="5" min="5" style="15" width="19.8078431372549"/>
    <col collapsed="false" hidden="false" max="6" min="6" style="31" width="27.9921568627451"/>
    <col collapsed="false" hidden="false" max="1025" min="7" style="32" width="9.18823529411765"/>
  </cols>
  <sheetData>
    <row collapsed="false" customFormat="false" customHeight="false" hidden="false" ht="12.8" outlineLevel="0" r="1">
      <c r="A1" s="33" t="s">
        <v>699</v>
      </c>
      <c r="B1" s="34" t="s">
        <v>700</v>
      </c>
      <c r="C1" s="33" t="s">
        <v>701</v>
      </c>
      <c r="D1" s="33" t="s">
        <v>702</v>
      </c>
      <c r="E1" s="33" t="s">
        <v>703</v>
      </c>
      <c r="F1" s="35" t="s">
        <v>704</v>
      </c>
    </row>
    <row collapsed="false" customFormat="false" customHeight="false" hidden="false" ht="35.05" outlineLevel="0" r="2">
      <c r="A2" s="9" t="s">
        <v>0</v>
      </c>
      <c r="B2" s="29" t="s">
        <v>705</v>
      </c>
      <c r="C2" s="36" t="s">
        <v>706</v>
      </c>
      <c r="D2" s="31" t="s">
        <v>707</v>
      </c>
      <c r="E2" s="15" t="s">
        <v>708</v>
      </c>
    </row>
    <row collapsed="false" customFormat="false" customHeight="false" hidden="false" ht="12.8" outlineLevel="0" r="3">
      <c r="A3" s="9" t="s">
        <v>1</v>
      </c>
      <c r="B3" s="29" t="s">
        <v>709</v>
      </c>
      <c r="C3" s="36" t="s">
        <v>710</v>
      </c>
      <c r="D3" s="31" t="s">
        <v>707</v>
      </c>
      <c r="E3" s="15" t="s">
        <v>711</v>
      </c>
    </row>
    <row collapsed="false" customFormat="false" customHeight="false" hidden="false" ht="12.8" outlineLevel="0" r="4">
      <c r="A4" s="9" t="s">
        <v>2</v>
      </c>
      <c r="B4" s="29" t="s">
        <v>712</v>
      </c>
      <c r="C4" s="36" t="s">
        <v>713</v>
      </c>
      <c r="D4" s="31" t="s">
        <v>707</v>
      </c>
      <c r="E4" s="15" t="s">
        <v>711</v>
      </c>
    </row>
    <row collapsed="false" customFormat="false" customHeight="false" hidden="false" ht="12.8" outlineLevel="0" r="5">
      <c r="A5" s="9" t="s">
        <v>3</v>
      </c>
      <c r="B5" s="29" t="s">
        <v>714</v>
      </c>
      <c r="C5" s="36" t="s">
        <v>715</v>
      </c>
      <c r="D5" s="31" t="s">
        <v>707</v>
      </c>
      <c r="E5" s="15" t="s">
        <v>711</v>
      </c>
    </row>
    <row collapsed="false" customFormat="false" customHeight="false" hidden="false" ht="12.8" outlineLevel="0" r="6">
      <c r="A6" s="9" t="s">
        <v>4</v>
      </c>
      <c r="B6" s="29" t="s">
        <v>716</v>
      </c>
      <c r="C6" s="36" t="s">
        <v>717</v>
      </c>
      <c r="D6" s="31" t="s">
        <v>707</v>
      </c>
      <c r="E6" s="15" t="s">
        <v>711</v>
      </c>
    </row>
    <row collapsed="false" customFormat="false" customHeight="false" hidden="false" ht="12.8" outlineLevel="0" r="7">
      <c r="A7" s="9" t="s">
        <v>5</v>
      </c>
      <c r="B7" s="29" t="s">
        <v>718</v>
      </c>
      <c r="C7" s="36" t="s">
        <v>719</v>
      </c>
      <c r="D7" s="31" t="s">
        <v>707</v>
      </c>
      <c r="E7" s="15" t="s">
        <v>711</v>
      </c>
    </row>
    <row collapsed="false" customFormat="false" customHeight="false" hidden="false" ht="12.8" outlineLevel="0" r="8">
      <c r="A8" s="9" t="s">
        <v>6</v>
      </c>
      <c r="B8" s="29" t="s">
        <v>720</v>
      </c>
      <c r="C8" s="36" t="s">
        <v>721</v>
      </c>
      <c r="D8" s="31" t="s">
        <v>707</v>
      </c>
      <c r="E8" s="15" t="s">
        <v>722</v>
      </c>
    </row>
    <row collapsed="false" customFormat="false" customHeight="false" hidden="false" ht="12.8" outlineLevel="0" r="9">
      <c r="A9" s="9" t="s">
        <v>7</v>
      </c>
      <c r="B9" s="29" t="s">
        <v>723</v>
      </c>
      <c r="C9" s="36" t="s">
        <v>724</v>
      </c>
      <c r="D9" s="31" t="s">
        <v>707</v>
      </c>
      <c r="E9" s="15" t="s">
        <v>725</v>
      </c>
    </row>
    <row collapsed="false" customFormat="false" customHeight="false" hidden="false" ht="12.8" outlineLevel="0" r="10">
      <c r="A10" s="9" t="s">
        <v>8</v>
      </c>
      <c r="B10" s="29" t="s">
        <v>726</v>
      </c>
      <c r="C10" s="36" t="s">
        <v>727</v>
      </c>
      <c r="D10" s="31" t="s">
        <v>707</v>
      </c>
      <c r="E10" s="15" t="s">
        <v>728</v>
      </c>
    </row>
    <row collapsed="false" customFormat="false" customHeight="false" hidden="false" ht="12.8" outlineLevel="0" r="11">
      <c r="A11" s="9" t="s">
        <v>9</v>
      </c>
      <c r="B11" s="29" t="s">
        <v>729</v>
      </c>
      <c r="C11" s="36" t="s">
        <v>730</v>
      </c>
      <c r="D11" s="31" t="s">
        <v>707</v>
      </c>
      <c r="E11" s="15" t="s">
        <v>731</v>
      </c>
    </row>
    <row collapsed="false" customFormat="false" customHeight="false" hidden="false" ht="12.8" outlineLevel="0" r="12">
      <c r="A12" s="9" t="s">
        <v>10</v>
      </c>
      <c r="B12" s="29" t="s">
        <v>732</v>
      </c>
      <c r="C12" s="36" t="s">
        <v>733</v>
      </c>
      <c r="D12" s="31" t="s">
        <v>707</v>
      </c>
      <c r="E12" s="15" t="s">
        <v>734</v>
      </c>
    </row>
    <row collapsed="false" customFormat="false" customHeight="false" hidden="false" ht="12.8" outlineLevel="0" r="13">
      <c r="A13" s="9" t="s">
        <v>11</v>
      </c>
      <c r="B13" s="29" t="s">
        <v>735</v>
      </c>
      <c r="C13" s="36" t="s">
        <v>736</v>
      </c>
      <c r="D13" s="31" t="s">
        <v>707</v>
      </c>
      <c r="E13" s="15" t="s">
        <v>734</v>
      </c>
    </row>
    <row collapsed="false" customFormat="false" customHeight="false" hidden="false" ht="23.85" outlineLevel="0" r="14">
      <c r="A14" s="9" t="s">
        <v>12</v>
      </c>
      <c r="B14" s="29" t="s">
        <v>737</v>
      </c>
      <c r="C14" s="36" t="s">
        <v>738</v>
      </c>
      <c r="D14" s="31" t="s">
        <v>739</v>
      </c>
      <c r="E14" s="15" t="s">
        <v>740</v>
      </c>
    </row>
    <row collapsed="false" customFormat="false" customHeight="false" hidden="false" ht="23.85" outlineLevel="0" r="15">
      <c r="A15" s="9" t="s">
        <v>13</v>
      </c>
      <c r="B15" s="29" t="s">
        <v>741</v>
      </c>
      <c r="C15" s="36" t="s">
        <v>742</v>
      </c>
      <c r="D15" s="31" t="s">
        <v>707</v>
      </c>
      <c r="E15" s="15" t="s">
        <v>711</v>
      </c>
      <c r="F15" s="31" t="s">
        <v>743</v>
      </c>
    </row>
    <row collapsed="false" customFormat="false" customHeight="false" hidden="false" ht="46.25" outlineLevel="0" r="16">
      <c r="A16" s="9" t="s">
        <v>14</v>
      </c>
      <c r="B16" s="29" t="s">
        <v>744</v>
      </c>
      <c r="C16" s="36" t="s">
        <v>745</v>
      </c>
      <c r="D16" s="31" t="s">
        <v>739</v>
      </c>
      <c r="E16" s="15" t="s">
        <v>746</v>
      </c>
    </row>
    <row collapsed="false" customFormat="false" customHeight="false" hidden="false" ht="57.45" outlineLevel="0" r="17">
      <c r="A17" s="9" t="s">
        <v>15</v>
      </c>
      <c r="B17" s="29" t="s">
        <v>747</v>
      </c>
      <c r="C17" s="36" t="s">
        <v>748</v>
      </c>
      <c r="D17" s="31" t="s">
        <v>739</v>
      </c>
      <c r="E17" s="15" t="s">
        <v>746</v>
      </c>
    </row>
    <row collapsed="false" customFormat="false" customHeight="false" hidden="false" ht="46.25" outlineLevel="0" r="18">
      <c r="A18" s="9" t="s">
        <v>16</v>
      </c>
      <c r="B18" s="29" t="s">
        <v>749</v>
      </c>
      <c r="C18" s="36" t="s">
        <v>750</v>
      </c>
      <c r="D18" s="31" t="s">
        <v>739</v>
      </c>
      <c r="E18" s="15" t="s">
        <v>751</v>
      </c>
    </row>
    <row collapsed="false" customFormat="false" customHeight="false" hidden="false" ht="46.25" outlineLevel="0" r="19">
      <c r="A19" s="9" t="s">
        <v>17</v>
      </c>
      <c r="B19" s="29" t="s">
        <v>752</v>
      </c>
      <c r="C19" s="36" t="s">
        <v>753</v>
      </c>
      <c r="D19" s="31" t="s">
        <v>739</v>
      </c>
      <c r="E19" s="15" t="s">
        <v>754</v>
      </c>
    </row>
    <row collapsed="false" customFormat="false" customHeight="false" hidden="false" ht="12.8" outlineLevel="0" r="20">
      <c r="A20" s="9" t="s">
        <v>18</v>
      </c>
      <c r="B20" s="29" t="s">
        <v>755</v>
      </c>
      <c r="C20" s="36" t="s">
        <v>756</v>
      </c>
      <c r="D20" s="31" t="s">
        <v>757</v>
      </c>
      <c r="E20" s="15" t="s">
        <v>758</v>
      </c>
    </row>
    <row collapsed="false" customFormat="false" customHeight="false" hidden="false" ht="12.8" outlineLevel="0" r="21">
      <c r="A21" s="9" t="s">
        <v>19</v>
      </c>
      <c r="B21" s="29" t="s">
        <v>759</v>
      </c>
      <c r="C21" s="36" t="s">
        <v>760</v>
      </c>
      <c r="D21" s="31" t="s">
        <v>757</v>
      </c>
      <c r="E21" s="15" t="s">
        <v>758</v>
      </c>
    </row>
    <row collapsed="false" customFormat="false" customHeight="false" hidden="false" ht="12.8" outlineLevel="0" r="22">
      <c r="A22" s="9" t="s">
        <v>20</v>
      </c>
      <c r="B22" s="29" t="s">
        <v>761</v>
      </c>
      <c r="C22" s="36" t="s">
        <v>762</v>
      </c>
      <c r="D22" s="31" t="s">
        <v>757</v>
      </c>
      <c r="E22" s="15" t="s">
        <v>758</v>
      </c>
    </row>
    <row collapsed="false" customFormat="false" customHeight="false" hidden="false" ht="12.8" outlineLevel="0" r="23">
      <c r="A23" s="9" t="s">
        <v>21</v>
      </c>
      <c r="B23" s="29" t="s">
        <v>763</v>
      </c>
      <c r="C23" s="36" t="s">
        <v>764</v>
      </c>
      <c r="D23" s="31" t="s">
        <v>757</v>
      </c>
      <c r="E23" s="15" t="s">
        <v>758</v>
      </c>
    </row>
    <row collapsed="false" customFormat="false" customHeight="false" hidden="false" ht="23.85" outlineLevel="0" r="24">
      <c r="A24" s="9" t="s">
        <v>22</v>
      </c>
      <c r="B24" s="29" t="s">
        <v>765</v>
      </c>
      <c r="C24" s="36" t="s">
        <v>766</v>
      </c>
      <c r="D24" s="31" t="s">
        <v>739</v>
      </c>
      <c r="E24" s="15" t="s">
        <v>740</v>
      </c>
    </row>
    <row collapsed="false" customFormat="false" customHeight="false" hidden="false" ht="68.65" outlineLevel="0" r="25">
      <c r="A25" s="9" t="s">
        <v>23</v>
      </c>
      <c r="B25" s="29" t="s">
        <v>767</v>
      </c>
      <c r="C25" s="36" t="s">
        <v>768</v>
      </c>
      <c r="D25" s="31" t="s">
        <v>739</v>
      </c>
      <c r="E25" s="15" t="s">
        <v>746</v>
      </c>
    </row>
    <row collapsed="false" customFormat="false" customHeight="false" hidden="false" ht="79.85" outlineLevel="0" r="26">
      <c r="A26" s="9" t="s">
        <v>24</v>
      </c>
      <c r="B26" s="29" t="s">
        <v>769</v>
      </c>
      <c r="C26" s="36" t="s">
        <v>770</v>
      </c>
      <c r="D26" s="31" t="s">
        <v>739</v>
      </c>
      <c r="E26" s="15" t="s">
        <v>746</v>
      </c>
    </row>
    <row collapsed="false" customFormat="false" customHeight="false" hidden="false" ht="23.85" outlineLevel="0" r="27">
      <c r="A27" s="9" t="s">
        <v>25</v>
      </c>
      <c r="B27" s="29" t="s">
        <v>771</v>
      </c>
      <c r="C27" s="36" t="s">
        <v>772</v>
      </c>
      <c r="D27" s="31" t="s">
        <v>739</v>
      </c>
      <c r="E27" s="15" t="s">
        <v>728</v>
      </c>
    </row>
    <row collapsed="false" customFormat="false" customHeight="false" hidden="false" ht="23.85" outlineLevel="0" r="28">
      <c r="A28" s="9" t="s">
        <v>26</v>
      </c>
      <c r="B28" s="29" t="s">
        <v>773</v>
      </c>
      <c r="C28" s="36" t="s">
        <v>774</v>
      </c>
      <c r="D28" s="31" t="s">
        <v>739</v>
      </c>
      <c r="E28" s="15" t="s">
        <v>711</v>
      </c>
      <c r="F28" s="37"/>
    </row>
    <row collapsed="false" customFormat="false" customHeight="false" hidden="false" ht="23.85" outlineLevel="0" r="29">
      <c r="A29" s="9" t="s">
        <v>27</v>
      </c>
      <c r="B29" s="29" t="s">
        <v>775</v>
      </c>
      <c r="C29" s="36" t="s">
        <v>776</v>
      </c>
      <c r="D29" s="31" t="s">
        <v>707</v>
      </c>
      <c r="E29" s="15" t="s">
        <v>722</v>
      </c>
    </row>
    <row collapsed="false" customFormat="false" customHeight="false" hidden="false" ht="12.8" outlineLevel="0" r="30">
      <c r="A30" s="9" t="s">
        <v>28</v>
      </c>
      <c r="B30" s="29" t="s">
        <v>777</v>
      </c>
      <c r="C30" s="36" t="s">
        <v>778</v>
      </c>
      <c r="D30" s="31" t="s">
        <v>707</v>
      </c>
      <c r="E30" s="15" t="s">
        <v>722</v>
      </c>
    </row>
    <row collapsed="false" customFormat="false" customHeight="false" hidden="false" ht="12.8" outlineLevel="0" r="31">
      <c r="A31" s="9" t="s">
        <v>29</v>
      </c>
      <c r="B31" s="29" t="s">
        <v>779</v>
      </c>
      <c r="C31" s="36" t="s">
        <v>780</v>
      </c>
      <c r="D31" s="31" t="s">
        <v>707</v>
      </c>
      <c r="E31" s="15" t="s">
        <v>725</v>
      </c>
    </row>
    <row collapsed="false" customFormat="false" customHeight="false" hidden="false" ht="23.85" outlineLevel="0" r="32">
      <c r="A32" s="9" t="s">
        <v>30</v>
      </c>
      <c r="B32" s="29" t="s">
        <v>781</v>
      </c>
      <c r="C32" s="36" t="s">
        <v>782</v>
      </c>
      <c r="D32" s="31" t="s">
        <v>707</v>
      </c>
      <c r="E32" s="15" t="s">
        <v>783</v>
      </c>
    </row>
    <row collapsed="false" customFormat="false" customHeight="false" hidden="false" ht="12.8" outlineLevel="0" r="33">
      <c r="A33" s="9" t="s">
        <v>31</v>
      </c>
      <c r="B33" s="29" t="s">
        <v>784</v>
      </c>
      <c r="C33" s="36" t="s">
        <v>785</v>
      </c>
      <c r="D33" s="31" t="s">
        <v>707</v>
      </c>
      <c r="E33" s="15" t="s">
        <v>731</v>
      </c>
    </row>
    <row collapsed="false" customFormat="false" customHeight="false" hidden="false" ht="12.8" outlineLevel="0" r="34">
      <c r="A34" s="9" t="s">
        <v>32</v>
      </c>
      <c r="B34" s="29" t="s">
        <v>786</v>
      </c>
      <c r="C34" s="36" t="s">
        <v>787</v>
      </c>
      <c r="D34" s="31" t="s">
        <v>707</v>
      </c>
      <c r="E34" s="15" t="s">
        <v>711</v>
      </c>
      <c r="F34" s="37"/>
    </row>
    <row collapsed="false" customFormat="false" customHeight="false" hidden="false" ht="57.45" outlineLevel="0" r="35">
      <c r="A35" s="9" t="s">
        <v>33</v>
      </c>
      <c r="B35" s="29" t="s">
        <v>788</v>
      </c>
      <c r="C35" s="36" t="s">
        <v>789</v>
      </c>
      <c r="D35" s="31" t="s">
        <v>707</v>
      </c>
      <c r="E35" s="15" t="s">
        <v>711</v>
      </c>
      <c r="F35" s="37"/>
    </row>
    <row collapsed="false" customFormat="false" customHeight="false" hidden="false" ht="23.85" outlineLevel="0" r="36">
      <c r="A36" s="9" t="s">
        <v>34</v>
      </c>
      <c r="B36" s="29" t="s">
        <v>790</v>
      </c>
      <c r="C36" s="36" t="s">
        <v>791</v>
      </c>
      <c r="D36" s="31" t="s">
        <v>707</v>
      </c>
      <c r="E36" s="15" t="s">
        <v>722</v>
      </c>
    </row>
    <row collapsed="false" customFormat="false" customHeight="false" hidden="false" ht="23.85" outlineLevel="0" r="37">
      <c r="A37" s="9" t="s">
        <v>35</v>
      </c>
      <c r="B37" s="29" t="s">
        <v>792</v>
      </c>
      <c r="C37" s="36" t="s">
        <v>793</v>
      </c>
      <c r="D37" s="31" t="s">
        <v>707</v>
      </c>
      <c r="E37" s="15" t="s">
        <v>722</v>
      </c>
    </row>
    <row collapsed="false" customFormat="false" customHeight="false" hidden="false" ht="23.85" outlineLevel="0" r="38">
      <c r="A38" s="9" t="s">
        <v>36</v>
      </c>
      <c r="B38" s="29" t="s">
        <v>794</v>
      </c>
      <c r="C38" s="36" t="s">
        <v>795</v>
      </c>
      <c r="D38" s="31" t="s">
        <v>707</v>
      </c>
      <c r="E38" s="15" t="s">
        <v>722</v>
      </c>
    </row>
    <row collapsed="false" customFormat="false" customHeight="false" hidden="false" ht="23.85" outlineLevel="0" r="39">
      <c r="A39" s="9" t="s">
        <v>37</v>
      </c>
      <c r="B39" s="29" t="s">
        <v>796</v>
      </c>
      <c r="C39" s="36" t="s">
        <v>797</v>
      </c>
      <c r="D39" s="31" t="s">
        <v>707</v>
      </c>
      <c r="E39" s="15" t="s">
        <v>722</v>
      </c>
    </row>
    <row collapsed="false" customFormat="false" customHeight="false" hidden="false" ht="23.85" outlineLevel="0" r="40">
      <c r="A40" s="9" t="s">
        <v>38</v>
      </c>
      <c r="B40" s="29" t="s">
        <v>798</v>
      </c>
      <c r="C40" s="36" t="s">
        <v>799</v>
      </c>
      <c r="D40" s="31" t="s">
        <v>707</v>
      </c>
      <c r="E40" s="15" t="s">
        <v>725</v>
      </c>
    </row>
    <row collapsed="false" customFormat="false" customHeight="false" hidden="false" ht="23.85" outlineLevel="0" r="41">
      <c r="A41" s="9" t="s">
        <v>39</v>
      </c>
      <c r="B41" s="29" t="s">
        <v>800</v>
      </c>
      <c r="C41" s="36" t="s">
        <v>801</v>
      </c>
      <c r="D41" s="31" t="s">
        <v>707</v>
      </c>
      <c r="E41" s="15" t="s">
        <v>783</v>
      </c>
    </row>
    <row collapsed="false" customFormat="false" customHeight="false" hidden="false" ht="23.85" outlineLevel="0" r="42">
      <c r="A42" s="9" t="s">
        <v>40</v>
      </c>
      <c r="B42" s="29" t="s">
        <v>802</v>
      </c>
      <c r="C42" s="36" t="s">
        <v>803</v>
      </c>
      <c r="D42" s="31" t="s">
        <v>707</v>
      </c>
      <c r="E42" s="15" t="s">
        <v>731</v>
      </c>
    </row>
    <row collapsed="false" customFormat="false" customHeight="false" hidden="false" ht="23.85" outlineLevel="0" r="43">
      <c r="A43" s="9" t="s">
        <v>41</v>
      </c>
      <c r="B43" s="29" t="s">
        <v>804</v>
      </c>
      <c r="C43" s="36" t="s">
        <v>805</v>
      </c>
      <c r="D43" s="31" t="s">
        <v>707</v>
      </c>
      <c r="E43" s="15" t="s">
        <v>711</v>
      </c>
    </row>
    <row collapsed="false" customFormat="false" customHeight="false" hidden="false" ht="23.85" outlineLevel="0" r="44">
      <c r="A44" s="9" t="s">
        <v>42</v>
      </c>
      <c r="B44" s="29" t="s">
        <v>806</v>
      </c>
      <c r="C44" s="36" t="s">
        <v>807</v>
      </c>
      <c r="D44" s="31" t="s">
        <v>808</v>
      </c>
      <c r="E44" s="15" t="s">
        <v>711</v>
      </c>
    </row>
    <row collapsed="false" customFormat="false" customHeight="false" hidden="false" ht="23.85" outlineLevel="0" r="45">
      <c r="A45" s="9" t="s">
        <v>43</v>
      </c>
      <c r="B45" s="29" t="s">
        <v>809</v>
      </c>
      <c r="C45" s="36" t="s">
        <v>810</v>
      </c>
      <c r="D45" s="31" t="s">
        <v>707</v>
      </c>
      <c r="E45" s="15" t="s">
        <v>722</v>
      </c>
    </row>
    <row collapsed="false" customFormat="false" customHeight="false" hidden="false" ht="23.85" outlineLevel="0" r="46">
      <c r="A46" s="9" t="s">
        <v>44</v>
      </c>
      <c r="B46" s="29" t="s">
        <v>811</v>
      </c>
      <c r="C46" s="36" t="s">
        <v>810</v>
      </c>
      <c r="D46" s="31" t="s">
        <v>707</v>
      </c>
      <c r="E46" s="15" t="s">
        <v>722</v>
      </c>
    </row>
    <row collapsed="false" customFormat="true" customHeight="false" hidden="false" ht="23.85" outlineLevel="0" r="47" s="38">
      <c r="A47" s="30" t="s">
        <v>45</v>
      </c>
      <c r="B47" s="29" t="s">
        <v>812</v>
      </c>
      <c r="C47" s="31" t="s">
        <v>813</v>
      </c>
      <c r="D47" s="31" t="s">
        <v>707</v>
      </c>
      <c r="E47" s="30" t="s">
        <v>814</v>
      </c>
      <c r="F47" s="31" t="s">
        <v>815</v>
      </c>
    </row>
    <row collapsed="false" customFormat="false" customHeight="false" hidden="false" ht="12.8" outlineLevel="0" r="48">
      <c r="A48" s="9" t="s">
        <v>46</v>
      </c>
      <c r="B48" s="39" t="s">
        <v>816</v>
      </c>
      <c r="C48" s="36" t="s">
        <v>817</v>
      </c>
      <c r="D48" s="31" t="s">
        <v>707</v>
      </c>
      <c r="E48" s="15" t="s">
        <v>818</v>
      </c>
    </row>
    <row collapsed="false" customFormat="false" customHeight="false" hidden="false" ht="12.8" outlineLevel="0" r="49">
      <c r="A49" s="9" t="s">
        <v>47</v>
      </c>
      <c r="B49" s="29" t="s">
        <v>819</v>
      </c>
      <c r="C49" s="36" t="s">
        <v>820</v>
      </c>
      <c r="D49" s="31" t="s">
        <v>739</v>
      </c>
      <c r="E49" s="15" t="s">
        <v>754</v>
      </c>
    </row>
    <row collapsed="false" customFormat="false" customHeight="false" hidden="false" ht="12.8" outlineLevel="0" r="50">
      <c r="A50" s="9" t="s">
        <v>48</v>
      </c>
      <c r="B50" s="29" t="s">
        <v>821</v>
      </c>
      <c r="C50" s="36" t="s">
        <v>822</v>
      </c>
      <c r="D50" s="31" t="s">
        <v>757</v>
      </c>
      <c r="E50" s="15" t="s">
        <v>758</v>
      </c>
    </row>
    <row collapsed="false" customFormat="false" customHeight="false" hidden="false" ht="23.85" outlineLevel="0" r="51">
      <c r="A51" s="9" t="s">
        <v>49</v>
      </c>
      <c r="B51" s="29" t="s">
        <v>823</v>
      </c>
      <c r="C51" s="36" t="s">
        <v>824</v>
      </c>
      <c r="D51" s="31" t="s">
        <v>757</v>
      </c>
      <c r="E51" s="15" t="s">
        <v>758</v>
      </c>
    </row>
    <row collapsed="false" customFormat="false" customHeight="false" hidden="false" ht="12.8" outlineLevel="0" r="52">
      <c r="A52" s="9" t="s">
        <v>50</v>
      </c>
      <c r="B52" s="29" t="s">
        <v>825</v>
      </c>
      <c r="C52" s="36" t="s">
        <v>826</v>
      </c>
      <c r="D52" s="31" t="s">
        <v>707</v>
      </c>
      <c r="E52" s="15" t="s">
        <v>711</v>
      </c>
    </row>
    <row collapsed="false" customFormat="true" customHeight="false" hidden="false" ht="23.85" outlineLevel="0" r="53" s="38">
      <c r="A53" s="30" t="s">
        <v>51</v>
      </c>
      <c r="B53" s="29" t="s">
        <v>827</v>
      </c>
      <c r="C53" s="31" t="s">
        <v>828</v>
      </c>
      <c r="D53" s="31" t="s">
        <v>707</v>
      </c>
      <c r="E53" s="30" t="s">
        <v>814</v>
      </c>
      <c r="F53" s="31" t="s">
        <v>829</v>
      </c>
    </row>
    <row collapsed="false" customFormat="false" customHeight="false" hidden="false" ht="12.8" outlineLevel="0" r="54">
      <c r="A54" s="9" t="s">
        <v>52</v>
      </c>
      <c r="B54" s="39" t="s">
        <v>830</v>
      </c>
      <c r="C54" s="36" t="s">
        <v>831</v>
      </c>
      <c r="D54" s="31" t="s">
        <v>832</v>
      </c>
      <c r="E54" s="15" t="s">
        <v>711</v>
      </c>
      <c r="F54" s="31" t="s">
        <v>833</v>
      </c>
    </row>
    <row collapsed="false" customFormat="false" customHeight="false" hidden="false" ht="12.8" outlineLevel="0" r="55">
      <c r="A55" s="9" t="s">
        <v>53</v>
      </c>
      <c r="B55" s="29" t="s">
        <v>834</v>
      </c>
      <c r="C55" s="36" t="s">
        <v>835</v>
      </c>
      <c r="D55" s="31" t="s">
        <v>836</v>
      </c>
      <c r="E55" s="15" t="s">
        <v>754</v>
      </c>
    </row>
    <row collapsed="false" customFormat="false" customHeight="false" hidden="false" ht="12.8" outlineLevel="0" r="56">
      <c r="A56" s="9" t="s">
        <v>54</v>
      </c>
      <c r="B56" s="29" t="s">
        <v>837</v>
      </c>
      <c r="C56" s="36" t="s">
        <v>838</v>
      </c>
      <c r="D56" s="31" t="s">
        <v>739</v>
      </c>
      <c r="E56" s="15" t="s">
        <v>754</v>
      </c>
    </row>
    <row collapsed="false" customFormat="false" customHeight="false" hidden="false" ht="23.85" outlineLevel="0" r="57">
      <c r="A57" s="9" t="s">
        <v>55</v>
      </c>
      <c r="B57" s="29" t="s">
        <v>839</v>
      </c>
      <c r="C57" s="36" t="s">
        <v>840</v>
      </c>
      <c r="D57" s="31" t="s">
        <v>739</v>
      </c>
      <c r="E57" s="15" t="s">
        <v>754</v>
      </c>
      <c r="F57" s="40" t="s">
        <v>841</v>
      </c>
    </row>
    <row collapsed="false" customFormat="false" customHeight="false" hidden="false" ht="12.8" outlineLevel="0" r="58">
      <c r="A58" s="9" t="s">
        <v>56</v>
      </c>
      <c r="B58" s="29" t="s">
        <v>842</v>
      </c>
      <c r="C58" s="36" t="s">
        <v>843</v>
      </c>
      <c r="D58" s="31" t="s">
        <v>739</v>
      </c>
      <c r="E58" s="15" t="s">
        <v>740</v>
      </c>
    </row>
    <row collapsed="false" customFormat="false" customHeight="false" hidden="false" ht="12.8" outlineLevel="0" r="59">
      <c r="A59" s="9" t="s">
        <v>57</v>
      </c>
      <c r="B59" s="29" t="s">
        <v>844</v>
      </c>
      <c r="C59" s="36" t="s">
        <v>845</v>
      </c>
      <c r="D59" s="31" t="s">
        <v>739</v>
      </c>
      <c r="E59" s="15" t="s">
        <v>740</v>
      </c>
    </row>
    <row collapsed="false" customFormat="false" customHeight="false" hidden="false" ht="12.8" outlineLevel="0" r="60">
      <c r="A60" s="9" t="s">
        <v>58</v>
      </c>
      <c r="B60" s="29" t="s">
        <v>846</v>
      </c>
      <c r="C60" s="41" t="s">
        <v>847</v>
      </c>
      <c r="D60" s="31" t="s">
        <v>739</v>
      </c>
      <c r="E60" s="15" t="s">
        <v>740</v>
      </c>
    </row>
    <row collapsed="false" customFormat="true" customHeight="false" hidden="false" ht="23.85" outlineLevel="0" r="61" s="38">
      <c r="A61" s="30" t="s">
        <v>59</v>
      </c>
      <c r="B61" s="29" t="s">
        <v>848</v>
      </c>
      <c r="C61" s="31" t="s">
        <v>849</v>
      </c>
      <c r="D61" s="31" t="s">
        <v>707</v>
      </c>
      <c r="E61" s="30" t="s">
        <v>728</v>
      </c>
      <c r="F61" s="31" t="s">
        <v>850</v>
      </c>
    </row>
    <row collapsed="false" customFormat="false" customHeight="false" hidden="false" ht="12.8" outlineLevel="0" r="62">
      <c r="A62" s="9" t="s">
        <v>60</v>
      </c>
      <c r="B62" s="39" t="s">
        <v>851</v>
      </c>
      <c r="C62" s="36" t="s">
        <v>852</v>
      </c>
      <c r="D62" s="31" t="s">
        <v>739</v>
      </c>
      <c r="E62" s="15" t="s">
        <v>740</v>
      </c>
    </row>
    <row collapsed="false" customFormat="false" customHeight="false" hidden="false" ht="12.8" outlineLevel="0" r="63">
      <c r="A63" s="9" t="s">
        <v>61</v>
      </c>
      <c r="B63" s="29" t="s">
        <v>853</v>
      </c>
      <c r="C63" s="36" t="s">
        <v>854</v>
      </c>
      <c r="D63" s="31" t="s">
        <v>739</v>
      </c>
      <c r="E63" s="15" t="s">
        <v>746</v>
      </c>
    </row>
    <row collapsed="false" customFormat="false" customHeight="false" hidden="false" ht="12.8" outlineLevel="0" r="64">
      <c r="A64" s="9" t="s">
        <v>62</v>
      </c>
      <c r="B64" s="29" t="s">
        <v>855</v>
      </c>
      <c r="C64" s="36" t="s">
        <v>856</v>
      </c>
      <c r="D64" s="31" t="s">
        <v>707</v>
      </c>
      <c r="E64" s="15" t="s">
        <v>725</v>
      </c>
      <c r="F64" s="31" t="s">
        <v>857</v>
      </c>
    </row>
    <row collapsed="false" customFormat="true" customHeight="false" hidden="false" ht="23.85" outlineLevel="0" r="65" s="38">
      <c r="A65" s="30" t="s">
        <v>63</v>
      </c>
      <c r="B65" s="29" t="s">
        <v>858</v>
      </c>
      <c r="C65" s="31" t="s">
        <v>859</v>
      </c>
      <c r="D65" s="31" t="s">
        <v>707</v>
      </c>
      <c r="E65" s="30" t="s">
        <v>728</v>
      </c>
      <c r="F65" s="31" t="s">
        <v>860</v>
      </c>
    </row>
    <row collapsed="false" customFormat="true" customHeight="false" hidden="false" ht="23.85" outlineLevel="0" r="66" s="38">
      <c r="A66" s="30" t="s">
        <v>64</v>
      </c>
      <c r="B66" s="39" t="s">
        <v>861</v>
      </c>
      <c r="C66" s="31" t="s">
        <v>862</v>
      </c>
      <c r="D66" s="31" t="s">
        <v>707</v>
      </c>
      <c r="E66" s="30" t="s">
        <v>863</v>
      </c>
      <c r="F66" s="31" t="s">
        <v>864</v>
      </c>
      <c r="G66" s="42"/>
    </row>
    <row collapsed="false" customFormat="false" customHeight="false" hidden="false" ht="12.8" outlineLevel="0" r="67">
      <c r="A67" s="9" t="s">
        <v>65</v>
      </c>
      <c r="B67" s="39" t="s">
        <v>865</v>
      </c>
      <c r="C67" s="36" t="s">
        <v>866</v>
      </c>
      <c r="D67" s="31" t="s">
        <v>739</v>
      </c>
      <c r="E67" s="15" t="s">
        <v>754</v>
      </c>
    </row>
    <row collapsed="false" customFormat="false" customHeight="false" hidden="false" ht="12.8" outlineLevel="0" r="68">
      <c r="A68" s="36" t="s">
        <v>66</v>
      </c>
      <c r="B68" s="29" t="s">
        <v>867</v>
      </c>
      <c r="C68" s="9" t="s">
        <v>868</v>
      </c>
      <c r="D68" s="30" t="s">
        <v>739</v>
      </c>
      <c r="E68" s="15" t="s">
        <v>740</v>
      </c>
      <c r="F68" s="31" t="s">
        <v>869</v>
      </c>
    </row>
    <row collapsed="false" customFormat="false" customHeight="false" hidden="false" ht="12.8" outlineLevel="0" r="69">
      <c r="A69" s="9" t="s">
        <v>67</v>
      </c>
      <c r="B69" s="29" t="s">
        <v>870</v>
      </c>
      <c r="C69" s="36" t="s">
        <v>871</v>
      </c>
      <c r="D69" s="31" t="s">
        <v>739</v>
      </c>
      <c r="E69" s="15" t="s">
        <v>754</v>
      </c>
    </row>
    <row collapsed="false" customFormat="true" customHeight="false" hidden="false" ht="23.85" outlineLevel="0" r="70" s="38">
      <c r="A70" s="30" t="s">
        <v>68</v>
      </c>
      <c r="B70" s="29" t="s">
        <v>872</v>
      </c>
      <c r="C70" s="31" t="s">
        <v>873</v>
      </c>
      <c r="D70" s="31" t="s">
        <v>707</v>
      </c>
      <c r="E70" s="30" t="s">
        <v>711</v>
      </c>
      <c r="F70" s="31" t="s">
        <v>874</v>
      </c>
    </row>
    <row collapsed="false" customFormat="false" customHeight="false" hidden="false" ht="12.8" outlineLevel="0" r="71">
      <c r="A71" s="9" t="s">
        <v>69</v>
      </c>
      <c r="B71" s="39" t="s">
        <v>875</v>
      </c>
      <c r="C71" s="36" t="s">
        <v>876</v>
      </c>
      <c r="D71" s="31" t="s">
        <v>739</v>
      </c>
      <c r="E71" s="15" t="s">
        <v>754</v>
      </c>
    </row>
    <row collapsed="false" customFormat="false" customHeight="false" hidden="false" ht="12.8" outlineLevel="0" r="72">
      <c r="A72" s="9" t="s">
        <v>70</v>
      </c>
      <c r="B72" s="29" t="s">
        <v>877</v>
      </c>
      <c r="C72" s="36" t="s">
        <v>878</v>
      </c>
      <c r="D72" s="31" t="s">
        <v>757</v>
      </c>
      <c r="E72" s="15" t="s">
        <v>758</v>
      </c>
    </row>
    <row collapsed="false" customFormat="false" customHeight="false" hidden="false" ht="12.8" outlineLevel="0" r="73">
      <c r="A73" s="9" t="s">
        <v>71</v>
      </c>
      <c r="B73" s="29" t="s">
        <v>879</v>
      </c>
      <c r="C73" s="36" t="s">
        <v>880</v>
      </c>
      <c r="D73" s="31" t="s">
        <v>739</v>
      </c>
      <c r="E73" s="15" t="s">
        <v>754</v>
      </c>
    </row>
    <row collapsed="false" customFormat="false" customHeight="false" hidden="false" ht="35.05" outlineLevel="0" r="74">
      <c r="A74" s="9" t="s">
        <v>72</v>
      </c>
      <c r="B74" s="29" t="s">
        <v>881</v>
      </c>
      <c r="C74" s="41" t="s">
        <v>882</v>
      </c>
      <c r="D74" s="31" t="s">
        <v>739</v>
      </c>
      <c r="E74" s="15" t="s">
        <v>740</v>
      </c>
      <c r="F74" s="43"/>
    </row>
    <row collapsed="false" customFormat="false" customHeight="false" hidden="false" ht="12.8" outlineLevel="0" r="75">
      <c r="A75" s="9" t="s">
        <v>73</v>
      </c>
      <c r="B75" s="29" t="s">
        <v>883</v>
      </c>
      <c r="C75" s="36" t="s">
        <v>884</v>
      </c>
      <c r="D75" s="31" t="s">
        <v>739</v>
      </c>
      <c r="E75" s="15" t="s">
        <v>754</v>
      </c>
    </row>
    <row collapsed="false" customFormat="false" customHeight="false" hidden="false" ht="12.8" outlineLevel="0" r="76">
      <c r="A76" s="9" t="s">
        <v>74</v>
      </c>
      <c r="B76" s="29" t="s">
        <v>885</v>
      </c>
      <c r="C76" s="36" t="s">
        <v>886</v>
      </c>
      <c r="D76" s="31" t="s">
        <v>739</v>
      </c>
      <c r="E76" s="15" t="s">
        <v>754</v>
      </c>
    </row>
    <row collapsed="false" customFormat="false" customHeight="false" hidden="false" ht="12.8" outlineLevel="0" r="77">
      <c r="A77" s="9" t="s">
        <v>75</v>
      </c>
      <c r="B77" s="29" t="s">
        <v>887</v>
      </c>
      <c r="C77" s="36" t="s">
        <v>888</v>
      </c>
      <c r="D77" s="31" t="s">
        <v>739</v>
      </c>
      <c r="E77" s="15" t="s">
        <v>754</v>
      </c>
    </row>
    <row collapsed="false" customFormat="false" customHeight="false" hidden="false" ht="46.25" outlineLevel="0" r="78">
      <c r="A78" s="9" t="s">
        <v>76</v>
      </c>
      <c r="B78" s="29" t="s">
        <v>889</v>
      </c>
      <c r="C78" s="36" t="s">
        <v>890</v>
      </c>
      <c r="D78" s="31" t="s">
        <v>739</v>
      </c>
      <c r="E78" s="15" t="s">
        <v>746</v>
      </c>
    </row>
    <row collapsed="false" customFormat="false" customHeight="false" hidden="false" ht="12.8" outlineLevel="0" r="79">
      <c r="A79" s="9" t="s">
        <v>77</v>
      </c>
      <c r="B79" s="29" t="s">
        <v>891</v>
      </c>
      <c r="C79" s="36" t="s">
        <v>892</v>
      </c>
      <c r="D79" s="31" t="s">
        <v>739</v>
      </c>
      <c r="E79" s="15" t="s">
        <v>740</v>
      </c>
      <c r="F79" s="31" t="s">
        <v>869</v>
      </c>
    </row>
    <row collapsed="false" customFormat="false" customHeight="false" hidden="false" ht="23.85" outlineLevel="0" r="80">
      <c r="A80" s="9" t="s">
        <v>78</v>
      </c>
      <c r="B80" s="29" t="s">
        <v>893</v>
      </c>
      <c r="C80" s="36" t="s">
        <v>894</v>
      </c>
      <c r="D80" s="31" t="s">
        <v>739</v>
      </c>
      <c r="E80" s="15" t="s">
        <v>754</v>
      </c>
    </row>
    <row collapsed="false" customFormat="false" customHeight="false" hidden="false" ht="12.8" outlineLevel="0" r="81">
      <c r="A81" s="9" t="s">
        <v>79</v>
      </c>
      <c r="B81" s="29" t="s">
        <v>895</v>
      </c>
      <c r="C81" s="36" t="s">
        <v>896</v>
      </c>
      <c r="D81" s="31" t="s">
        <v>739</v>
      </c>
      <c r="E81" s="15" t="s">
        <v>740</v>
      </c>
    </row>
    <row collapsed="false" customFormat="false" customHeight="false" hidden="false" ht="23.85" outlineLevel="0" r="82">
      <c r="A82" s="9" t="s">
        <v>80</v>
      </c>
      <c r="B82" s="29" t="s">
        <v>897</v>
      </c>
      <c r="C82" s="36" t="s">
        <v>898</v>
      </c>
      <c r="D82" s="31" t="s">
        <v>739</v>
      </c>
      <c r="E82" s="15" t="s">
        <v>740</v>
      </c>
      <c r="F82" s="31" t="s">
        <v>869</v>
      </c>
    </row>
    <row collapsed="false" customFormat="false" customHeight="false" hidden="false" ht="23.85" outlineLevel="0" r="83">
      <c r="A83" s="9" t="s">
        <v>81</v>
      </c>
      <c r="B83" s="29" t="s">
        <v>899</v>
      </c>
      <c r="C83" s="36" t="s">
        <v>900</v>
      </c>
      <c r="D83" s="31" t="s">
        <v>739</v>
      </c>
      <c r="E83" s="15" t="s">
        <v>740</v>
      </c>
    </row>
    <row collapsed="false" customFormat="false" customHeight="false" hidden="false" ht="23.85" outlineLevel="0" r="84">
      <c r="A84" s="9" t="s">
        <v>82</v>
      </c>
      <c r="B84" s="29" t="s">
        <v>901</v>
      </c>
      <c r="C84" s="36" t="s">
        <v>902</v>
      </c>
      <c r="D84" s="30" t="s">
        <v>757</v>
      </c>
      <c r="E84" s="15" t="s">
        <v>758</v>
      </c>
    </row>
    <row collapsed="false" customFormat="false" customHeight="false" hidden="false" ht="12.8" outlineLevel="0" r="85">
      <c r="A85" s="9" t="s">
        <v>83</v>
      </c>
      <c r="B85" s="29" t="s">
        <v>903</v>
      </c>
      <c r="C85" s="9" t="s">
        <v>904</v>
      </c>
      <c r="D85" s="30" t="s">
        <v>739</v>
      </c>
      <c r="E85" s="15" t="s">
        <v>740</v>
      </c>
    </row>
    <row collapsed="false" customFormat="false" customHeight="false" hidden="false" ht="23.85" outlineLevel="0" r="86">
      <c r="A86" s="9" t="s">
        <v>84</v>
      </c>
      <c r="B86" s="29" t="s">
        <v>905</v>
      </c>
      <c r="C86" s="36" t="s">
        <v>906</v>
      </c>
      <c r="D86" s="30" t="s">
        <v>739</v>
      </c>
      <c r="E86" s="15" t="s">
        <v>740</v>
      </c>
      <c r="F86" s="31" t="s">
        <v>907</v>
      </c>
    </row>
    <row collapsed="false" customFormat="false" customHeight="false" hidden="false" ht="23.85" outlineLevel="0" r="87">
      <c r="A87" s="9" t="s">
        <v>85</v>
      </c>
      <c r="B87" s="29" t="s">
        <v>908</v>
      </c>
      <c r="C87" s="36" t="s">
        <v>909</v>
      </c>
      <c r="D87" s="30" t="s">
        <v>739</v>
      </c>
      <c r="E87" s="15" t="s">
        <v>740</v>
      </c>
      <c r="F87" s="31" t="s">
        <v>907</v>
      </c>
    </row>
    <row collapsed="false" customFormat="false" customHeight="false" hidden="false" ht="23.85" outlineLevel="0" r="88">
      <c r="A88" s="9" t="s">
        <v>86</v>
      </c>
      <c r="B88" s="29" t="s">
        <v>910</v>
      </c>
      <c r="C88" s="36" t="s">
        <v>911</v>
      </c>
      <c r="D88" s="30" t="s">
        <v>739</v>
      </c>
      <c r="E88" s="15" t="s">
        <v>740</v>
      </c>
      <c r="F88" s="31" t="s">
        <v>907</v>
      </c>
    </row>
    <row collapsed="false" customFormat="false" customHeight="false" hidden="false" ht="23.85" outlineLevel="0" r="89">
      <c r="A89" s="9" t="s">
        <v>87</v>
      </c>
      <c r="B89" s="29" t="s">
        <v>912</v>
      </c>
      <c r="C89" s="36" t="s">
        <v>913</v>
      </c>
      <c r="D89" s="30" t="s">
        <v>739</v>
      </c>
      <c r="E89" s="15" t="s">
        <v>740</v>
      </c>
      <c r="F89" s="31" t="s">
        <v>907</v>
      </c>
    </row>
    <row collapsed="false" customFormat="true" customHeight="false" hidden="false" ht="12.8" outlineLevel="0" r="90" s="44">
      <c r="A90" s="9" t="s">
        <v>88</v>
      </c>
      <c r="B90" s="29" t="s">
        <v>914</v>
      </c>
      <c r="C90" s="36" t="s">
        <v>915</v>
      </c>
      <c r="D90" s="30" t="s">
        <v>740</v>
      </c>
      <c r="E90" s="9"/>
      <c r="F90" s="31" t="s">
        <v>869</v>
      </c>
    </row>
    <row collapsed="false" customFormat="false" customHeight="false" hidden="false" ht="12.8" outlineLevel="0" r="91">
      <c r="A91" s="9" t="s">
        <v>89</v>
      </c>
      <c r="B91" s="29" t="s">
        <v>916</v>
      </c>
      <c r="C91" s="36" t="s">
        <v>917</v>
      </c>
      <c r="D91" s="30" t="s">
        <v>740</v>
      </c>
      <c r="F91" s="31" t="s">
        <v>869</v>
      </c>
    </row>
    <row collapsed="false" customFormat="false" customHeight="false" hidden="false" ht="12.8" outlineLevel="0" r="92">
      <c r="A92" s="9" t="s">
        <v>918</v>
      </c>
      <c r="B92" s="29" t="s">
        <v>919</v>
      </c>
      <c r="C92" s="36" t="s">
        <v>920</v>
      </c>
      <c r="D92" s="30" t="s">
        <v>731</v>
      </c>
      <c r="F92" s="31" t="s">
        <v>921</v>
      </c>
    </row>
    <row collapsed="false" customFormat="false" customHeight="false" hidden="false" ht="12.8" outlineLevel="0" r="93">
      <c r="A93" s="9" t="s">
        <v>922</v>
      </c>
      <c r="B93" s="29" t="s">
        <v>923</v>
      </c>
      <c r="C93" s="36" t="s">
        <v>924</v>
      </c>
      <c r="D93" s="30" t="s">
        <v>731</v>
      </c>
      <c r="F93" s="31" t="s">
        <v>921</v>
      </c>
    </row>
    <row collapsed="false" customFormat="false" customHeight="false" hidden="false" ht="12.8" outlineLevel="0" r="94">
      <c r="A94" s="9" t="s">
        <v>92</v>
      </c>
      <c r="B94" s="29" t="s">
        <v>925</v>
      </c>
      <c r="C94" s="36" t="s">
        <v>926</v>
      </c>
      <c r="D94" s="30" t="s">
        <v>739</v>
      </c>
    </row>
    <row collapsed="false" customFormat="false" customHeight="false" hidden="false" ht="12.8" outlineLevel="0" r="95">
      <c r="A95" s="9" t="s">
        <v>93</v>
      </c>
      <c r="B95" s="29" t="s">
        <v>927</v>
      </c>
      <c r="C95" s="36" t="s">
        <v>928</v>
      </c>
      <c r="D95" s="30" t="s">
        <v>739</v>
      </c>
    </row>
    <row collapsed="false" customFormat="false" customHeight="false" hidden="false" ht="12.8" outlineLevel="0" r="96">
      <c r="A96" s="9" t="s">
        <v>94</v>
      </c>
      <c r="B96" s="29" t="s">
        <v>929</v>
      </c>
      <c r="C96" s="36" t="s">
        <v>930</v>
      </c>
      <c r="D96" s="30" t="s">
        <v>863</v>
      </c>
      <c r="F96" s="31" t="s">
        <v>931</v>
      </c>
    </row>
    <row collapsed="false" customFormat="false" customHeight="false" hidden="false" ht="12.8" outlineLevel="0" r="97">
      <c r="A97" s="9" t="s">
        <v>95</v>
      </c>
      <c r="B97" s="29" t="s">
        <v>932</v>
      </c>
      <c r="C97" s="36" t="s">
        <v>933</v>
      </c>
      <c r="D97" s="30" t="s">
        <v>863</v>
      </c>
      <c r="F97" s="31" t="s">
        <v>931</v>
      </c>
    </row>
    <row collapsed="false" customFormat="true" customHeight="false" hidden="false" ht="23.85" outlineLevel="0" r="98" s="44">
      <c r="A98" s="9" t="s">
        <v>934</v>
      </c>
      <c r="B98" s="29" t="s">
        <v>935</v>
      </c>
      <c r="C98" s="36" t="s">
        <v>936</v>
      </c>
      <c r="D98" s="30" t="s">
        <v>740</v>
      </c>
      <c r="E98" s="9"/>
      <c r="F98" s="31" t="s">
        <v>869</v>
      </c>
    </row>
    <row collapsed="false" customFormat="false" customHeight="false" hidden="false" ht="23.85" outlineLevel="0" r="99">
      <c r="A99" s="9" t="s">
        <v>97</v>
      </c>
      <c r="B99" s="29" t="s">
        <v>937</v>
      </c>
      <c r="C99" s="36" t="s">
        <v>938</v>
      </c>
      <c r="D99" s="30" t="s">
        <v>740</v>
      </c>
      <c r="F99" s="31" t="s">
        <v>869</v>
      </c>
    </row>
    <row collapsed="false" customFormat="false" customHeight="false" hidden="false" ht="23.85" outlineLevel="0" r="100">
      <c r="A100" s="36" t="s">
        <v>939</v>
      </c>
      <c r="B100" s="29" t="s">
        <v>940</v>
      </c>
      <c r="C100" s="36" t="s">
        <v>941</v>
      </c>
      <c r="D100" s="30" t="s">
        <v>740</v>
      </c>
      <c r="F100" s="31" t="s">
        <v>869</v>
      </c>
    </row>
    <row collapsed="false" customFormat="false" customHeight="false" hidden="false" ht="12.8" outlineLevel="0" r="101">
      <c r="A101" s="9" t="s">
        <v>99</v>
      </c>
      <c r="B101" s="29" t="s">
        <v>942</v>
      </c>
      <c r="C101" s="36" t="s">
        <v>943</v>
      </c>
      <c r="D101" s="30" t="s">
        <v>758</v>
      </c>
    </row>
    <row collapsed="false" customFormat="true" customHeight="false" hidden="false" ht="12.8" outlineLevel="0" r="102" s="44">
      <c r="A102" s="9" t="s">
        <v>944</v>
      </c>
      <c r="B102" s="29" t="s">
        <v>945</v>
      </c>
      <c r="C102" s="36" t="s">
        <v>946</v>
      </c>
      <c r="D102" s="30" t="s">
        <v>731</v>
      </c>
      <c r="E102" s="9"/>
      <c r="F102" s="31"/>
    </row>
    <row collapsed="false" customFormat="true" customHeight="false" hidden="false" ht="12.8" outlineLevel="0" r="103" s="44">
      <c r="A103" s="9" t="s">
        <v>947</v>
      </c>
      <c r="B103" s="29" t="s">
        <v>948</v>
      </c>
      <c r="C103" s="36" t="s">
        <v>949</v>
      </c>
      <c r="D103" s="30" t="s">
        <v>758</v>
      </c>
      <c r="E103" s="9"/>
      <c r="F103" s="31"/>
    </row>
    <row collapsed="false" customFormat="true" customHeight="false" hidden="false" ht="12.8" outlineLevel="0" r="104" s="44">
      <c r="A104" s="9" t="s">
        <v>950</v>
      </c>
      <c r="B104" s="29" t="s">
        <v>951</v>
      </c>
      <c r="C104" s="36" t="s">
        <v>952</v>
      </c>
      <c r="D104" s="30" t="s">
        <v>758</v>
      </c>
      <c r="E104" s="9"/>
      <c r="F104" s="31"/>
    </row>
    <row collapsed="false" customFormat="true" customHeight="false" hidden="false" ht="23.85" outlineLevel="0" r="105" s="44">
      <c r="A105" s="36" t="s">
        <v>103</v>
      </c>
      <c r="B105" s="29" t="s">
        <v>953</v>
      </c>
      <c r="C105" s="36" t="s">
        <v>954</v>
      </c>
      <c r="D105" s="30" t="s">
        <v>731</v>
      </c>
      <c r="E105" s="9"/>
      <c r="F105" s="31"/>
    </row>
    <row collapsed="false" customFormat="true" customHeight="false" hidden="false" ht="23.85" outlineLevel="0" r="106" s="44">
      <c r="A106" s="36" t="s">
        <v>955</v>
      </c>
      <c r="B106" s="29" t="s">
        <v>956</v>
      </c>
      <c r="C106" s="36" t="s">
        <v>957</v>
      </c>
      <c r="D106" s="30" t="s">
        <v>958</v>
      </c>
      <c r="E106" s="9"/>
      <c r="F106" s="31"/>
    </row>
    <row collapsed="false" customFormat="false" customHeight="false" hidden="false" ht="23.85" outlineLevel="0" r="107">
      <c r="A107" s="36" t="s">
        <v>959</v>
      </c>
      <c r="B107" s="29" t="s">
        <v>960</v>
      </c>
      <c r="C107" s="36" t="s">
        <v>961</v>
      </c>
      <c r="D107" s="30" t="s">
        <v>958</v>
      </c>
    </row>
    <row collapsed="false" customFormat="false" customHeight="false" hidden="false" ht="35.05" outlineLevel="0" r="108">
      <c r="A108" s="36" t="s">
        <v>106</v>
      </c>
      <c r="B108" s="29" t="s">
        <v>962</v>
      </c>
      <c r="C108" s="36" t="s">
        <v>963</v>
      </c>
      <c r="D108" s="30" t="s">
        <v>754</v>
      </c>
    </row>
    <row collapsed="false" customFormat="false" customHeight="false" hidden="false" ht="23.85" outlineLevel="0" r="109">
      <c r="A109" s="36" t="s">
        <v>107</v>
      </c>
      <c r="B109" s="29" t="s">
        <v>964</v>
      </c>
      <c r="C109" s="36" t="s">
        <v>965</v>
      </c>
      <c r="D109" s="30" t="s">
        <v>740</v>
      </c>
    </row>
    <row collapsed="false" customFormat="false" customHeight="false" hidden="false" ht="35.05" outlineLevel="0" r="110">
      <c r="A110" s="36" t="s">
        <v>966</v>
      </c>
      <c r="B110" s="29" t="s">
        <v>967</v>
      </c>
      <c r="C110" s="36" t="s">
        <v>968</v>
      </c>
      <c r="D110" s="30" t="s">
        <v>740</v>
      </c>
    </row>
    <row collapsed="false" customFormat="false" customHeight="false" hidden="false" ht="35.05" outlineLevel="0" r="111">
      <c r="A111" s="36" t="s">
        <v>969</v>
      </c>
      <c r="B111" s="29" t="s">
        <v>970</v>
      </c>
      <c r="C111" s="36" t="s">
        <v>971</v>
      </c>
      <c r="D111" s="30" t="s">
        <v>740</v>
      </c>
    </row>
    <row collapsed="false" customFormat="false" customHeight="false" hidden="false" ht="23.85" outlineLevel="0" r="112">
      <c r="A112" s="36" t="s">
        <v>972</v>
      </c>
      <c r="B112" s="29" t="s">
        <v>973</v>
      </c>
      <c r="C112" s="36" t="s">
        <v>974</v>
      </c>
      <c r="D112" s="30" t="s">
        <v>975</v>
      </c>
    </row>
    <row collapsed="false" customFormat="false" customHeight="false" hidden="false" ht="12.8" outlineLevel="0" r="113">
      <c r="A113" s="9" t="s">
        <v>111</v>
      </c>
      <c r="B113" s="29" t="s">
        <v>976</v>
      </c>
      <c r="C113" s="41" t="s">
        <v>977</v>
      </c>
      <c r="D113" s="30" t="s">
        <v>711</v>
      </c>
      <c r="E113" s="9"/>
      <c r="F113" s="30"/>
      <c r="G113" s="45"/>
    </row>
    <row collapsed="false" customFormat="false" customHeight="false" hidden="false" ht="12.8" outlineLevel="0" r="114">
      <c r="A114" s="46" t="s">
        <v>112</v>
      </c>
      <c r="B114" s="29" t="s">
        <v>978</v>
      </c>
      <c r="C114" s="41" t="s">
        <v>979</v>
      </c>
      <c r="D114" s="40" t="s">
        <v>707</v>
      </c>
      <c r="E114" s="46" t="s">
        <v>722</v>
      </c>
      <c r="F114" s="43" t="s">
        <v>980</v>
      </c>
      <c r="G114" s="40" t="s">
        <v>841</v>
      </c>
      <c r="H114" s="38"/>
      <c r="I114" s="38"/>
      <c r="J114" s="38"/>
      <c r="K114" s="38"/>
      <c r="L114" s="38"/>
    </row>
    <row collapsed="false" customFormat="false" customHeight="false" hidden="false" ht="12.8" outlineLevel="0" r="115">
      <c r="A115" s="46" t="s">
        <v>981</v>
      </c>
      <c r="B115" s="29" t="s">
        <v>982</v>
      </c>
      <c r="C115" s="41" t="s">
        <v>983</v>
      </c>
      <c r="D115" s="40" t="s">
        <v>739</v>
      </c>
      <c r="E115" s="46" t="s">
        <v>975</v>
      </c>
      <c r="F115" s="43"/>
      <c r="G115" s="47"/>
    </row>
    <row collapsed="false" customFormat="false" customHeight="false" hidden="false" ht="12.8" outlineLevel="0" r="116">
      <c r="A116" s="46" t="s">
        <v>984</v>
      </c>
      <c r="B116" s="29" t="s">
        <v>985</v>
      </c>
      <c r="C116" s="41" t="s">
        <v>986</v>
      </c>
      <c r="D116" s="40" t="s">
        <v>707</v>
      </c>
      <c r="E116" s="46" t="s">
        <v>722</v>
      </c>
      <c r="F116" s="43"/>
      <c r="G116" s="47"/>
    </row>
    <row collapsed="false" customFormat="false" customHeight="false" hidden="false" ht="12.8" outlineLevel="0" r="117">
      <c r="A117" s="46" t="s">
        <v>987</v>
      </c>
      <c r="B117" s="48" t="s">
        <v>988</v>
      </c>
      <c r="C117" s="41" t="s">
        <v>989</v>
      </c>
      <c r="D117" s="40" t="s">
        <v>739</v>
      </c>
      <c r="E117" s="46" t="s">
        <v>754</v>
      </c>
      <c r="F117" s="43"/>
      <c r="G117" s="47"/>
    </row>
    <row collapsed="false" customFormat="false" customHeight="false" hidden="false" ht="12.8" outlineLevel="0" r="118">
      <c r="A118" s="46" t="s">
        <v>990</v>
      </c>
      <c r="B118" s="48" t="s">
        <v>991</v>
      </c>
      <c r="C118" s="41" t="s">
        <v>992</v>
      </c>
      <c r="D118" s="40" t="s">
        <v>739</v>
      </c>
      <c r="E118" s="46" t="s">
        <v>754</v>
      </c>
      <c r="F118" s="43"/>
      <c r="G118" s="47"/>
    </row>
    <row collapsed="false" customFormat="false" customHeight="false" hidden="false" ht="23.85" outlineLevel="0" r="119">
      <c r="A119" s="46" t="s">
        <v>993</v>
      </c>
      <c r="B119" s="48" t="s">
        <v>994</v>
      </c>
      <c r="C119" s="41" t="s">
        <v>995</v>
      </c>
      <c r="D119" s="40" t="s">
        <v>739</v>
      </c>
      <c r="E119" s="46" t="s">
        <v>754</v>
      </c>
      <c r="F119" s="43" t="s">
        <v>996</v>
      </c>
      <c r="G119" s="47"/>
    </row>
    <row collapsed="false" customFormat="false" customHeight="false" hidden="false" ht="23.85" outlineLevel="0" r="120">
      <c r="A120" s="46" t="s">
        <v>118</v>
      </c>
      <c r="B120" s="48" t="s">
        <v>997</v>
      </c>
      <c r="C120" s="41" t="s">
        <v>998</v>
      </c>
      <c r="D120" s="40" t="s">
        <v>739</v>
      </c>
      <c r="E120" s="46" t="s">
        <v>754</v>
      </c>
      <c r="F120" s="43" t="s">
        <v>996</v>
      </c>
      <c r="G120" s="47"/>
    </row>
    <row collapsed="false" customFormat="false" customHeight="false" hidden="false" ht="12.8" outlineLevel="0" r="121">
      <c r="A121" s="46" t="s">
        <v>119</v>
      </c>
      <c r="B121" s="48" t="s">
        <v>999</v>
      </c>
      <c r="C121" s="41" t="s">
        <v>1000</v>
      </c>
      <c r="D121" s="40" t="s">
        <v>739</v>
      </c>
      <c r="E121" s="46" t="s">
        <v>740</v>
      </c>
      <c r="F121" s="43"/>
      <c r="G121" s="36"/>
    </row>
    <row collapsed="false" customFormat="false" customHeight="false" hidden="false" ht="12.8" outlineLevel="0" r="122">
      <c r="A122" s="46" t="s">
        <v>1001</v>
      </c>
      <c r="B122" s="48" t="s">
        <v>1002</v>
      </c>
      <c r="C122" s="41" t="s">
        <v>1003</v>
      </c>
      <c r="D122" s="40" t="s">
        <v>739</v>
      </c>
      <c r="E122" s="47" t="s">
        <v>740</v>
      </c>
      <c r="F122" s="43" t="s">
        <v>869</v>
      </c>
      <c r="G122" s="47"/>
    </row>
    <row collapsed="false" customFormat="true" customHeight="false" hidden="false" ht="12.8" outlineLevel="0" r="123" s="38">
      <c r="A123" s="40" t="s">
        <v>1004</v>
      </c>
      <c r="B123" s="49" t="s">
        <v>1005</v>
      </c>
      <c r="C123" s="43" t="s">
        <v>1006</v>
      </c>
      <c r="D123" s="40" t="s">
        <v>739</v>
      </c>
      <c r="E123" s="40" t="s">
        <v>754</v>
      </c>
      <c r="F123" s="43" t="s">
        <v>1007</v>
      </c>
      <c r="G123" s="40"/>
    </row>
    <row collapsed="false" customFormat="false" customHeight="false" hidden="false" ht="12.8" outlineLevel="0" r="124">
      <c r="A124" s="46" t="s">
        <v>1008</v>
      </c>
      <c r="B124" s="48" t="s">
        <v>1009</v>
      </c>
      <c r="C124" s="41" t="s">
        <v>1010</v>
      </c>
      <c r="D124" s="40" t="s">
        <v>707</v>
      </c>
      <c r="E124" s="47" t="s">
        <v>958</v>
      </c>
      <c r="F124" s="43"/>
      <c r="G124" s="47"/>
    </row>
    <row collapsed="false" customFormat="false" customHeight="false" hidden="false" ht="12.8" outlineLevel="0" r="125">
      <c r="A125" s="46" t="s">
        <v>1011</v>
      </c>
      <c r="B125" s="48" t="s">
        <v>1012</v>
      </c>
      <c r="C125" s="9" t="s">
        <v>1013</v>
      </c>
      <c r="D125" s="40" t="s">
        <v>739</v>
      </c>
      <c r="E125" s="46" t="s">
        <v>754</v>
      </c>
    </row>
    <row collapsed="false" customFormat="false" customHeight="false" hidden="false" ht="23.85" outlineLevel="0" r="126">
      <c r="A126" s="9" t="s">
        <v>1014</v>
      </c>
      <c r="B126" s="48" t="s">
        <v>1015</v>
      </c>
      <c r="C126" s="41" t="s">
        <v>1016</v>
      </c>
      <c r="D126" s="40" t="s">
        <v>739</v>
      </c>
      <c r="E126" s="47" t="s">
        <v>740</v>
      </c>
      <c r="F126" s="43" t="s">
        <v>869</v>
      </c>
    </row>
    <row collapsed="false" customFormat="false" customHeight="false" hidden="false" ht="23.85" outlineLevel="0" r="127">
      <c r="A127" s="9" t="s">
        <v>1017</v>
      </c>
      <c r="B127" s="48" t="s">
        <v>1018</v>
      </c>
      <c r="C127" s="41" t="s">
        <v>1019</v>
      </c>
      <c r="D127" s="40" t="s">
        <v>739</v>
      </c>
      <c r="E127" s="46" t="s">
        <v>754</v>
      </c>
    </row>
    <row collapsed="false" customFormat="false" customHeight="false" hidden="false" ht="35.05" outlineLevel="0" r="128">
      <c r="A128" s="46" t="s">
        <v>1020</v>
      </c>
      <c r="B128" s="29" t="s">
        <v>1021</v>
      </c>
      <c r="C128" s="41" t="s">
        <v>1022</v>
      </c>
      <c r="D128" s="31" t="s">
        <v>739</v>
      </c>
      <c r="E128" s="15" t="s">
        <v>746</v>
      </c>
    </row>
    <row collapsed="false" customFormat="false" customHeight="false" hidden="false" ht="12.8" outlineLevel="0" r="129">
      <c r="A129" s="46" t="s">
        <v>127</v>
      </c>
      <c r="B129" s="29" t="s">
        <v>1023</v>
      </c>
      <c r="C129" s="41" t="s">
        <v>1024</v>
      </c>
      <c r="D129" s="40" t="s">
        <v>707</v>
      </c>
    </row>
    <row collapsed="false" customFormat="false" customHeight="false" hidden="false" ht="23.85" outlineLevel="0" r="130">
      <c r="A130" s="46" t="s">
        <v>1025</v>
      </c>
      <c r="B130" s="29" t="s">
        <v>1026</v>
      </c>
      <c r="C130" s="41" t="s">
        <v>1027</v>
      </c>
      <c r="D130" s="40" t="s">
        <v>1028</v>
      </c>
    </row>
    <row collapsed="false" customFormat="false" customHeight="false" hidden="false" ht="12.8" outlineLevel="0" r="131">
      <c r="A131" s="50" t="s">
        <v>135</v>
      </c>
      <c r="B131" s="29" t="s">
        <v>1029</v>
      </c>
      <c r="E131" s="46" t="s">
        <v>754</v>
      </c>
    </row>
    <row collapsed="false" customFormat="false" customHeight="false" hidden="false" ht="12.8" outlineLevel="0" r="132">
      <c r="A132" s="50" t="s">
        <v>136</v>
      </c>
      <c r="B132" s="29" t="s">
        <v>1030</v>
      </c>
      <c r="E132" s="46" t="s">
        <v>754</v>
      </c>
    </row>
    <row collapsed="false" customFormat="false" customHeight="false" hidden="false" ht="12.8" outlineLevel="0" r="133">
      <c r="A133" s="9" t="s">
        <v>137</v>
      </c>
      <c r="B133" s="29" t="s">
        <v>1031</v>
      </c>
      <c r="E133" s="47" t="s">
        <v>958</v>
      </c>
    </row>
    <row collapsed="false" customFormat="false" customHeight="false" hidden="false" ht="12.8" outlineLevel="0" r="134">
      <c r="A134" s="9" t="s">
        <v>138</v>
      </c>
      <c r="B134" s="29" t="s">
        <v>1032</v>
      </c>
      <c r="E134" s="46" t="s">
        <v>754</v>
      </c>
    </row>
    <row collapsed="false" customFormat="false" customHeight="false" hidden="false" ht="12.8" outlineLevel="0" r="135">
      <c r="A135" s="9" t="s">
        <v>139</v>
      </c>
      <c r="B135" s="29" t="s">
        <v>1033</v>
      </c>
      <c r="E135" s="47" t="s">
        <v>958</v>
      </c>
    </row>
    <row collapsed="false" customFormat="false" customHeight="false" hidden="false" ht="12.8" outlineLevel="0" r="136">
      <c r="A136" s="9" t="s">
        <v>140</v>
      </c>
      <c r="B136" s="29" t="s">
        <v>1034</v>
      </c>
      <c r="E136" s="47" t="s">
        <v>958</v>
      </c>
    </row>
    <row collapsed="false" customFormat="false" customHeight="false" hidden="false" ht="12.8" outlineLevel="0" r="137">
      <c r="A137" s="9" t="s">
        <v>141</v>
      </c>
      <c r="B137" s="29" t="s">
        <v>1035</v>
      </c>
      <c r="E137" s="46" t="s">
        <v>754</v>
      </c>
    </row>
    <row collapsed="false" customFormat="false" customHeight="false" hidden="false" ht="12.8" outlineLevel="0" r="138">
      <c r="A138" s="9" t="s">
        <v>142</v>
      </c>
      <c r="B138" s="29" t="s">
        <v>1036</v>
      </c>
      <c r="E138" s="47" t="s">
        <v>958</v>
      </c>
    </row>
  </sheetData>
  <printOptions headings="false" gridLines="tru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  <colBreaks count="1" manualBreakCount="1">
    <brk id="2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B2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32.8745098039216"/>
    <col collapsed="false" hidden="false" max="2" min="2" style="0" width="41.0627450980392"/>
    <col collapsed="false" hidden="false" max="3" min="3" style="0" width="40.9176470588235"/>
    <col collapsed="false" hidden="false" max="4" min="4" style="0" width="39.0549019607843"/>
    <col collapsed="false" hidden="false" max="5" min="5" style="0" width="15.2235294117647"/>
    <col collapsed="false" hidden="false" max="6" min="6" style="0" width="17.8"/>
    <col collapsed="false" hidden="false" max="7" min="7" style="0" width="39.0549019607843"/>
    <col collapsed="false" hidden="false" max="1025" min="8" style="0" width="8.71764705882353"/>
  </cols>
  <sheetData>
    <row collapsed="false" customFormat="true" customHeight="true" hidden="false" ht="12.75" outlineLevel="0" r="1" s="51">
      <c r="A1" s="51" t="s">
        <v>1037</v>
      </c>
    </row>
    <row collapsed="false" customFormat="false" customHeight="false" hidden="false" ht="12.8" outlineLevel="0" r="3">
      <c r="A3" s="51" t="s">
        <v>1038</v>
      </c>
    </row>
    <row collapsed="false" customFormat="false" customHeight="false" hidden="false" ht="12.8" outlineLevel="0" r="4">
      <c r="A4" s="0" t="s">
        <v>1039</v>
      </c>
      <c r="B4" s="0" t="s">
        <v>1040</v>
      </c>
    </row>
    <row collapsed="false" customFormat="false" customHeight="false" hidden="false" ht="12.8" outlineLevel="0" r="5">
      <c r="A5" s="0" t="s">
        <v>1041</v>
      </c>
      <c r="B5" s="0" t="s">
        <v>1042</v>
      </c>
    </row>
    <row collapsed="false" customFormat="false" customHeight="false" hidden="false" ht="12.8" outlineLevel="0" r="6">
      <c r="A6" s="0" t="s">
        <v>1043</v>
      </c>
      <c r="B6" s="0" t="s">
        <v>1044</v>
      </c>
    </row>
    <row collapsed="false" customFormat="false" customHeight="false" hidden="false" ht="12.8" outlineLevel="0" r="7">
      <c r="A7" s="0" t="s">
        <v>211</v>
      </c>
      <c r="B7" s="0" t="s">
        <v>1045</v>
      </c>
    </row>
    <row collapsed="false" customFormat="false" customHeight="false" hidden="false" ht="12.8" outlineLevel="0" r="8">
      <c r="A8" s="0" t="s">
        <v>1046</v>
      </c>
      <c r="B8" s="0" t="s">
        <v>1047</v>
      </c>
    </row>
    <row collapsed="false" customFormat="false" customHeight="false" hidden="false" ht="12.8" outlineLevel="0" r="9">
      <c r="A9" s="0" t="s">
        <v>1048</v>
      </c>
      <c r="B9" s="0" t="s">
        <v>1049</v>
      </c>
    </row>
    <row collapsed="false" customFormat="false" customHeight="false" hidden="false" ht="12.8" outlineLevel="0" r="10">
      <c r="A10" s="0" t="s">
        <v>150</v>
      </c>
      <c r="B10" s="0" t="s">
        <v>1050</v>
      </c>
    </row>
    <row collapsed="false" customFormat="false" customHeight="false" hidden="false" ht="12.8" outlineLevel="0" r="11">
      <c r="A11" s="0" t="s">
        <v>172</v>
      </c>
      <c r="B11" s="0" t="s">
        <v>1051</v>
      </c>
    </row>
    <row collapsed="false" customFormat="false" customHeight="false" hidden="false" ht="12.8" outlineLevel="0" r="12">
      <c r="A12" s="0" t="s">
        <v>185</v>
      </c>
      <c r="B12" s="0" t="s">
        <v>1052</v>
      </c>
    </row>
    <row collapsed="false" customFormat="false" customHeight="false" hidden="false" ht="12.8" outlineLevel="0" r="13">
      <c r="A13" s="0" t="s">
        <v>194</v>
      </c>
      <c r="B13" s="0" t="s">
        <v>1053</v>
      </c>
    </row>
    <row collapsed="false" customFormat="false" customHeight="false" hidden="false" ht="12.8" outlineLevel="0" r="14">
      <c r="A14" s="0" t="s">
        <v>204</v>
      </c>
      <c r="B14" s="0" t="s">
        <v>1054</v>
      </c>
    </row>
    <row collapsed="false" customFormat="false" customHeight="false" hidden="false" ht="12.8" outlineLevel="0" r="15">
      <c r="A15" s="0" t="s">
        <v>222</v>
      </c>
      <c r="B15" s="0" t="s">
        <v>1055</v>
      </c>
    </row>
    <row collapsed="false" customFormat="false" customHeight="false" hidden="false" ht="12.8" outlineLevel="0" r="16">
      <c r="A16" s="0" t="s">
        <v>244</v>
      </c>
      <c r="B16" s="0" t="s">
        <v>1056</v>
      </c>
    </row>
    <row collapsed="false" customFormat="false" customHeight="false" hidden="false" ht="12.8" outlineLevel="0" r="18">
      <c r="A18" s="51" t="s">
        <v>1057</v>
      </c>
    </row>
    <row collapsed="false" customFormat="false" customHeight="false" hidden="false" ht="12.8" outlineLevel="0" r="19">
      <c r="A19" s="0" t="s">
        <v>1058</v>
      </c>
      <c r="B19" s="0" t="s">
        <v>1059</v>
      </c>
    </row>
    <row collapsed="false" customFormat="false" customHeight="false" hidden="false" ht="12.8" outlineLevel="0" r="20">
      <c r="A20" s="0" t="s">
        <v>1060</v>
      </c>
      <c r="B20" s="0" t="s">
        <v>1061</v>
      </c>
    </row>
    <row collapsed="false" customFormat="false" customHeight="false" hidden="false" ht="12.8" outlineLevel="0" r="21">
      <c r="A21" s="0" t="s">
        <v>1062</v>
      </c>
      <c r="B21" s="0" t="s">
        <v>1063</v>
      </c>
    </row>
    <row collapsed="false" customFormat="false" customHeight="false" hidden="false" ht="12.8" outlineLevel="0" r="22">
      <c r="A22" s="0" t="s">
        <v>1064</v>
      </c>
      <c r="B22" s="0" t="s">
        <v>1065</v>
      </c>
    </row>
    <row collapsed="false" customFormat="false" customHeight="false" hidden="false" ht="12.8" outlineLevel="0" r="23">
      <c r="A23" s="0" t="s">
        <v>1066</v>
      </c>
      <c r="B23" s="0" t="s">
        <v>1067</v>
      </c>
    </row>
    <row collapsed="false" customFormat="false" customHeight="false" hidden="false" ht="12.8" outlineLevel="0" r="24">
      <c r="A24" s="0" t="s">
        <v>1068</v>
      </c>
      <c r="B24" s="0" t="s">
        <v>1069</v>
      </c>
    </row>
    <row collapsed="false" customFormat="false" customHeight="false" hidden="false" ht="12.8" outlineLevel="0" r="25">
      <c r="A25" s="0" t="s">
        <v>1070</v>
      </c>
      <c r="B25" s="0" t="s">
        <v>1071</v>
      </c>
    </row>
    <row collapsed="false" customFormat="false" customHeight="false" hidden="false" ht="12.8" outlineLevel="0" r="26">
      <c r="A26" s="0" t="s">
        <v>1072</v>
      </c>
      <c r="B26" s="0" t="s">
        <v>1073</v>
      </c>
    </row>
    <row collapsed="false" customFormat="false" customHeight="false" hidden="false" ht="12.8" outlineLevel="0" r="27">
      <c r="A27" s="0" t="s">
        <v>1074</v>
      </c>
      <c r="B27" s="0" t="s">
        <v>1075</v>
      </c>
    </row>
    <row collapsed="false" customFormat="false" customHeight="false" hidden="false" ht="12.8" outlineLevel="0" r="28">
      <c r="A28" s="0" t="s">
        <v>1076</v>
      </c>
      <c r="B28" s="0" t="s">
        <v>1077</v>
      </c>
    </row>
    <row collapsed="false" customFormat="false" customHeight="false" hidden="false" ht="12.8" outlineLevel="0" r="29">
      <c r="A29" s="0" t="s">
        <v>1078</v>
      </c>
      <c r="B29" s="0" t="s">
        <v>1079</v>
      </c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  <rowBreaks count="4" manualBreakCount="4">
    <brk id="41" man="true" max="16383" min="0"/>
    <brk id="82" man="true" max="16383" min="0"/>
    <brk id="112" man="true" max="16383" min="0"/>
    <brk id="141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C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4" activeCellId="0" pane="topLeft" sqref="A14"/>
      <selection activeCell="A1" activeCellId="0" pane="bottomLeft" sqref="A1"/>
    </sheetView>
  </sheetViews>
  <cols>
    <col collapsed="false" hidden="false" max="1" min="1" style="0" width="30.8588235294118"/>
    <col collapsed="false" hidden="false" max="2" min="2" style="0" width="41.0627450980392"/>
    <col collapsed="false" hidden="false" max="3" min="3" style="0" width="40.9176470588235"/>
    <col collapsed="false" hidden="false" max="1025" min="4" style="0" width="8.71764705882353"/>
  </cols>
  <sheetData>
    <row collapsed="false" customFormat="true" customHeight="false" hidden="false" ht="12.8" outlineLevel="0" r="1" s="51">
      <c r="A1" s="52" t="s">
        <v>1080</v>
      </c>
      <c r="B1" s="52" t="s">
        <v>1059</v>
      </c>
      <c r="C1" s="52" t="s">
        <v>704</v>
      </c>
    </row>
    <row collapsed="false" customFormat="false" customHeight="false" hidden="false" ht="12.8" outlineLevel="0" r="2">
      <c r="A2" s="0" t="s">
        <v>1081</v>
      </c>
      <c r="B2" s="0" t="s">
        <v>1082</v>
      </c>
    </row>
    <row collapsed="false" customFormat="false" customHeight="false" hidden="false" ht="12.8" outlineLevel="0" r="3">
      <c r="A3" s="0" t="s">
        <v>325</v>
      </c>
      <c r="B3" s="0" t="s">
        <v>1083</v>
      </c>
    </row>
    <row collapsed="false" customFormat="false" customHeight="false" hidden="false" ht="12.8" outlineLevel="0" r="4">
      <c r="A4" s="0" t="s">
        <v>1084</v>
      </c>
      <c r="B4" s="0" t="s">
        <v>1085</v>
      </c>
    </row>
    <row collapsed="false" customFormat="false" customHeight="false" hidden="false" ht="12.8" outlineLevel="0" r="5">
      <c r="A5" s="0" t="s">
        <v>213</v>
      </c>
      <c r="B5" s="0" t="s">
        <v>1086</v>
      </c>
    </row>
    <row collapsed="false" customFormat="false" customHeight="false" hidden="false" ht="12.8" outlineLevel="0" r="6">
      <c r="A6" s="0" t="s">
        <v>223</v>
      </c>
      <c r="B6" s="0" t="s">
        <v>1087</v>
      </c>
    </row>
    <row collapsed="false" customFormat="false" customHeight="false" hidden="false" ht="12.8" outlineLevel="0" r="7">
      <c r="A7" s="0" t="s">
        <v>175</v>
      </c>
      <c r="B7" s="0" t="s">
        <v>1088</v>
      </c>
    </row>
    <row collapsed="false" customFormat="false" customHeight="false" hidden="false" ht="12.8" outlineLevel="0" r="8">
      <c r="A8" s="0" t="s">
        <v>1089</v>
      </c>
      <c r="B8" s="0" t="s">
        <v>1090</v>
      </c>
    </row>
    <row collapsed="false" customFormat="false" customHeight="false" hidden="false" ht="12.8" outlineLevel="0" r="9">
      <c r="A9" s="0" t="s">
        <v>1091</v>
      </c>
      <c r="B9" s="0" t="s">
        <v>1091</v>
      </c>
    </row>
    <row collapsed="false" customFormat="false" customHeight="false" hidden="false" ht="12.8" outlineLevel="0" r="10">
      <c r="A10" s="0" t="s">
        <v>1092</v>
      </c>
      <c r="B10" s="0" t="s">
        <v>1093</v>
      </c>
    </row>
    <row collapsed="false" customFormat="false" customHeight="false" hidden="false" ht="12.8" outlineLevel="0" r="11">
      <c r="A11" s="0" t="s">
        <v>1094</v>
      </c>
      <c r="B11" s="0" t="s">
        <v>1095</v>
      </c>
    </row>
    <row collapsed="false" customFormat="false" customHeight="false" hidden="false" ht="12.8" outlineLevel="0" r="12">
      <c r="A12" s="0" t="s">
        <v>1096</v>
      </c>
      <c r="B12" s="0" t="s">
        <v>1097</v>
      </c>
    </row>
    <row collapsed="false" customFormat="false" customHeight="false" hidden="false" ht="12.8" outlineLevel="0" r="13">
      <c r="A13" s="0" t="s">
        <v>1098</v>
      </c>
      <c r="B13" s="0" t="s">
        <v>1099</v>
      </c>
    </row>
    <row collapsed="false" customFormat="false" customHeight="false" hidden="false" ht="12.8" outlineLevel="0" r="14">
      <c r="A14" s="0" t="s">
        <v>616</v>
      </c>
      <c r="B14" s="0" t="s">
        <v>1100</v>
      </c>
    </row>
    <row collapsed="false" customFormat="false" customHeight="false" hidden="false" ht="12.8" outlineLevel="0" r="15">
      <c r="A15" s="0" t="s">
        <v>1101</v>
      </c>
      <c r="B15" s="0" t="s">
        <v>1102</v>
      </c>
    </row>
    <row collapsed="false" customFormat="false" customHeight="false" hidden="false" ht="12.8" outlineLevel="0" r="16">
      <c r="A16" s="0" t="s">
        <v>1103</v>
      </c>
      <c r="B16" s="0" t="s">
        <v>1104</v>
      </c>
    </row>
    <row collapsed="false" customFormat="false" customHeight="false" hidden="false" ht="12.8" outlineLevel="0" r="17">
      <c r="A17" s="0" t="s">
        <v>1105</v>
      </c>
      <c r="B17" s="0" t="s">
        <v>1106</v>
      </c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C1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30.8588235294118"/>
    <col collapsed="false" hidden="false" max="2" min="2" style="0" width="41.0627450980392"/>
    <col collapsed="false" hidden="false" max="3" min="3" style="0" width="40.9176470588235"/>
    <col collapsed="false" hidden="false" max="1025" min="4" style="0" width="8.71764705882353"/>
  </cols>
  <sheetData>
    <row collapsed="false" customFormat="true" customHeight="false" hidden="false" ht="12.8" outlineLevel="0" r="1" s="51">
      <c r="A1" s="52" t="s">
        <v>1107</v>
      </c>
      <c r="B1" s="52" t="s">
        <v>1059</v>
      </c>
      <c r="C1" s="52" t="s">
        <v>704</v>
      </c>
    </row>
    <row collapsed="false" customFormat="false" customHeight="false" hidden="false" ht="12.8" outlineLevel="0" r="2">
      <c r="A2" s="0" t="s">
        <v>1108</v>
      </c>
      <c r="B2" s="0" t="s">
        <v>1109</v>
      </c>
    </row>
    <row collapsed="false" customFormat="false" customHeight="false" hidden="false" ht="12.8" outlineLevel="0" r="3">
      <c r="A3" s="0" t="s">
        <v>1110</v>
      </c>
      <c r="B3" s="0" t="s">
        <v>1111</v>
      </c>
    </row>
    <row collapsed="false" customFormat="false" customHeight="false" hidden="false" ht="12.8" outlineLevel="0" r="4">
      <c r="A4" s="0" t="s">
        <v>1112</v>
      </c>
      <c r="B4" s="0" t="s">
        <v>1113</v>
      </c>
    </row>
    <row collapsed="false" customFormat="false" customHeight="false" hidden="false" ht="12.8" outlineLevel="0" r="5">
      <c r="A5" s="0" t="s">
        <v>1114</v>
      </c>
      <c r="B5" s="0" t="s">
        <v>1115</v>
      </c>
    </row>
    <row collapsed="false" customFormat="false" customHeight="false" hidden="false" ht="12.8" outlineLevel="0" r="6">
      <c r="A6" s="0" t="s">
        <v>154</v>
      </c>
      <c r="B6" s="0" t="s">
        <v>1116</v>
      </c>
    </row>
    <row collapsed="false" customFormat="false" customHeight="false" hidden="false" ht="12.8" outlineLevel="0" r="7">
      <c r="A7" s="0" t="s">
        <v>1117</v>
      </c>
      <c r="B7" s="0" t="s">
        <v>1118</v>
      </c>
    </row>
    <row collapsed="false" customFormat="false" customHeight="false" hidden="false" ht="12.8" outlineLevel="0" r="8">
      <c r="A8" s="0" t="s">
        <v>271</v>
      </c>
      <c r="B8" s="0" t="s">
        <v>1119</v>
      </c>
    </row>
    <row collapsed="false" customFormat="false" customHeight="false" hidden="false" ht="12.8" outlineLevel="0" r="9">
      <c r="A9" s="0" t="s">
        <v>1120</v>
      </c>
      <c r="B9" s="0" t="s">
        <v>1121</v>
      </c>
      <c r="C9" s="0" t="s">
        <v>1122</v>
      </c>
    </row>
    <row collapsed="false" customFormat="false" customHeight="false" hidden="false" ht="12.8" outlineLevel="0" r="10">
      <c r="A10" s="0" t="s">
        <v>1123</v>
      </c>
      <c r="B10" s="0" t="s">
        <v>1124</v>
      </c>
      <c r="C10" s="0" t="s">
        <v>1122</v>
      </c>
    </row>
    <row collapsed="false" customFormat="false" customHeight="false" hidden="false" ht="12.8" outlineLevel="0" r="11">
      <c r="A11" s="0" t="s">
        <v>1125</v>
      </c>
      <c r="B11" s="0" t="s">
        <v>1126</v>
      </c>
      <c r="C11" s="0" t="s">
        <v>1122</v>
      </c>
    </row>
    <row collapsed="false" customFormat="false" customHeight="false" hidden="false" ht="12.8" outlineLevel="0" r="12">
      <c r="A12" s="0" t="s">
        <v>1127</v>
      </c>
      <c r="B12" s="0" t="s">
        <v>1128</v>
      </c>
      <c r="C12" s="0" t="s">
        <v>1122</v>
      </c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C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3" activeCellId="0" pane="topLeft" sqref="A3"/>
      <selection activeCell="A1" activeCellId="0" pane="bottomLeft" sqref="A1"/>
    </sheetView>
  </sheetViews>
  <cols>
    <col collapsed="false" hidden="false" max="1" min="1" style="0" width="30.8588235294118"/>
    <col collapsed="false" hidden="false" max="2" min="2" style="0" width="41.0627450980392"/>
    <col collapsed="false" hidden="false" max="3" min="3" style="0" width="40.9176470588235"/>
    <col collapsed="false" hidden="false" max="1025" min="4" style="0" width="8.71764705882353"/>
  </cols>
  <sheetData>
    <row collapsed="false" customFormat="true" customHeight="false" hidden="false" ht="12.8" outlineLevel="0" r="1" s="51">
      <c r="A1" s="52" t="s">
        <v>1129</v>
      </c>
      <c r="B1" s="52" t="s">
        <v>1059</v>
      </c>
      <c r="C1" s="52" t="s">
        <v>704</v>
      </c>
    </row>
    <row collapsed="false" customFormat="false" customHeight="false" hidden="false" ht="12.8" outlineLevel="0" r="2">
      <c r="A2" s="0" t="s">
        <v>1130</v>
      </c>
      <c r="B2" s="0" t="s">
        <v>1131</v>
      </c>
    </row>
    <row collapsed="false" customFormat="false" customHeight="false" hidden="false" ht="12.8" outlineLevel="0" r="3">
      <c r="A3" s="0" t="s">
        <v>238</v>
      </c>
      <c r="B3" s="0" t="s">
        <v>1132</v>
      </c>
    </row>
    <row collapsed="false" customFormat="false" customHeight="false" hidden="false" ht="12.8" outlineLevel="0" r="4">
      <c r="A4" s="0" t="s">
        <v>173</v>
      </c>
      <c r="B4" s="0" t="s">
        <v>1133</v>
      </c>
    </row>
    <row collapsed="false" customFormat="false" customHeight="false" hidden="false" ht="12.8" outlineLevel="0" r="5">
      <c r="A5" s="0" t="s">
        <v>155</v>
      </c>
      <c r="B5" s="0" t="s">
        <v>1134</v>
      </c>
    </row>
    <row collapsed="false" customFormat="false" customHeight="false" hidden="false" ht="12.8" outlineLevel="0" r="6">
      <c r="A6" s="0" t="s">
        <v>1135</v>
      </c>
      <c r="B6" s="0" t="s">
        <v>1136</v>
      </c>
    </row>
    <row collapsed="false" customFormat="false" customHeight="false" hidden="false" ht="12.8" outlineLevel="0" r="7">
      <c r="A7" s="0" t="s">
        <v>1137</v>
      </c>
      <c r="B7" s="0" t="s">
        <v>1138</v>
      </c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30.8588235294118"/>
    <col collapsed="false" hidden="false" max="2" min="2" style="0" width="41.0627450980392"/>
    <col collapsed="false" hidden="false" max="3" min="3" style="0" width="40.9176470588235"/>
    <col collapsed="false" hidden="false" max="1025" min="4" style="0" width="8.71764705882353"/>
  </cols>
  <sheetData>
    <row collapsed="false" customFormat="true" customHeight="false" hidden="false" ht="12.8" outlineLevel="0" r="1" s="51">
      <c r="A1" s="52" t="s">
        <v>1139</v>
      </c>
      <c r="B1" s="52" t="s">
        <v>1059</v>
      </c>
      <c r="C1" s="52" t="s">
        <v>704</v>
      </c>
      <c r="D1" s="53"/>
    </row>
    <row collapsed="false" customFormat="false" customHeight="false" hidden="false" ht="12.8" outlineLevel="0" r="2">
      <c r="A2" s="54" t="s">
        <v>174</v>
      </c>
      <c r="B2" s="54" t="s">
        <v>1140</v>
      </c>
      <c r="C2" s="54"/>
      <c r="D2" s="54"/>
    </row>
    <row collapsed="false" customFormat="false" customHeight="false" hidden="false" ht="12.8" outlineLevel="0" r="3">
      <c r="A3" s="54" t="s">
        <v>157</v>
      </c>
      <c r="B3" s="54" t="s">
        <v>1141</v>
      </c>
      <c r="C3" s="54"/>
      <c r="D3" s="54"/>
    </row>
    <row collapsed="false" customFormat="false" customHeight="false" hidden="false" ht="12.8" outlineLevel="0" r="4">
      <c r="A4" s="54" t="s">
        <v>212</v>
      </c>
      <c r="B4" s="54" t="s">
        <v>1142</v>
      </c>
      <c r="C4" s="54"/>
      <c r="D4" s="54"/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D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30.8588235294118"/>
    <col collapsed="false" hidden="false" max="2" min="2" style="0" width="41.0627450980392"/>
    <col collapsed="false" hidden="false" max="3" min="3" style="0" width="46.6509803921569"/>
    <col collapsed="false" hidden="false" max="4" min="4" style="0" width="14.4980392156863"/>
    <col collapsed="false" hidden="false" max="1025" min="5" style="0" width="8.71764705882353"/>
  </cols>
  <sheetData>
    <row collapsed="false" customFormat="true" customHeight="false" hidden="false" ht="12.8" outlineLevel="0" r="1" s="51">
      <c r="A1" s="55" t="s">
        <v>1143</v>
      </c>
      <c r="B1" s="52" t="s">
        <v>1059</v>
      </c>
      <c r="C1" s="52" t="s">
        <v>704</v>
      </c>
      <c r="D1" s="52" t="s">
        <v>1144</v>
      </c>
    </row>
    <row collapsed="false" customFormat="false" customHeight="false" hidden="false" ht="12.8" outlineLevel="0" r="2">
      <c r="A2" s="56" t="n">
        <v>1</v>
      </c>
      <c r="B2" s="54" t="s">
        <v>1145</v>
      </c>
      <c r="C2" s="54" t="s">
        <v>1146</v>
      </c>
      <c r="D2" s="0" t="s">
        <v>1147</v>
      </c>
    </row>
    <row collapsed="false" customFormat="false" customHeight="false" hidden="false" ht="12.8" outlineLevel="0" r="3">
      <c r="A3" s="56" t="n">
        <v>3</v>
      </c>
      <c r="B3" s="54" t="s">
        <v>1148</v>
      </c>
      <c r="C3" s="54" t="s">
        <v>1149</v>
      </c>
      <c r="D3" s="0" t="s">
        <v>1147</v>
      </c>
    </row>
    <row collapsed="false" customFormat="false" customHeight="false" hidden="false" ht="12.8" outlineLevel="0" r="4">
      <c r="A4" s="56" t="n">
        <v>5</v>
      </c>
      <c r="B4" s="54" t="s">
        <v>1150</v>
      </c>
      <c r="C4" s="54" t="s">
        <v>1151</v>
      </c>
      <c r="D4" s="0" t="s">
        <v>1152</v>
      </c>
    </row>
    <row collapsed="false" customFormat="false" customHeight="false" hidden="false" ht="12.8" outlineLevel="0" r="5">
      <c r="A5" s="56" t="n">
        <v>6</v>
      </c>
      <c r="B5" s="54" t="s">
        <v>1153</v>
      </c>
      <c r="C5" s="54" t="s">
        <v>1154</v>
      </c>
      <c r="D5" s="0" t="s">
        <v>1147</v>
      </c>
    </row>
    <row collapsed="false" customFormat="false" customHeight="false" hidden="false" ht="12.8" outlineLevel="0" r="6">
      <c r="A6" s="56" t="n">
        <v>7</v>
      </c>
      <c r="B6" s="54" t="s">
        <v>1155</v>
      </c>
      <c r="C6" s="54" t="s">
        <v>1156</v>
      </c>
      <c r="D6" s="0" t="s">
        <v>1157</v>
      </c>
    </row>
    <row collapsed="false" customFormat="false" customHeight="false" hidden="false" ht="12.8" outlineLevel="0" r="7">
      <c r="A7" s="56" t="n">
        <v>8</v>
      </c>
      <c r="B7" s="54" t="s">
        <v>1158</v>
      </c>
      <c r="C7" s="54" t="s">
        <v>1159</v>
      </c>
      <c r="D7" s="0" t="s">
        <v>1147</v>
      </c>
    </row>
    <row collapsed="false" customFormat="false" customHeight="false" hidden="false" ht="12.8" outlineLevel="0" r="8">
      <c r="A8" s="56" t="n">
        <v>9</v>
      </c>
      <c r="B8" s="54" t="s">
        <v>1160</v>
      </c>
      <c r="C8" s="54" t="s">
        <v>1161</v>
      </c>
      <c r="D8" s="0" t="s">
        <v>1157</v>
      </c>
    </row>
    <row collapsed="false" customFormat="false" customHeight="false" hidden="false" ht="12.8" outlineLevel="0" r="9">
      <c r="A9" s="56" t="n">
        <v>0</v>
      </c>
      <c r="B9" s="54" t="s">
        <v>1162</v>
      </c>
      <c r="C9" s="54" t="s">
        <v>1163</v>
      </c>
      <c r="D9" s="0" t="s">
        <v>1157</v>
      </c>
    </row>
  </sheetData>
  <printOptions headings="false" gridLines="false" gridLinesSet="true" horizontalCentered="false" verticalCentered="false"/>
  <pageMargins left="0.75" right="0.75" top="1" bottom="1" header="0.5" footer="0.5"/>
  <pageSetup blackAndWhite="false" cellComments="none" copies="1" draft="false" firstPageNumber="0" fitToHeight="0" fitToWidth="1" horizontalDpi="300" orientation="portrait" pageOrder="downThenOver" paperSize="1" scale="100" useFirstPageNumber="false" usePrinterDefaults="false" verticalDpi="300"/>
  <headerFooter differentFirst="false" differentOddEven="false">
    <oddHeader>&amp;RFunding Field Definitions - &amp;A</oddHeader>
    <oddFooter>&amp;L&amp;"Arial,Bold"Credit Suisse Confidential&amp;RPage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31.4392156862745"/>
    <col collapsed="false" hidden="false" max="2" min="2" style="0" width="18.0901960784314"/>
    <col collapsed="false" hidden="false" max="1025" min="3" style="0" width="8.71764705882353"/>
  </cols>
  <sheetData>
    <row collapsed="false" customFormat="false" customHeight="false" hidden="false" ht="12.8" outlineLevel="0" r="1">
      <c r="A1" s="52" t="s">
        <v>1164</v>
      </c>
      <c r="B1" s="52" t="s">
        <v>1165</v>
      </c>
      <c r="C1" s="54"/>
    </row>
    <row collapsed="false" customFormat="false" customHeight="false" hidden="false" ht="12.8" outlineLevel="0" r="2">
      <c r="A2" s="54" t="s">
        <v>1166</v>
      </c>
      <c r="B2" s="54" t="s">
        <v>1167</v>
      </c>
      <c r="C2" s="54"/>
    </row>
    <row collapsed="false" customFormat="false" customHeight="false" hidden="false" ht="12.8" outlineLevel="0" r="3">
      <c r="A3" s="54" t="s">
        <v>1168</v>
      </c>
      <c r="B3" s="54" t="s">
        <v>1169</v>
      </c>
      <c r="C3" s="54"/>
    </row>
    <row collapsed="false" customFormat="false" customHeight="false" hidden="false" ht="12.8" outlineLevel="0" r="4">
      <c r="A4" s="54" t="s">
        <v>1170</v>
      </c>
      <c r="B4" s="54" t="s">
        <v>1171</v>
      </c>
      <c r="C4" s="54"/>
    </row>
    <row collapsed="false" customFormat="false" customHeight="false" hidden="false" ht="12.8" outlineLevel="0" r="5">
      <c r="A5" s="54" t="s">
        <v>1172</v>
      </c>
      <c r="B5" s="54" t="s">
        <v>1172</v>
      </c>
      <c r="C5" s="54"/>
    </row>
    <row collapsed="false" customFormat="false" customHeight="false" hidden="false" ht="12.8" outlineLevel="0" r="6">
      <c r="A6" s="54" t="s">
        <v>1173</v>
      </c>
      <c r="B6" s="54" t="s">
        <v>1173</v>
      </c>
      <c r="C6" s="54"/>
    </row>
    <row collapsed="false" customFormat="false" customHeight="false" hidden="false" ht="12.8" outlineLevel="0" r="7">
      <c r="A7" s="54" t="s">
        <v>1174</v>
      </c>
      <c r="B7" s="54" t="s">
        <v>1175</v>
      </c>
      <c r="C7" s="54"/>
    </row>
    <row collapsed="false" customFormat="false" customHeight="false" hidden="false" ht="12.8" outlineLevel="0" r="8">
      <c r="A8" s="54" t="s">
        <v>1176</v>
      </c>
      <c r="B8" s="54" t="s">
        <v>1177</v>
      </c>
      <c r="C8" s="54"/>
    </row>
    <row collapsed="false" customFormat="false" customHeight="false" hidden="false" ht="12.8" outlineLevel="0" r="9">
      <c r="A9" s="54" t="s">
        <v>1178</v>
      </c>
      <c r="B9" s="54" t="s">
        <v>1179</v>
      </c>
      <c r="C9" s="54"/>
    </row>
    <row collapsed="false" customFormat="false" customHeight="false" hidden="false" ht="12.8" outlineLevel="0" r="10">
      <c r="A10" s="32" t="s">
        <v>1180</v>
      </c>
      <c r="B10" s="32" t="s">
        <v>1181</v>
      </c>
      <c r="C10" s="5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B9" activeCellId="0" pane="topLeft" sqref="B9"/>
      <selection activeCell="A1" activeCellId="0" pane="bottomLeft" sqref="A1"/>
    </sheetView>
  </sheetViews>
  <cols>
    <col collapsed="false" hidden="false" max="1" min="1" style="0" width="46.0901960784314"/>
    <col collapsed="false" hidden="false" max="2" min="2" style="0" width="16.3686274509804"/>
    <col collapsed="false" hidden="false" max="1025" min="3" style="0" width="8.71764705882353"/>
  </cols>
  <sheetData>
    <row collapsed="false" customFormat="true" customHeight="false" hidden="false" ht="12.8" outlineLevel="0" r="1" s="32">
      <c r="A1" s="57" t="s">
        <v>1182</v>
      </c>
      <c r="B1" s="58" t="s">
        <v>1183</v>
      </c>
    </row>
    <row collapsed="false" customFormat="false" customHeight="false" hidden="false" ht="12.8" outlineLevel="0" r="2">
      <c r="A2" s="59" t="s">
        <v>1184</v>
      </c>
      <c r="B2" s="60" t="s">
        <v>195</v>
      </c>
      <c r="D2" s="54"/>
    </row>
    <row collapsed="false" customFormat="false" customHeight="false" hidden="false" ht="12.8" outlineLevel="0" r="3">
      <c r="A3" s="61" t="s">
        <v>1185</v>
      </c>
      <c r="B3" s="62" t="s">
        <v>1186</v>
      </c>
      <c r="C3" s="63"/>
      <c r="D3" s="54"/>
    </row>
    <row collapsed="false" customFormat="false" customHeight="false" hidden="false" ht="12.8" outlineLevel="0" r="4">
      <c r="A4" s="61" t="s">
        <v>1187</v>
      </c>
      <c r="B4" s="62" t="s">
        <v>1188</v>
      </c>
      <c r="C4" s="63"/>
      <c r="D4" s="54"/>
    </row>
    <row collapsed="false" customFormat="false" customHeight="false" hidden="false" ht="12.8" outlineLevel="0" r="5">
      <c r="A5" s="61" t="s">
        <v>1189</v>
      </c>
      <c r="B5" s="62" t="s">
        <v>1190</v>
      </c>
      <c r="C5" s="63"/>
      <c r="D5" s="54"/>
    </row>
    <row collapsed="false" customFormat="false" customHeight="false" hidden="false" ht="12.8" outlineLevel="0" r="6">
      <c r="A6" s="61" t="s">
        <v>1191</v>
      </c>
      <c r="B6" s="62" t="s">
        <v>1192</v>
      </c>
      <c r="C6" s="63"/>
      <c r="D6" s="54"/>
    </row>
    <row collapsed="false" customFormat="false" customHeight="false" hidden="false" ht="12.8" outlineLevel="0" r="7">
      <c r="A7" s="62" t="s">
        <v>1193</v>
      </c>
      <c r="B7" s="62" t="s">
        <v>236</v>
      </c>
      <c r="C7" s="63"/>
      <c r="D7" s="54"/>
    </row>
    <row collapsed="false" customFormat="false" customHeight="false" hidden="false" ht="12.8" outlineLevel="0" r="8">
      <c r="A8" s="61" t="s">
        <v>1194</v>
      </c>
      <c r="B8" s="64" t="s">
        <v>1195</v>
      </c>
      <c r="C8" s="63"/>
      <c r="D8" s="54"/>
    </row>
    <row collapsed="false" customFormat="false" customHeight="false" hidden="false" ht="12.8" outlineLevel="0" r="9">
      <c r="A9" s="61" t="s">
        <v>1196</v>
      </c>
      <c r="B9" s="62" t="s">
        <v>364</v>
      </c>
      <c r="C9" s="63"/>
      <c r="D9" s="54"/>
    </row>
    <row collapsed="false" customFormat="false" customHeight="false" hidden="false" ht="12.8" outlineLevel="0" r="10">
      <c r="A10" s="65" t="s">
        <v>1197</v>
      </c>
      <c r="B10" s="65" t="s">
        <v>152</v>
      </c>
      <c r="C10" s="63"/>
      <c r="D10" s="54"/>
    </row>
    <row collapsed="false" customFormat="false" customHeight="false" hidden="false" ht="12.8" outlineLevel="0" r="11">
      <c r="A11" s="61" t="s">
        <v>1198</v>
      </c>
      <c r="B11" s="62" t="s">
        <v>1199</v>
      </c>
      <c r="C11" s="63"/>
      <c r="D11" s="54"/>
    </row>
    <row collapsed="false" customFormat="false" customHeight="false" hidden="false" ht="12.8" outlineLevel="0" r="12">
      <c r="A12" s="61" t="s">
        <v>1200</v>
      </c>
      <c r="B12" s="62" t="s">
        <v>1201</v>
      </c>
      <c r="C12" s="63"/>
      <c r="D12" s="54"/>
    </row>
    <row collapsed="false" customFormat="false" customHeight="false" hidden="false" ht="12.8" outlineLevel="0" r="13">
      <c r="A13" s="61" t="s">
        <v>1202</v>
      </c>
      <c r="B13" s="62" t="s">
        <v>152</v>
      </c>
      <c r="C13" s="63"/>
      <c r="D13" s="5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" min="1" style="0" width="14.3529411764706"/>
    <col collapsed="false" hidden="false" max="2" min="2" style="0" width="18.3764705882353"/>
    <col collapsed="false" hidden="false" max="1025" min="3" style="0" width="8.71764705882353"/>
  </cols>
  <sheetData>
    <row collapsed="false" customFormat="false" customHeight="false" hidden="false" ht="12.8" outlineLevel="0" r="1">
      <c r="A1" s="52" t="s">
        <v>1203</v>
      </c>
      <c r="B1" s="52" t="s">
        <v>1204</v>
      </c>
      <c r="C1" s="54"/>
    </row>
    <row collapsed="false" customFormat="false" customHeight="false" hidden="false" ht="12.8" outlineLevel="0" r="2">
      <c r="A2" s="54" t="s">
        <v>1205</v>
      </c>
      <c r="B2" s="54" t="n">
        <v>100</v>
      </c>
      <c r="C2" s="54"/>
    </row>
    <row collapsed="false" customFormat="false" customHeight="false" hidden="false" ht="12.8" outlineLevel="0" r="3">
      <c r="A3" s="54" t="s">
        <v>1206</v>
      </c>
      <c r="B3" s="54" t="n">
        <v>100</v>
      </c>
      <c r="C3" s="54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pane activePane="topLeft" topLeftCell="A1" xSplit="0" ySplit="-1"/>
      <selection activeCell="A1" activeCellId="0" pane="topLeft" sqref="A1"/>
      <selection activeCell="A1" activeCellId="0" pane="bottomLeft" sqref="A1"/>
    </sheetView>
  </sheetViews>
  <cols>
    <col collapsed="false" hidden="false" max="1025" min="1" style="0" width="8.717647058823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