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activeTab="1" firstSheet="0" showHorizontalScroll="true" showSheetTabs="true" showVerticalScroll="true" tabRatio="580" windowHeight="8192" windowWidth="16384" xWindow="0" yWindow="0"/>
  </bookViews>
  <sheets>
    <sheet name="bid input" sheetId="1" state="visible" r:id="rId2"/>
    <sheet name="assets available for bid" sheetId="2" state="visible" r:id="rId3"/>
  </sheets>
  <definedNames>
    <definedName function="false" hidden="true" localSheetId="0" name="_xlnm._FilterDatabase" vbProcedure="false">'bid input'!$A$1:$N$21</definedName>
    <definedName function="false" hidden="false" name="_xlnm._FilterDatabase" vbProcedure="false">'bid input'!$A$1:$N$21</definedName>
  </definedNames>
  <calcPr iterateCount="100" refMode="A1" iterate="false" iterateDelta="0.0001"/>
</workbook>
</file>

<file path=xl/comments2.xml><?xml version="1.0" encoding="utf-8"?>
<comments xmlns="http://schemas.openxmlformats.org/spreadsheetml/2006/main" xmlns:xdr="http://schemas.openxmlformats.org/drawingml/2006/spreadsheetDrawing">
  <authors>
    <author/>
  </authors>
  <commentList>
    <comment authorId="0" ref="E11">
      <text>
        <r>
          <rPr>
            <rFont val="Tahoma"/>
            <charset val="1"/>
            <family val="2"/>
            <b val="true"/>
            <color rgb="00000000"/>
            <sz val="8"/>
          </rPr>
          <t xml:space="preserve">duHadway:
</t>
        </r>
        <r>
          <rPr>
            <rFont val="Tahoma"/>
            <charset val="1"/>
            <family val="2"/>
            <color rgb="00000000"/>
            <sz val="8"/>
          </rPr>
          <t xml:space="preserve">Specified to MO</t>
        </r>
      </text>
    </comment>
    <comment authorId="0" ref="E24">
      <text>
        <r>
          <rPr>
            <rFont val="Tahoma"/>
            <charset val="1"/>
            <family val="2"/>
            <b val="true"/>
            <color rgb="00000000"/>
            <sz val="8"/>
          </rPr>
          <t xml:space="preserve">duHadway:
</t>
        </r>
        <r>
          <rPr>
            <rFont val="Tahoma"/>
            <charset val="1"/>
            <family val="2"/>
            <color rgb="00000000"/>
            <sz val="8"/>
          </rPr>
          <t xml:space="preserve">Specified to MO</t>
        </r>
      </text>
    </comment>
    <comment authorId="0" ref="D33">
      <text>
        <r>
          <rPr>
            <rFont val="Tahoma"/>
            <charset val="1"/>
            <family val="2"/>
            <b val="true"/>
            <color rgb="00000000"/>
            <sz val="8"/>
          </rPr>
          <t xml:space="preserve">duHadway:
</t>
        </r>
        <r>
          <rPr>
            <rFont val="Tahoma"/>
            <charset val="1"/>
            <family val="2"/>
            <color rgb="00000000"/>
            <sz val="8"/>
          </rPr>
          <t xml:space="preserve">Not automated to kill bids based upon rates if over subscribed</t>
        </r>
      </text>
    </comment>
    <comment authorId="0" ref="D62">
      <text>
        <r>
          <rPr>
            <rFont val="Tahoma"/>
            <charset val="1"/>
            <family val="2"/>
            <b val="true"/>
            <color rgb="00000000"/>
            <sz val="8"/>
          </rPr>
          <t xml:space="preserve">duHadway:
</t>
        </r>
        <r>
          <rPr>
            <rFont val="Tahoma"/>
            <charset val="1"/>
            <family val="2"/>
            <color rgb="00000000"/>
            <sz val="8"/>
          </rPr>
          <t xml:space="preserve">Not automated to kill bids if oversubscribed</t>
        </r>
      </text>
    </comment>
    <comment authorId="0" ref="N171">
      <text>
        <r>
          <rPr>
            <rFont val="Calibri"/>
            <charset val="1"/>
            <family val="2"/>
            <color rgb="00000000"/>
            <sz val="11"/>
          </rPr>
          <t xml:space="preserve">This is the previus formula of M171</t>
        </r>
      </text>
    </comment>
  </commentList>
</comments>
</file>

<file path=xl/sharedStrings.xml><?xml version="1.0" encoding="utf-8"?>
<sst xmlns="http://schemas.openxmlformats.org/spreadsheetml/2006/main" count="174" uniqueCount="77">
  <si>
    <t>time</t>
  </si>
  <si>
    <t>bidID</t>
  </si>
  <si>
    <t>Bid Type</t>
  </si>
  <si>
    <t>if general: Aggregate $</t>
  </si>
  <si>
    <t>if general, max % per asset</t>
  </si>
  <si>
    <t>if specified, bid %</t>
  </si>
  <si>
    <t>if specified, loan or MO</t>
  </si>
  <si>
    <t>Loan # if applicable</t>
  </si>
  <si>
    <t>MO if applicable</t>
  </si>
  <si>
    <t>order type</t>
  </si>
  <si>
    <t>if competitive, bid rate</t>
  </si>
  <si>
    <t>order timing</t>
  </si>
  <si>
    <t>Funds available</t>
  </si>
  <si>
    <t>If auto, date/time order placed</t>
  </si>
  <si>
    <t>Specified &amp; Competitive</t>
  </si>
  <si>
    <t>Specified &amp; Noncompetitive</t>
  </si>
  <si>
    <t>General &amp; Competitive</t>
  </si>
  <si>
    <t>General &amp; Noncompetitive</t>
  </si>
  <si>
    <t>General</t>
  </si>
  <si>
    <t>Noncompetitive</t>
  </si>
  <si>
    <t>Auto</t>
  </si>
  <si>
    <t>Specified</t>
  </si>
  <si>
    <t>MO</t>
  </si>
  <si>
    <t>ABC Mortgage</t>
  </si>
  <si>
    <t>Competitive</t>
  </si>
  <si>
    <t>Prime Lending</t>
  </si>
  <si>
    <t>Loan</t>
  </si>
  <si>
    <t>Day Trade</t>
  </si>
  <si>
    <t>Best Loans Inc</t>
  </si>
  <si>
    <t>Allocation process:</t>
  </si>
  <si>
    <t>Loan Number</t>
  </si>
  <si>
    <t>Batch Total</t>
  </si>
  <si>
    <t>Integrity Lending</t>
  </si>
  <si>
    <t>Loan Amount</t>
  </si>
  <si>
    <t>Step 2 of process - Assets are assigned Specified/Competitive bids:</t>
  </si>
  <si>
    <t>Bid ID</t>
  </si>
  <si>
    <t>Loan #</t>
  </si>
  <si>
    <t>Specific &amp; Competitive?</t>
  </si>
  <si>
    <t>Rate</t>
  </si>
  <si>
    <t>Total Specified/Competitive</t>
  </si>
  <si>
    <t>WA Rate</t>
  </si>
  <si>
    <t>Remaining need</t>
  </si>
  <si>
    <t>Over(under)subscribed</t>
  </si>
  <si>
    <t>Step 3 of process - Assets are assigned Specified/Non Competitive bids:</t>
  </si>
  <si>
    <t>Specific &amp; NonCompetitive?</t>
  </si>
  <si>
    <t>Rate &gt;&gt;</t>
  </si>
  <si>
    <t>Total Specified/Noncompetitive</t>
  </si>
  <si>
    <t>Step 4 of process - Market rate is determined:</t>
  </si>
  <si>
    <t>Cummulative</t>
  </si>
  <si>
    <t>Subscription %</t>
  </si>
  <si>
    <t>Step 5 of process - General/Competitive bids are assigned to undersubscribed assets:</t>
  </si>
  <si>
    <t>General &amp; Competitive?</t>
  </si>
  <si>
    <t>Aggregate $</t>
  </si>
  <si>
    <t>rank</t>
  </si>
  <si>
    <t>Allocated &amp; accepted</t>
  </si>
  <si>
    <t>total</t>
  </si>
  <si>
    <t>Amount required to fund all under subscribed:</t>
  </si>
  <si>
    <t>If bids&gt;under subscribed amount, accept lowest rate first:</t>
  </si>
  <si>
    <t>Amount Awarded</t>
  </si>
  <si>
    <t>Rate Awarded</t>
  </si>
  <si>
    <t>Highest daily rate</t>
  </si>
  <si>
    <t>less: Daily market rate</t>
  </si>
  <si>
    <t>Market Rate differential</t>
  </si>
  <si>
    <t>Market Premium, if applicable</t>
  </si>
  <si>
    <t>Total General/Noncompetitive</t>
  </si>
  <si>
    <t>Step 6 of process - General/Noncompetitive bids are assigned to undersubscribed assets:</t>
  </si>
  <si>
    <t>General &amp; Noncompetitive?</t>
  </si>
  <si>
    <t>Amount</t>
  </si>
  <si>
    <t>Allocation</t>
  </si>
  <si>
    <t>Total available</t>
  </si>
  <si>
    <t>Need</t>
  </si>
  <si>
    <t>allocation %</t>
  </si>
  <si>
    <t>Summary of bid allocations:</t>
  </si>
  <si>
    <t>Total</t>
  </si>
  <si>
    <t>Rate to SSI</t>
  </si>
  <si>
    <t>LS Spread</t>
  </si>
  <si>
    <t>Rate to MO</t>
  </si>
</sst>
</file>

<file path=xl/styles.xml><?xml version="1.0" encoding="utf-8"?>
<styleSheet xmlns="http://schemas.openxmlformats.org/spreadsheetml/2006/main">
  <numFmts count="11">
    <numFmt formatCode="GENERAL" numFmtId="164"/>
    <numFmt formatCode="H:MM:SS\ AM/PM;@" numFmtId="165"/>
    <numFmt formatCode="_(\$* #,##0.00_);_(\$* \(#,##0.00\);_(\$* \-??_);_(@_)" numFmtId="166"/>
    <numFmt formatCode="0%" numFmtId="167"/>
    <numFmt formatCode="0.000%" numFmtId="168"/>
    <numFmt formatCode="M/D/YY\ H:MM\ AM/PM;@" numFmtId="169"/>
    <numFmt formatCode="GENERAL" numFmtId="170"/>
    <numFmt formatCode="_(* #,##0.00_);_(* \(#,##0.00\);_(* \-??_);_(@_)" numFmtId="171"/>
    <numFmt formatCode="_(* #,##0_);_(* \(#,##0\);_(* \-??_);_(@_)" numFmtId="172"/>
    <numFmt formatCode="0.00%" numFmtId="173"/>
    <numFmt formatCode="0.0%" numFmtId="174"/>
  </numFmts>
  <fonts count="12">
    <font>
      <name val="Calibri"/>
      <charset val="1"/>
      <family val="2"/>
      <color rgb="00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rgb="001F497D"/>
      <sz val="11"/>
    </font>
    <font>
      <name val="Calibri"/>
      <charset val="1"/>
      <family val="2"/>
      <color rgb="00000000"/>
      <sz val="11"/>
      <u val="single"/>
    </font>
    <font>
      <name val="Calibri"/>
      <charset val="1"/>
      <family val="2"/>
      <sz val="11"/>
    </font>
    <font>
      <name val="Tahoma"/>
      <charset val="1"/>
      <family val="2"/>
      <b val="true"/>
      <color rgb="00000000"/>
      <sz val="8"/>
    </font>
    <font>
      <name val="Tahoma"/>
      <charset val="1"/>
      <family val="2"/>
      <color rgb="00000000"/>
      <sz val="8"/>
    </font>
    <font>
      <name val="Calibri"/>
      <charset val="1"/>
      <family val="2"/>
      <color rgb="00FFFFFF"/>
      <sz val="11"/>
    </font>
    <font>
      <name val="Calibri"/>
      <charset val="1"/>
      <family val="2"/>
      <color rgb="00000000"/>
      <sz val="11"/>
      <u val="double"/>
    </font>
    <font>
      <name val="Calibri"/>
      <family val="2"/>
      <color rgb="00000000"/>
      <sz val="11"/>
    </font>
  </fonts>
  <fills count="3">
    <fill>
      <patternFill patternType="none"/>
    </fill>
    <fill>
      <patternFill patternType="gray125"/>
    </fill>
    <fill>
      <patternFill patternType="solid">
        <fgColor rgb="00DCE6F2"/>
        <bgColor rgb="00CCFFFF"/>
      </patternFill>
    </fill>
  </fills>
  <borders count="9">
    <border diagonalDown="false" diagonalUp="false">
      <left/>
      <right/>
      <top/>
      <bottom/>
      <diagonal/>
    </border>
    <border diagonalDown="false" diagonalUp="false">
      <left style="thin"/>
      <right/>
      <top style="thin"/>
      <bottom/>
      <diagonal/>
    </border>
    <border diagonalDown="false" diagonalUp="false">
      <left/>
      <right/>
      <top style="thin"/>
      <bottom/>
      <diagonal/>
    </border>
    <border diagonalDown="false" diagonalUp="false">
      <left/>
      <right style="thin"/>
      <top style="thin"/>
      <bottom/>
      <diagonal/>
    </border>
    <border diagonalDown="false" diagonalUp="false">
      <left style="thin"/>
      <right/>
      <top/>
      <bottom style="thin"/>
      <diagonal/>
    </border>
    <border diagonalDown="false" diagonalUp="false">
      <left/>
      <right/>
      <top/>
      <bottom style="thin"/>
      <diagonal/>
    </border>
    <border diagonalDown="false" diagonalUp="false">
      <left/>
      <right style="thin"/>
      <top/>
      <bottom style="thin"/>
      <diagonal/>
    </border>
    <border diagonalDown="false" diagonalUp="false">
      <left style="thin"/>
      <right/>
      <top/>
      <bottom/>
      <diagonal/>
    </border>
    <border diagonalDown="false" diagonalUp="false">
      <left/>
      <right style="thin"/>
      <top/>
      <bottom/>
      <diagonal/>
    </border>
  </borders>
  <cellStyleXfs count="20">
    <xf applyAlignment="true" applyBorder="true" applyFont="true" applyProtection="true" borderId="0" fillId="0" fontId="0" numFmtId="164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0"/>
    <xf applyAlignment="false" applyBorder="false" applyFont="true" applyProtection="false" borderId="0" fillId="0" fontId="1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true" applyBorder="true" applyFont="true" applyProtection="true" borderId="0" fillId="0" fontId="0" numFmtId="171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41"/>
    <xf applyAlignment="true" applyBorder="true" applyFont="true" applyProtection="true" borderId="0" fillId="0" fontId="0" numFmtId="166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42"/>
    <xf applyAlignment="true" applyBorder="true" applyFont="true" applyProtection="true" borderId="0" fillId="0" fontId="0" numFmtId="167">
      <alignment horizontal="general" indent="0" shrinkToFit="false" textRotation="0" vertical="bottom" wrapText="false"/>
      <protection hidden="false" locked="true"/>
    </xf>
  </cellStyleXfs>
  <cellXfs count="53">
    <xf applyAlignment="false" applyBorder="false" applyFont="false" applyProtection="false" borderId="0" fillId="0" fontId="0" numFmtId="164" xfId="0"/>
    <xf applyAlignment="true" applyBorder="false" applyFont="true" applyProtection="false" borderId="0" fillId="0" fontId="0" numFmtId="164" xfId="0">
      <alignment horizontal="general" indent="0" shrinkToFit="false" textRotation="0" vertical="bottom" wrapText="true"/>
    </xf>
    <xf applyAlignment="false" applyBorder="false" applyFont="false" applyProtection="false" borderId="0" fillId="0" fontId="0" numFmtId="165" xfId="0"/>
    <xf applyAlignment="false" applyBorder="false" applyFont="true" applyProtection="false" borderId="0" fillId="0" fontId="4" numFmtId="164" xfId="0"/>
    <xf applyAlignment="true" applyBorder="true" applyFont="true" applyProtection="true" borderId="0" fillId="0" fontId="4" numFmtId="166" xfId="17">
      <alignment horizontal="general" indent="0" shrinkToFit="false" textRotation="0" vertical="bottom" wrapText="false"/>
      <protection hidden="false" locked="true"/>
    </xf>
    <xf applyAlignment="true" applyBorder="true" applyFont="true" applyProtection="true" borderId="0" fillId="0" fontId="4" numFmtId="167" xfId="19">
      <alignment horizontal="general" indent="0" shrinkToFit="false" textRotation="0" vertical="bottom" wrapText="false"/>
      <protection hidden="false" locked="true"/>
    </xf>
    <xf applyAlignment="true" applyBorder="true" applyFont="true" applyProtection="true" borderId="0" fillId="0" fontId="4" numFmtId="168" xfId="19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4" numFmtId="169" xfId="0"/>
    <xf applyAlignment="false" applyBorder="false" applyFont="false" applyProtection="false" borderId="0" fillId="0" fontId="0" numFmtId="170" xfId="0"/>
    <xf applyAlignment="false" applyBorder="false" applyFont="true" applyProtection="false" borderId="0" fillId="0" fontId="4" numFmtId="166" xfId="0"/>
    <xf applyAlignment="false" applyBorder="false" applyFont="false" applyProtection="false" borderId="0" fillId="0" fontId="0" numFmtId="166" xfId="0"/>
    <xf applyAlignment="true" applyBorder="true" applyFont="true" applyProtection="false" borderId="0" fillId="0" fontId="5" numFmtId="164" xfId="0">
      <alignment horizontal="center" indent="0" shrinkToFit="false" textRotation="0" vertical="bottom" wrapText="false"/>
    </xf>
    <xf applyAlignment="true" applyBorder="true" applyFont="true" applyProtection="false" borderId="0" fillId="0" fontId="5" numFmtId="164" xfId="0">
      <alignment horizontal="center" indent="0" shrinkToFit="false" textRotation="0" vertical="bottom" wrapText="true"/>
    </xf>
    <xf applyAlignment="false" applyBorder="false" applyFont="true" applyProtection="false" borderId="0" fillId="0" fontId="6" numFmtId="164" xfId="0"/>
    <xf applyAlignment="true" applyBorder="false" applyFont="true" applyProtection="false" borderId="0" fillId="0" fontId="6" numFmtId="166" xfId="0">
      <alignment horizontal="center" indent="0" shrinkToFit="false" textRotation="0" vertical="bottom" wrapText="false"/>
    </xf>
    <xf applyAlignment="true" applyBorder="true" applyFont="true" applyProtection="true" borderId="0" fillId="0" fontId="0" numFmtId="168" xfId="19">
      <alignment horizontal="general" indent="0" shrinkToFit="false" textRotation="0" vertical="bottom" wrapText="false"/>
      <protection hidden="false" locked="true"/>
    </xf>
    <xf applyAlignment="false" applyBorder="true" applyFont="true" applyProtection="false" borderId="1" fillId="0" fontId="0" numFmtId="164" xfId="0"/>
    <xf applyAlignment="false" applyBorder="true" applyFont="false" applyProtection="false" borderId="2" fillId="0" fontId="0" numFmtId="164" xfId="0"/>
    <xf applyAlignment="false" applyBorder="true" applyFont="false" applyProtection="false" borderId="2" fillId="0" fontId="0" numFmtId="166" xfId="0"/>
    <xf applyAlignment="false" applyBorder="true" applyFont="false" applyProtection="false" borderId="3" fillId="0" fontId="0" numFmtId="166" xfId="0"/>
    <xf applyAlignment="false" applyBorder="true" applyFont="true" applyProtection="false" borderId="4" fillId="0" fontId="0" numFmtId="164" xfId="0"/>
    <xf applyAlignment="false" applyBorder="true" applyFont="false" applyProtection="false" borderId="5" fillId="0" fontId="0" numFmtId="164" xfId="0"/>
    <xf applyAlignment="true" applyBorder="true" applyFont="true" applyProtection="true" borderId="5" fillId="0" fontId="0" numFmtId="168" xfId="19">
      <alignment horizontal="general" indent="0" shrinkToFit="false" textRotation="0" vertical="bottom" wrapText="false"/>
      <protection hidden="false" locked="true"/>
    </xf>
    <xf applyAlignment="true" applyBorder="true" applyFont="true" applyProtection="true" borderId="6" fillId="0" fontId="0" numFmtId="168" xfId="19">
      <alignment horizontal="general" indent="0" shrinkToFit="false" textRotation="0" vertical="bottom" wrapText="false"/>
      <protection hidden="false" locked="true"/>
    </xf>
    <xf applyAlignment="true" applyBorder="false" applyFont="false" applyProtection="false" borderId="0" fillId="0" fontId="0" numFmtId="164" xfId="0">
      <alignment horizontal="center" indent="0" shrinkToFit="false" textRotation="0" vertical="bottom" wrapText="false"/>
    </xf>
    <xf applyAlignment="false" applyBorder="false" applyFont="true" applyProtection="false" borderId="0" fillId="0" fontId="4" numFmtId="168" xfId="0"/>
    <xf applyAlignment="false" applyBorder="true" applyFont="false" applyProtection="false" borderId="0" fillId="0" fontId="0" numFmtId="164" xfId="0"/>
    <xf applyAlignment="false" applyBorder="true" applyFont="true" applyProtection="false" borderId="1" fillId="2" fontId="0" numFmtId="164" xfId="0"/>
    <xf applyAlignment="false" applyBorder="true" applyFont="false" applyProtection="false" borderId="2" fillId="2" fontId="0" numFmtId="164" xfId="0"/>
    <xf applyAlignment="false" applyBorder="true" applyFont="false" applyProtection="false" borderId="2" fillId="2" fontId="0" numFmtId="166" xfId="0"/>
    <xf applyAlignment="false" applyBorder="true" applyFont="false" applyProtection="false" borderId="3" fillId="2" fontId="0" numFmtId="166" xfId="0"/>
    <xf applyAlignment="false" applyBorder="true" applyFont="true" applyProtection="false" borderId="7" fillId="2" fontId="0" numFmtId="164" xfId="0"/>
    <xf applyAlignment="false" applyBorder="true" applyFont="false" applyProtection="false" borderId="0" fillId="2" fontId="0" numFmtId="164" xfId="0"/>
    <xf applyAlignment="true" applyBorder="true" applyFont="true" applyProtection="true" borderId="0" fillId="2" fontId="0" numFmtId="167" xfId="19">
      <alignment horizontal="general" indent="0" shrinkToFit="false" textRotation="0" vertical="bottom" wrapText="false"/>
      <protection hidden="false" locked="true"/>
    </xf>
    <xf applyAlignment="false" applyBorder="true" applyFont="false" applyProtection="false" borderId="8" fillId="2" fontId="0" numFmtId="166" xfId="0"/>
    <xf applyAlignment="false" applyBorder="true" applyFont="true" applyProtection="false" borderId="4" fillId="2" fontId="0" numFmtId="164" xfId="0"/>
    <xf applyAlignment="false" applyBorder="true" applyFont="false" applyProtection="false" borderId="5" fillId="2" fontId="0" numFmtId="164" xfId="0"/>
    <xf applyAlignment="true" applyBorder="true" applyFont="true" applyProtection="true" borderId="5" fillId="2" fontId="0" numFmtId="168" xfId="19">
      <alignment horizontal="general" indent="0" shrinkToFit="false" textRotation="0" vertical="bottom" wrapText="false"/>
      <protection hidden="false" locked="true"/>
    </xf>
    <xf applyAlignment="true" applyBorder="true" applyFont="true" applyProtection="true" borderId="6" fillId="2" fontId="0" numFmtId="168" xfId="19">
      <alignment horizontal="general" indent="0" shrinkToFit="false" textRotation="0" vertical="bottom" wrapText="false"/>
      <protection hidden="false" locked="true"/>
    </xf>
    <xf applyAlignment="true" applyBorder="true" applyFont="true" applyProtection="false" borderId="0" fillId="0" fontId="5" numFmtId="164" xfId="0">
      <alignment horizontal="center" indent="0" shrinkToFit="false" textRotation="0" vertical="bottom" wrapText="false"/>
    </xf>
    <xf applyAlignment="true" applyBorder="true" applyFont="true" applyProtection="true" borderId="0" fillId="0" fontId="0" numFmtId="172" xfId="15">
      <alignment horizontal="general" indent="0" shrinkToFit="false" textRotation="0" vertical="bottom" wrapText="false"/>
      <protection hidden="false" locked="true"/>
    </xf>
    <xf applyAlignment="true" applyBorder="true" applyFont="true" applyProtection="true" borderId="0" fillId="0" fontId="0" numFmtId="166" xfId="17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4" numFmtId="173" xfId="0"/>
    <xf applyAlignment="false" applyBorder="false" applyFont="false" applyProtection="false" borderId="0" fillId="0" fontId="0" numFmtId="168" xfId="0"/>
    <xf applyAlignment="true" applyBorder="false" applyFont="true" applyProtection="false" borderId="0" fillId="0" fontId="6" numFmtId="168" xfId="0">
      <alignment horizontal="center" indent="0" shrinkToFit="false" textRotation="0" vertical="bottom" wrapText="false"/>
    </xf>
    <xf applyAlignment="true" applyBorder="true" applyFont="true" applyProtection="true" borderId="0" fillId="0" fontId="9" numFmtId="168" xfId="19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5" numFmtId="168" xfId="0"/>
    <xf applyAlignment="false" applyBorder="false" applyFont="true" applyProtection="false" borderId="0" fillId="0" fontId="10" numFmtId="168" xfId="0"/>
    <xf applyAlignment="true" applyBorder="false" applyFont="true" applyProtection="false" borderId="0" fillId="0" fontId="4" numFmtId="173" xfId="0">
      <alignment horizontal="center" indent="0" shrinkToFit="false" textRotation="0" vertical="bottom" wrapText="false"/>
    </xf>
    <xf applyAlignment="false" applyBorder="true" applyFont="false" applyProtection="false" borderId="5" fillId="0" fontId="0" numFmtId="168" xfId="0"/>
    <xf applyAlignment="true" applyBorder="true" applyFont="true" applyProtection="true" borderId="0" fillId="0" fontId="0" numFmtId="174" xfId="19">
      <alignment horizontal="general" indent="0" shrinkToFit="false" textRotation="0" vertical="bottom" wrapText="false"/>
      <protection hidden="false" locked="true"/>
    </xf>
    <xf applyAlignment="true" applyBorder="true" applyFont="true" applyProtection="true" borderId="6" fillId="0" fontId="11" numFmtId="168" xfId="19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1" numFmtId="164" xfId="0"/>
  </cellXfs>
  <cellStyles count="6">
    <cellStyle builtinId="0" customBuiltin="false" name="Normal" xfId="0"/>
    <cellStyle builtinId="3" customBuiltin="false" name="Comma" xfId="15"/>
    <cellStyle builtinId="6" customBuiltin="false" name="Comma [0]" xfId="16"/>
    <cellStyle builtinId="4" customBuiltin="false" name="Currency" xfId="17"/>
    <cellStyle builtinId="7" customBuiltin="false" name="Currency [0]" xfId="18"/>
    <cellStyle builtinId="5" customBuiltin="false" name="Percent" xfId="1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DCE6F2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1F497D"/>
      <rgbColor rgb="00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a="http://schemas.openxmlformats.org/drawingml/2006/main" xmlns:r="http://schemas.openxmlformats.org/officeDocument/2006/relationships" xmlns:xdr="http://schemas.openxmlformats.org/drawingml/2006/spreadsheetDrawing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R21"/>
  <sheetViews>
    <sheetView colorId="64" defaultGridColor="true" rightToLeft="false" showFormulas="false" showGridLines="true" showOutlineSymbols="true" showRowColHeaders="true" showZeros="true" tabSelected="false" topLeftCell="A1" view="normal" windowProtection="false" workbookViewId="0" zoomScale="100" zoomScaleNormal="100" zoomScalePageLayoutView="100">
      <selection activeCell="D2" activeCellId="0" pane="topLeft" sqref="D2"/>
    </sheetView>
  </sheetViews>
  <cols>
    <col collapsed="false" hidden="false" max="1" min="1" style="0" width="11.4745098039216"/>
    <col collapsed="false" hidden="false" max="3" min="2" style="0" width="8.56862745098039"/>
    <col collapsed="false" hidden="false" max="4" min="4" style="0" width="15.3450980392157"/>
    <col collapsed="false" hidden="false" max="8" min="5" style="0" width="8.56862745098039"/>
    <col collapsed="false" hidden="false" max="9" min="9" style="0" width="15.6313725490196"/>
    <col collapsed="false" hidden="false" max="10" min="10" style="0" width="15.9176470588235"/>
    <col collapsed="false" hidden="false" max="11" min="11" style="0" width="8.56862745098039"/>
    <col collapsed="false" hidden="false" max="12" min="12" style="0" width="9.75294117647059"/>
    <col collapsed="false" hidden="false" max="13" min="13" style="0" width="16.921568627451"/>
    <col collapsed="false" hidden="false" max="14" min="14" style="0" width="18.9294117647059"/>
    <col collapsed="false" hidden="false" max="1025" min="15" style="0" width="8.56862745098039"/>
  </cols>
  <sheetData>
    <row collapsed="false" customFormat="true" customHeight="false" hidden="false" ht="68.65" outlineLevel="0" r="1" s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collapsed="false" customFormat="false" customHeight="false" hidden="false" ht="14" outlineLevel="0" r="2">
      <c r="A2" s="2" t="n">
        <v>0.625</v>
      </c>
      <c r="B2" s="0" t="n">
        <v>1104134</v>
      </c>
      <c r="C2" s="3" t="s">
        <v>18</v>
      </c>
      <c r="D2" s="4" t="n">
        <v>15000000</v>
      </c>
      <c r="E2" s="5" t="n">
        <v>0.1</v>
      </c>
      <c r="F2" s="5"/>
      <c r="G2" s="3"/>
      <c r="H2" s="3"/>
      <c r="I2" s="3"/>
      <c r="J2" s="3" t="s">
        <v>19</v>
      </c>
      <c r="K2" s="6"/>
      <c r="L2" s="3" t="s">
        <v>20</v>
      </c>
      <c r="M2" s="4" t="n">
        <v>187500</v>
      </c>
      <c r="N2" s="7" t="n">
        <v>40892.5370949074</v>
      </c>
      <c r="O2" s="8" t="n">
        <f aca="false">+IF(AND(C2="Specified",J2="Competitive"),1,0)</f>
        <v>0</v>
      </c>
      <c r="P2" s="8" t="n">
        <f aca="false">+IF(AND(C2="Specified",J2="Noncompetitive"),1,0)</f>
        <v>0</v>
      </c>
      <c r="Q2" s="8" t="n">
        <f aca="false">+IF(AND(C2="General",J2="Competitive"),1,0)</f>
        <v>0</v>
      </c>
      <c r="R2" s="8" t="n">
        <f aca="false">+IF(AND(C2="General",J2="Noncompetitive"),1,0)</f>
        <v>1</v>
      </c>
    </row>
    <row collapsed="false" customFormat="false" customHeight="false" hidden="false" ht="14" outlineLevel="0" r="3">
      <c r="A3" s="2" t="n">
        <v>0.625</v>
      </c>
      <c r="B3" s="0" t="n">
        <v>1104143</v>
      </c>
      <c r="C3" s="3" t="s">
        <v>21</v>
      </c>
      <c r="D3" s="4"/>
      <c r="E3" s="5"/>
      <c r="F3" s="5" t="n">
        <v>0.2</v>
      </c>
      <c r="G3" s="3" t="s">
        <v>22</v>
      </c>
      <c r="H3" s="3"/>
      <c r="I3" s="3" t="s">
        <v>23</v>
      </c>
      <c r="J3" s="3" t="s">
        <v>19</v>
      </c>
      <c r="K3" s="6"/>
      <c r="L3" s="3" t="s">
        <v>20</v>
      </c>
      <c r="M3" s="4" t="n">
        <v>500000</v>
      </c>
      <c r="N3" s="7" t="n">
        <v>40897.3636342593</v>
      </c>
      <c r="O3" s="8" t="n">
        <f aca="false">+IF(AND(C3="Specified",J3="Competitive"),1,0)</f>
        <v>0</v>
      </c>
      <c r="P3" s="8" t="n">
        <f aca="false">+IF(AND(C3="Specified",J3="Noncompetitive"),1,0)</f>
        <v>1</v>
      </c>
      <c r="Q3" s="8" t="n">
        <f aca="false">+IF(AND(C3="General",J3="Competitive"),1,0)</f>
        <v>0</v>
      </c>
      <c r="R3" s="8" t="n">
        <f aca="false">+IF(AND(C3="General",J3="Noncompetitive"),1,0)</f>
        <v>0</v>
      </c>
    </row>
    <row collapsed="false" customFormat="false" customHeight="false" hidden="false" ht="14" outlineLevel="0" r="4">
      <c r="A4" s="2" t="n">
        <v>0.625</v>
      </c>
      <c r="B4" s="0" t="n">
        <v>1104154</v>
      </c>
      <c r="C4" s="3" t="s">
        <v>18</v>
      </c>
      <c r="D4" s="4" t="n">
        <v>20000000</v>
      </c>
      <c r="E4" s="5" t="n">
        <v>0.2</v>
      </c>
      <c r="F4" s="5"/>
      <c r="G4" s="3"/>
      <c r="H4" s="3"/>
      <c r="I4" s="3"/>
      <c r="J4" s="3" t="s">
        <v>24</v>
      </c>
      <c r="K4" s="6" t="n">
        <v>0.03</v>
      </c>
      <c r="L4" s="3" t="s">
        <v>20</v>
      </c>
      <c r="M4" s="4" t="n">
        <v>185000</v>
      </c>
      <c r="N4" s="7" t="n">
        <v>40913.3866666667</v>
      </c>
      <c r="O4" s="8" t="n">
        <f aca="false">+IF(AND(C4="Specified",J4="Competitive"),1,0)</f>
        <v>0</v>
      </c>
      <c r="P4" s="8" t="n">
        <f aca="false">+IF(AND(C4="Specified",J4="Noncompetitive"),1,0)</f>
        <v>0</v>
      </c>
      <c r="Q4" s="8" t="n">
        <f aca="false">+IF(AND(C4="General",J4="Competitive"),1,0)</f>
        <v>1</v>
      </c>
      <c r="R4" s="8" t="n">
        <f aca="false">+IF(AND(C4="General",J4="Noncompetitive"),1,0)</f>
        <v>0</v>
      </c>
    </row>
    <row collapsed="false" customFormat="false" customHeight="false" hidden="false" ht="14" outlineLevel="0" r="5">
      <c r="A5" s="2" t="n">
        <v>0.625</v>
      </c>
      <c r="B5" s="0" t="n">
        <v>1104152</v>
      </c>
      <c r="C5" s="3" t="s">
        <v>21</v>
      </c>
      <c r="D5" s="4"/>
      <c r="E5" s="5"/>
      <c r="F5" s="5" t="n">
        <v>0.2</v>
      </c>
      <c r="G5" s="3" t="s">
        <v>22</v>
      </c>
      <c r="H5" s="3"/>
      <c r="I5" s="3" t="s">
        <v>25</v>
      </c>
      <c r="J5" s="3" t="s">
        <v>24</v>
      </c>
      <c r="K5" s="6" t="n">
        <v>0.03</v>
      </c>
      <c r="L5" s="3" t="s">
        <v>20</v>
      </c>
      <c r="M5" s="4" t="n">
        <v>1500000</v>
      </c>
      <c r="N5" s="7" t="n">
        <v>40913.3856712963</v>
      </c>
      <c r="O5" s="8" t="n">
        <f aca="false">+IF(AND(C5="Specified",J5="Competitive"),1,0)</f>
        <v>1</v>
      </c>
      <c r="P5" s="8" t="n">
        <f aca="false">+IF(AND(C5="Specified",J5="Noncompetitive"),1,0)</f>
        <v>0</v>
      </c>
      <c r="Q5" s="8" t="n">
        <f aca="false">+IF(AND(C5="General",J5="Competitive"),1,0)</f>
        <v>0</v>
      </c>
      <c r="R5" s="8" t="n">
        <f aca="false">+IF(AND(C5="General",J5="Noncompetitive"),1,0)</f>
        <v>0</v>
      </c>
    </row>
    <row collapsed="false" customFormat="false" customHeight="false" hidden="false" ht="14" outlineLevel="0" r="6">
      <c r="A6" s="2" t="n">
        <v>0.712638888888889</v>
      </c>
      <c r="B6" s="0" t="n">
        <v>1104136</v>
      </c>
      <c r="C6" s="3" t="s">
        <v>21</v>
      </c>
      <c r="D6" s="4"/>
      <c r="E6" s="5"/>
      <c r="F6" s="5" t="n">
        <v>0.2</v>
      </c>
      <c r="G6" s="3" t="s">
        <v>26</v>
      </c>
      <c r="H6" s="3" t="n">
        <v>4</v>
      </c>
      <c r="I6" s="3"/>
      <c r="J6" s="3" t="s">
        <v>24</v>
      </c>
      <c r="K6" s="6" t="n">
        <v>0.06</v>
      </c>
      <c r="L6" s="3" t="s">
        <v>27</v>
      </c>
      <c r="M6" s="4" t="n">
        <v>860000</v>
      </c>
      <c r="N6" s="7"/>
      <c r="O6" s="8" t="n">
        <f aca="false">+IF(AND(C6="Specified",J6="Competitive"),1,0)</f>
        <v>1</v>
      </c>
      <c r="P6" s="8" t="n">
        <f aca="false">+IF(AND(C6="Specified",J6="Noncompetitive"),1,0)</f>
        <v>0</v>
      </c>
      <c r="Q6" s="8" t="n">
        <f aca="false">+IF(AND(C6="General",J6="Competitive"),1,0)</f>
        <v>0</v>
      </c>
      <c r="R6" s="8" t="n">
        <f aca="false">+IF(AND(C6="General",J6="Noncompetitive"),1,0)</f>
        <v>0</v>
      </c>
    </row>
    <row collapsed="false" customFormat="false" customHeight="false" hidden="false" ht="14" outlineLevel="0" r="7">
      <c r="A7" s="2" t="n">
        <v>0.772638888888889</v>
      </c>
      <c r="B7" s="0" t="n">
        <v>1104138</v>
      </c>
      <c r="C7" s="3" t="s">
        <v>18</v>
      </c>
      <c r="D7" s="4" t="n">
        <v>1000000</v>
      </c>
      <c r="E7" s="5" t="n">
        <v>0.5</v>
      </c>
      <c r="F7" s="5"/>
      <c r="G7" s="3"/>
      <c r="H7" s="3"/>
      <c r="I7" s="3"/>
      <c r="J7" s="3" t="s">
        <v>24</v>
      </c>
      <c r="K7" s="6" t="n">
        <v>0.02125</v>
      </c>
      <c r="L7" s="3" t="s">
        <v>27</v>
      </c>
      <c r="M7" s="4" t="n">
        <v>300000</v>
      </c>
      <c r="N7" s="7"/>
      <c r="O7" s="8" t="n">
        <f aca="false">+IF(AND(C7="Specified",J7="Competitive"),1,0)</f>
        <v>0</v>
      </c>
      <c r="P7" s="8" t="n">
        <f aca="false">+IF(AND(C7="Specified",J7="Noncompetitive"),1,0)</f>
        <v>0</v>
      </c>
      <c r="Q7" s="8" t="n">
        <f aca="false">+IF(AND(C7="General",J7="Competitive"),1,0)</f>
        <v>1</v>
      </c>
      <c r="R7" s="8" t="n">
        <f aca="false">+IF(AND(C7="General",J7="Noncompetitive"),1,0)</f>
        <v>0</v>
      </c>
    </row>
    <row collapsed="false" customFormat="false" customHeight="false" hidden="false" ht="14" outlineLevel="0" r="8">
      <c r="A8" s="2" t="n">
        <v>0.802638888888889</v>
      </c>
      <c r="B8" s="0" t="n">
        <v>1104139</v>
      </c>
      <c r="C8" s="3" t="s">
        <v>18</v>
      </c>
      <c r="D8" s="4" t="n">
        <v>500000</v>
      </c>
      <c r="E8" s="5" t="n">
        <v>0.3</v>
      </c>
      <c r="F8" s="5"/>
      <c r="G8" s="3"/>
      <c r="H8" s="3"/>
      <c r="I8" s="3"/>
      <c r="J8" s="3" t="s">
        <v>24</v>
      </c>
      <c r="K8" s="6" t="n">
        <v>0.0225</v>
      </c>
      <c r="L8" s="3" t="s">
        <v>27</v>
      </c>
      <c r="M8" s="4" t="n">
        <v>250000</v>
      </c>
      <c r="N8" s="7"/>
      <c r="O8" s="8" t="n">
        <f aca="false">+IF(AND(C8="Specified",J8="Competitive"),1,0)</f>
        <v>0</v>
      </c>
      <c r="P8" s="8" t="n">
        <f aca="false">+IF(AND(C8="Specified",J8="Noncompetitive"),1,0)</f>
        <v>0</v>
      </c>
      <c r="Q8" s="8" t="n">
        <f aca="false">+IF(AND(C8="General",J8="Competitive"),1,0)</f>
        <v>1</v>
      </c>
      <c r="R8" s="8" t="n">
        <f aca="false">+IF(AND(C8="General",J8="Noncompetitive"),1,0)</f>
        <v>0</v>
      </c>
    </row>
    <row collapsed="false" customFormat="false" customHeight="false" hidden="false" ht="14" outlineLevel="0" r="9">
      <c r="A9" s="2" t="n">
        <v>0.832638888888889</v>
      </c>
      <c r="B9" s="0" t="n">
        <v>1104140</v>
      </c>
      <c r="C9" s="3" t="s">
        <v>21</v>
      </c>
      <c r="D9" s="4"/>
      <c r="E9" s="5"/>
      <c r="F9" s="5" t="n">
        <v>0.2</v>
      </c>
      <c r="G9" s="3" t="s">
        <v>26</v>
      </c>
      <c r="H9" s="3" t="n">
        <v>5</v>
      </c>
      <c r="I9" s="3"/>
      <c r="J9" s="3" t="s">
        <v>24</v>
      </c>
      <c r="K9" s="6" t="n">
        <v>0.025</v>
      </c>
      <c r="L9" s="3" t="s">
        <v>27</v>
      </c>
      <c r="M9" s="4" t="n">
        <v>74000</v>
      </c>
      <c r="N9" s="7"/>
      <c r="O9" s="8" t="n">
        <f aca="false">+IF(AND(C9="Specified",J9="Competitive"),1,0)</f>
        <v>1</v>
      </c>
      <c r="P9" s="8" t="n">
        <f aca="false">+IF(AND(C9="Specified",J9="Noncompetitive"),1,0)</f>
        <v>0</v>
      </c>
      <c r="Q9" s="8" t="n">
        <f aca="false">+IF(AND(C9="General",J9="Competitive"),1,0)</f>
        <v>0</v>
      </c>
      <c r="R9" s="8" t="n">
        <f aca="false">+IF(AND(C9="General",J9="Noncompetitive"),1,0)</f>
        <v>0</v>
      </c>
    </row>
    <row collapsed="false" customFormat="false" customHeight="false" hidden="false" ht="14" outlineLevel="0" r="10">
      <c r="A10" s="2" t="n">
        <v>0.862638888888889</v>
      </c>
      <c r="B10" s="0" t="n">
        <v>1104141</v>
      </c>
      <c r="C10" s="3" t="s">
        <v>18</v>
      </c>
      <c r="D10" s="4" t="n">
        <v>500000</v>
      </c>
      <c r="E10" s="5" t="n">
        <v>0.2</v>
      </c>
      <c r="F10" s="5"/>
      <c r="G10" s="3"/>
      <c r="H10" s="3"/>
      <c r="I10" s="3"/>
      <c r="J10" s="3" t="s">
        <v>24</v>
      </c>
      <c r="K10" s="6" t="n">
        <v>0.025</v>
      </c>
      <c r="L10" s="3" t="s">
        <v>27</v>
      </c>
      <c r="M10" s="4" t="n">
        <v>285000</v>
      </c>
      <c r="N10" s="7"/>
      <c r="O10" s="8" t="n">
        <f aca="false">+IF(AND(C10="Specified",J10="Competitive"),1,0)</f>
        <v>0</v>
      </c>
      <c r="P10" s="8" t="n">
        <f aca="false">+IF(AND(C10="Specified",J10="Noncompetitive"),1,0)</f>
        <v>0</v>
      </c>
      <c r="Q10" s="8" t="n">
        <f aca="false">+IF(AND(C10="General",J10="Competitive"),1,0)</f>
        <v>1</v>
      </c>
      <c r="R10" s="8" t="n">
        <f aca="false">+IF(AND(C10="General",J10="Noncompetitive"),1,0)</f>
        <v>0</v>
      </c>
    </row>
    <row collapsed="false" customFormat="false" customHeight="false" hidden="false" ht="14" outlineLevel="0" r="11">
      <c r="A11" s="2" t="n">
        <v>0.902638888888889</v>
      </c>
      <c r="B11" s="0" t="n">
        <v>1104159</v>
      </c>
      <c r="C11" s="3" t="s">
        <v>21</v>
      </c>
      <c r="D11" s="4"/>
      <c r="E11" s="5"/>
      <c r="F11" s="5" t="n">
        <v>0.2</v>
      </c>
      <c r="G11" s="3" t="s">
        <v>26</v>
      </c>
      <c r="H11" s="3" t="n">
        <v>1</v>
      </c>
      <c r="I11" s="3"/>
      <c r="J11" s="3" t="s">
        <v>19</v>
      </c>
      <c r="K11" s="6"/>
      <c r="L11" s="3" t="s">
        <v>27</v>
      </c>
      <c r="M11" s="4" t="n">
        <v>532000</v>
      </c>
      <c r="N11" s="7"/>
      <c r="O11" s="8" t="n">
        <f aca="false">+IF(AND(C11="Specified",J11="Competitive"),1,0)</f>
        <v>0</v>
      </c>
      <c r="P11" s="8" t="n">
        <f aca="false">+IF(AND(C11="Specified",J11="Noncompetitive"),1,0)</f>
        <v>1</v>
      </c>
      <c r="Q11" s="8" t="n">
        <f aca="false">+IF(AND(C11="General",J11="Competitive"),1,0)</f>
        <v>0</v>
      </c>
      <c r="R11" s="8" t="n">
        <f aca="false">+IF(AND(C11="General",J11="Noncompetitive"),1,0)</f>
        <v>0</v>
      </c>
    </row>
    <row collapsed="false" customFormat="false" customHeight="false" hidden="false" ht="14" outlineLevel="0" r="12">
      <c r="A12" s="2" t="n">
        <v>0.962638888888889</v>
      </c>
      <c r="B12" s="0" t="n">
        <v>1104161</v>
      </c>
      <c r="C12" s="3" t="s">
        <v>21</v>
      </c>
      <c r="D12" s="4"/>
      <c r="E12" s="5"/>
      <c r="F12" s="5" t="n">
        <v>0.2</v>
      </c>
      <c r="G12" s="3" t="s">
        <v>26</v>
      </c>
      <c r="H12" s="3" t="n">
        <v>4</v>
      </c>
      <c r="I12" s="3"/>
      <c r="J12" s="3" t="s">
        <v>19</v>
      </c>
      <c r="K12" s="6"/>
      <c r="L12" s="3" t="s">
        <v>27</v>
      </c>
      <c r="M12" s="4" t="n">
        <v>292000</v>
      </c>
      <c r="N12" s="7"/>
      <c r="O12" s="8" t="n">
        <f aca="false">+IF(AND(C12="Specified",J12="Competitive"),1,0)</f>
        <v>0</v>
      </c>
      <c r="P12" s="8" t="n">
        <f aca="false">+IF(AND(C12="Specified",J12="Noncompetitive"),1,0)</f>
        <v>1</v>
      </c>
      <c r="Q12" s="8" t="n">
        <f aca="false">+IF(AND(C12="General",J12="Competitive"),1,0)</f>
        <v>0</v>
      </c>
      <c r="R12" s="8" t="n">
        <f aca="false">+IF(AND(C12="General",J12="Noncompetitive"),1,0)</f>
        <v>0</v>
      </c>
    </row>
    <row collapsed="false" customFormat="false" customHeight="false" hidden="false" ht="14" outlineLevel="0" r="13">
      <c r="A13" s="2" t="n">
        <v>0.982638888888889</v>
      </c>
      <c r="B13" s="0" t="n">
        <v>1104145</v>
      </c>
      <c r="C13" s="3" t="s">
        <v>21</v>
      </c>
      <c r="D13" s="4"/>
      <c r="E13" s="5"/>
      <c r="F13" s="5" t="n">
        <v>0.1</v>
      </c>
      <c r="G13" s="3" t="s">
        <v>26</v>
      </c>
      <c r="H13" s="3" t="n">
        <v>1</v>
      </c>
      <c r="I13" s="3"/>
      <c r="J13" s="3" t="s">
        <v>24</v>
      </c>
      <c r="K13" s="6" t="n">
        <v>0.015</v>
      </c>
      <c r="L13" s="3" t="s">
        <v>27</v>
      </c>
      <c r="M13" s="4" t="n">
        <v>752000</v>
      </c>
      <c r="N13" s="7"/>
      <c r="O13" s="8" t="n">
        <f aca="false">+IF(AND(C13="Specified",J13="Competitive"),1,0)</f>
        <v>1</v>
      </c>
      <c r="P13" s="8" t="n">
        <f aca="false">+IF(AND(C13="Specified",J13="Noncompetitive"),1,0)</f>
        <v>0</v>
      </c>
      <c r="Q13" s="8" t="n">
        <f aca="false">+IF(AND(C13="General",J13="Competitive"),1,0)</f>
        <v>0</v>
      </c>
      <c r="R13" s="8" t="n">
        <f aca="false">+IF(AND(C13="General",J13="Noncompetitive"),1,0)</f>
        <v>0</v>
      </c>
    </row>
    <row collapsed="false" customFormat="false" customHeight="false" hidden="false" ht="14" outlineLevel="0" r="14">
      <c r="A14" s="2" t="n">
        <v>1.09930555555556</v>
      </c>
      <c r="B14" s="0" t="n">
        <v>1104133</v>
      </c>
      <c r="C14" s="3" t="s">
        <v>21</v>
      </c>
      <c r="D14" s="4"/>
      <c r="E14" s="5"/>
      <c r="F14" s="5" t="n">
        <v>0.2</v>
      </c>
      <c r="G14" s="3" t="s">
        <v>26</v>
      </c>
      <c r="H14" s="3" t="n">
        <v>4</v>
      </c>
      <c r="I14" s="3"/>
      <c r="J14" s="3" t="s">
        <v>24</v>
      </c>
      <c r="K14" s="6" t="n">
        <v>0.04</v>
      </c>
      <c r="L14" s="3" t="s">
        <v>27</v>
      </c>
      <c r="M14" s="4" t="n">
        <v>418000</v>
      </c>
      <c r="N14" s="7"/>
      <c r="O14" s="8" t="n">
        <f aca="false">+IF(AND(C14="Specified",J14="Competitive"),1,0)</f>
        <v>1</v>
      </c>
      <c r="P14" s="8" t="n">
        <f aca="false">+IF(AND(C14="Specified",J14="Noncompetitive"),1,0)</f>
        <v>0</v>
      </c>
      <c r="Q14" s="8" t="n">
        <f aca="false">+IF(AND(C14="General",J14="Competitive"),1,0)</f>
        <v>0</v>
      </c>
      <c r="R14" s="8" t="n">
        <f aca="false">+IF(AND(C14="General",J14="Noncompetitive"),1,0)</f>
        <v>0</v>
      </c>
    </row>
    <row collapsed="false" customFormat="false" customHeight="false" hidden="false" ht="14" outlineLevel="0" r="15">
      <c r="A15" s="2" t="n">
        <v>1.10263888888889</v>
      </c>
      <c r="B15" s="0" t="n">
        <v>1104149</v>
      </c>
      <c r="C15" s="3" t="s">
        <v>21</v>
      </c>
      <c r="D15" s="4"/>
      <c r="E15" s="5"/>
      <c r="F15" s="5" t="n">
        <v>0.2</v>
      </c>
      <c r="G15" s="3" t="s">
        <v>26</v>
      </c>
      <c r="H15" s="3" t="n">
        <v>5</v>
      </c>
      <c r="I15" s="3"/>
      <c r="J15" s="3" t="s">
        <v>19</v>
      </c>
      <c r="K15" s="6"/>
      <c r="L15" s="3" t="s">
        <v>27</v>
      </c>
      <c r="M15" s="4" t="n">
        <v>47000</v>
      </c>
      <c r="N15" s="7"/>
      <c r="O15" s="8" t="n">
        <f aca="false">+IF(AND(C15="Specified",J15="Competitive"),1,0)</f>
        <v>0</v>
      </c>
      <c r="P15" s="8" t="n">
        <f aca="false">+IF(AND(C15="Specified",J15="Noncompetitive"),1,0)</f>
        <v>1</v>
      </c>
      <c r="Q15" s="8" t="n">
        <f aca="false">+IF(AND(C15="General",J15="Competitive"),1,0)</f>
        <v>0</v>
      </c>
      <c r="R15" s="8" t="n">
        <f aca="false">+IF(AND(C15="General",J15="Noncompetitive"),1,0)</f>
        <v>0</v>
      </c>
    </row>
    <row collapsed="false" customFormat="false" customHeight="false" hidden="false" ht="14" outlineLevel="0" r="16">
      <c r="A16" s="2" t="n">
        <v>1.16263888888889</v>
      </c>
      <c r="B16" s="0" t="n">
        <v>1104151</v>
      </c>
      <c r="C16" s="3" t="s">
        <v>21</v>
      </c>
      <c r="D16" s="4"/>
      <c r="E16" s="5"/>
      <c r="F16" s="5" t="n">
        <v>0.2</v>
      </c>
      <c r="G16" s="3" t="s">
        <v>26</v>
      </c>
      <c r="H16" s="3" t="n">
        <v>1</v>
      </c>
      <c r="I16" s="3"/>
      <c r="J16" s="3" t="s">
        <v>19</v>
      </c>
      <c r="K16" s="6"/>
      <c r="L16" s="3" t="s">
        <v>27</v>
      </c>
      <c r="M16" s="4" t="n">
        <v>283000</v>
      </c>
      <c r="N16" s="7"/>
      <c r="O16" s="8" t="n">
        <f aca="false">+IF(AND(C16="Specified",J16="Competitive"),1,0)</f>
        <v>0</v>
      </c>
      <c r="P16" s="8" t="n">
        <f aca="false">+IF(AND(C16="Specified",J16="Noncompetitive"),1,0)</f>
        <v>1</v>
      </c>
      <c r="Q16" s="8" t="n">
        <f aca="false">+IF(AND(C16="General",J16="Competitive"),1,0)</f>
        <v>0</v>
      </c>
      <c r="R16" s="8" t="n">
        <f aca="false">+IF(AND(C16="General",J16="Noncompetitive"),1,0)</f>
        <v>0</v>
      </c>
    </row>
    <row collapsed="false" customFormat="false" customHeight="false" hidden="false" ht="14" outlineLevel="0" r="17">
      <c r="A17" s="2" t="n">
        <v>1.19263888888889</v>
      </c>
      <c r="B17" s="0" t="n">
        <v>1104131</v>
      </c>
      <c r="C17" s="3" t="s">
        <v>18</v>
      </c>
      <c r="D17" s="4" t="n">
        <v>1000000</v>
      </c>
      <c r="E17" s="5" t="n">
        <v>0.5</v>
      </c>
      <c r="F17" s="5"/>
      <c r="G17" s="3"/>
      <c r="H17" s="3"/>
      <c r="I17" s="3"/>
      <c r="J17" s="3" t="s">
        <v>19</v>
      </c>
      <c r="K17" s="6"/>
      <c r="L17" s="3" t="s">
        <v>27</v>
      </c>
      <c r="M17" s="4" t="n">
        <v>598000</v>
      </c>
      <c r="N17" s="7"/>
      <c r="O17" s="8" t="n">
        <f aca="false">+IF(AND(C17="Specified",J17="Competitive"),1,0)</f>
        <v>0</v>
      </c>
      <c r="P17" s="8" t="n">
        <f aca="false">+IF(AND(C17="Specified",J17="Noncompetitive"),1,0)</f>
        <v>0</v>
      </c>
      <c r="Q17" s="8" t="n">
        <f aca="false">+IF(AND(C17="General",J17="Competitive"),1,0)</f>
        <v>0</v>
      </c>
      <c r="R17" s="8" t="n">
        <f aca="false">+IF(AND(C17="General",J17="Noncompetitive"),1,0)</f>
        <v>1</v>
      </c>
    </row>
    <row collapsed="false" customFormat="false" customHeight="false" hidden="false" ht="14" outlineLevel="0" r="18">
      <c r="A18" s="2" t="n">
        <v>1.28263888888889</v>
      </c>
      <c r="B18" s="0" t="n">
        <v>1104155</v>
      </c>
      <c r="C18" s="3" t="s">
        <v>21</v>
      </c>
      <c r="D18" s="4"/>
      <c r="E18" s="5"/>
      <c r="F18" s="5" t="n">
        <v>0.2</v>
      </c>
      <c r="G18" s="3" t="s">
        <v>22</v>
      </c>
      <c r="H18" s="3"/>
      <c r="I18" s="3" t="s">
        <v>28</v>
      </c>
      <c r="J18" s="3" t="s">
        <v>24</v>
      </c>
      <c r="K18" s="6" t="n">
        <v>0.02125</v>
      </c>
      <c r="L18" s="3" t="s">
        <v>27</v>
      </c>
      <c r="M18" s="4" t="n">
        <v>639000</v>
      </c>
      <c r="N18" s="7"/>
      <c r="O18" s="8" t="n">
        <f aca="false">+IF(AND(C18="Specified",J18="Competitive"),1,0)</f>
        <v>1</v>
      </c>
      <c r="P18" s="8" t="n">
        <f aca="false">+IF(AND(C18="Specified",J18="Noncompetitive"),1,0)</f>
        <v>0</v>
      </c>
      <c r="Q18" s="8" t="n">
        <f aca="false">+IF(AND(C18="General",J18="Competitive"),1,0)</f>
        <v>0</v>
      </c>
      <c r="R18" s="8" t="n">
        <f aca="false">+IF(AND(C18="General",J18="Noncompetitive"),1,0)</f>
        <v>0</v>
      </c>
    </row>
    <row collapsed="false" customFormat="false" customHeight="false" hidden="false" ht="14" outlineLevel="0" r="19">
      <c r="A19" s="2" t="n">
        <v>1.31263888888889</v>
      </c>
      <c r="B19" s="0" t="n">
        <v>1104156</v>
      </c>
      <c r="C19" s="3" t="s">
        <v>21</v>
      </c>
      <c r="D19" s="4"/>
      <c r="E19" s="5"/>
      <c r="F19" s="5" t="n">
        <v>0.2</v>
      </c>
      <c r="G19" s="3" t="s">
        <v>26</v>
      </c>
      <c r="H19" s="3" t="n">
        <v>2</v>
      </c>
      <c r="I19" s="3"/>
      <c r="J19" s="3" t="s">
        <v>19</v>
      </c>
      <c r="K19" s="6"/>
      <c r="L19" s="3" t="s">
        <v>27</v>
      </c>
      <c r="M19" s="4" t="n">
        <v>274000</v>
      </c>
      <c r="N19" s="7"/>
      <c r="O19" s="8" t="n">
        <f aca="false">+IF(AND(C19="Specified",J19="Competitive"),1,0)</f>
        <v>0</v>
      </c>
      <c r="P19" s="8" t="n">
        <f aca="false">+IF(AND(C19="Specified",J19="Noncompetitive"),1,0)</f>
        <v>1</v>
      </c>
      <c r="Q19" s="8" t="n">
        <f aca="false">+IF(AND(C19="General",J19="Competitive"),1,0)</f>
        <v>0</v>
      </c>
      <c r="R19" s="8" t="n">
        <f aca="false">+IF(AND(C19="General",J19="Noncompetitive"),1,0)</f>
        <v>0</v>
      </c>
    </row>
    <row collapsed="false" customFormat="false" customHeight="false" hidden="false" ht="14" outlineLevel="0" r="20">
      <c r="A20" s="2" t="n">
        <v>1.34263888888889</v>
      </c>
      <c r="B20" s="0" t="n">
        <v>1104157</v>
      </c>
      <c r="C20" s="3" t="s">
        <v>18</v>
      </c>
      <c r="D20" s="4" t="n">
        <v>1000000</v>
      </c>
      <c r="E20" s="5" t="n">
        <v>0.3</v>
      </c>
      <c r="F20" s="5"/>
      <c r="G20" s="3"/>
      <c r="H20" s="3"/>
      <c r="I20" s="3"/>
      <c r="J20" s="3" t="s">
        <v>19</v>
      </c>
      <c r="K20" s="6"/>
      <c r="L20" s="3" t="s">
        <v>27</v>
      </c>
      <c r="M20" s="4" t="n">
        <v>629000</v>
      </c>
      <c r="N20" s="7"/>
      <c r="O20" s="8" t="n">
        <f aca="false">+IF(AND(C20="Specified",J20="Competitive"),1,0)</f>
        <v>0</v>
      </c>
      <c r="P20" s="8" t="n">
        <f aca="false">+IF(AND(C20="Specified",J20="Noncompetitive"),1,0)</f>
        <v>0</v>
      </c>
      <c r="Q20" s="8" t="n">
        <f aca="false">+IF(AND(C20="General",J20="Competitive"),1,0)</f>
        <v>0</v>
      </c>
      <c r="R20" s="8" t="n">
        <f aca="false">+IF(AND(C20="General",J20="Noncompetitive"),1,0)</f>
        <v>1</v>
      </c>
    </row>
    <row collapsed="false" customFormat="false" customHeight="false" hidden="false" ht="14" outlineLevel="0" r="21">
      <c r="A21" s="2" t="n">
        <v>1.37263888888889</v>
      </c>
      <c r="B21" s="0" t="n">
        <v>1104158</v>
      </c>
      <c r="C21" s="3" t="s">
        <v>21</v>
      </c>
      <c r="D21" s="4"/>
      <c r="E21" s="5"/>
      <c r="F21" s="5" t="n">
        <v>0.2</v>
      </c>
      <c r="G21" s="3" t="s">
        <v>26</v>
      </c>
      <c r="H21" s="3" t="n">
        <v>1</v>
      </c>
      <c r="I21" s="3"/>
      <c r="J21" s="3" t="s">
        <v>24</v>
      </c>
      <c r="K21" s="6" t="n">
        <v>0.0225</v>
      </c>
      <c r="L21" s="3" t="s">
        <v>27</v>
      </c>
      <c r="M21" s="4" t="n">
        <v>562000</v>
      </c>
      <c r="N21" s="7"/>
      <c r="O21" s="8" t="n">
        <f aca="false">+IF(AND(C21="Specified",J21="Competitive"),1,0)</f>
        <v>1</v>
      </c>
      <c r="P21" s="8" t="n">
        <f aca="false">+IF(AND(C21="Specified",J21="Noncompetitive"),1,0)</f>
        <v>0</v>
      </c>
      <c r="Q21" s="8" t="n">
        <f aca="false">+IF(AND(C21="General",J21="Competitive"),1,0)</f>
        <v>0</v>
      </c>
      <c r="R21" s="8" t="n">
        <f aca="false">+IF(AND(C21="General",J21="Noncompetitive"),1,0)</f>
        <v>0</v>
      </c>
    </row>
  </sheetData>
  <autoFilter ref="A1:N21"/>
  <dataValidations count="4">
    <dataValidation allowBlank="true" operator="between" showDropDown="false" showErrorMessage="true" showInputMessage="true" sqref="C2:C21" type="list">
      <formula1>"General,Specified"</formula1>
      <formula2>0</formula2>
    </dataValidation>
    <dataValidation allowBlank="true" operator="between" showDropDown="false" showErrorMessage="true" showInputMessage="true" sqref="J2:J21" type="list">
      <formula1>"Competitive,Noncompetitive"</formula1>
      <formula2>0</formula2>
    </dataValidation>
    <dataValidation allowBlank="true" operator="between" showDropDown="false" showErrorMessage="true" showInputMessage="true" sqref="L2:L21" type="list">
      <formula1>"Day Trade,Auto"</formula1>
      <formula2>0</formula2>
    </dataValidation>
    <dataValidation allowBlank="true" operator="between" showDropDown="false" showErrorMessage="true" showInputMessage="true" sqref="G2:G21" type="list">
      <formula1>"Loan,MO"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blackAndWhite="false" cellComments="none" copies="1" draft="false" firstPageNumber="0" fitToHeight="1" fitToWidth="1" horizontalDpi="300" orientation="portrait" pageOrder="downThenOver" paperSize="1" scale="100" useFirstPageNumber="false" usePrinterDefaults="false" verticalDpi="300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206"/>
  <sheetViews>
    <sheetView colorId="64" defaultGridColor="true" rightToLeft="false" showFormulas="false" showGridLines="true" showOutlineSymbols="true" showRowColHeaders="true" showZeros="true" tabSelected="true" topLeftCell="A173" view="normal" windowProtection="false" workbookViewId="0" zoomScale="100" zoomScaleNormal="100" zoomScalePageLayoutView="100">
      <selection activeCell="C184" activeCellId="0" pane="topLeft" sqref="C184"/>
    </sheetView>
  </sheetViews>
  <cols>
    <col collapsed="false" hidden="false" max="1" min="1" style="0" width="8.56862745098039"/>
    <col collapsed="false" hidden="false" max="2" min="2" style="0" width="12.9058823529412"/>
    <col collapsed="false" hidden="false" max="3" min="3" style="0" width="14.9137254901961"/>
    <col collapsed="false" hidden="false" max="4" min="4" style="0" width="16.0705882352941"/>
    <col collapsed="false" hidden="false" max="5" min="5" style="0" width="17.0745098039216"/>
    <col collapsed="false" hidden="false" max="6" min="6" style="0" width="14.2"/>
    <col collapsed="false" hidden="false" max="7" min="7" style="0" width="13.6235294117647"/>
    <col collapsed="false" hidden="false" max="8" min="8" style="0" width="15.0588235294118"/>
    <col collapsed="false" hidden="false" max="9" min="9" style="0" width="14.3411764705882"/>
    <col collapsed="false" hidden="false" max="10" min="10" style="0" width="13.9098039215686"/>
    <col collapsed="false" hidden="false" max="11" min="11" style="0" width="13.4823529411765"/>
    <col collapsed="false" hidden="false" max="12" min="12" style="0" width="16.2078431372549"/>
    <col collapsed="false" hidden="false" max="13" min="13" style="0" width="14.3411764705882"/>
    <col collapsed="false" hidden="false" max="1025" min="14" style="0" width="8.56862745098039"/>
  </cols>
  <sheetData>
    <row collapsed="false" customFormat="false" customHeight="false" hidden="false" ht="14" outlineLevel="0" r="1">
      <c r="F1" s="0" t="s">
        <v>29</v>
      </c>
    </row>
    <row collapsed="false" customFormat="false" customHeight="false" hidden="false" ht="14" outlineLevel="0" r="2">
      <c r="E2" s="0" t="s">
        <v>30</v>
      </c>
      <c r="G2" s="0" t="n">
        <v>1</v>
      </c>
      <c r="H2" s="0" t="n">
        <v>2</v>
      </c>
      <c r="I2" s="0" t="n">
        <v>3</v>
      </c>
      <c r="J2" s="0" t="n">
        <v>4</v>
      </c>
      <c r="K2" s="0" t="n">
        <v>5</v>
      </c>
      <c r="L2" s="0" t="n">
        <v>6</v>
      </c>
      <c r="M2" s="0" t="s">
        <v>31</v>
      </c>
    </row>
    <row collapsed="false" customFormat="false" customHeight="false" hidden="false" ht="14" outlineLevel="0" r="3">
      <c r="D3" s="3"/>
      <c r="E3" s="0" t="s">
        <v>22</v>
      </c>
      <c r="G3" s="3" t="s">
        <v>23</v>
      </c>
      <c r="H3" s="3" t="s">
        <v>23</v>
      </c>
      <c r="I3" s="3" t="s">
        <v>25</v>
      </c>
      <c r="J3" s="3" t="s">
        <v>25</v>
      </c>
      <c r="K3" s="3" t="s">
        <v>28</v>
      </c>
      <c r="L3" s="3" t="s">
        <v>32</v>
      </c>
    </row>
    <row collapsed="false" customFormat="false" customHeight="false" hidden="false" ht="14" outlineLevel="0" r="4">
      <c r="D4" s="3"/>
      <c r="E4" s="0" t="s">
        <v>33</v>
      </c>
      <c r="G4" s="9" t="n">
        <v>318725</v>
      </c>
      <c r="H4" s="9" t="n">
        <v>375685</v>
      </c>
      <c r="I4" s="9" t="n">
        <v>479875</v>
      </c>
      <c r="J4" s="9" t="n">
        <v>525400</v>
      </c>
      <c r="K4" s="9" t="n">
        <v>515425</v>
      </c>
      <c r="L4" s="9" t="n">
        <v>485000</v>
      </c>
      <c r="M4" s="10" t="n">
        <f aca="false">SUM(G4:L4)</f>
        <v>2700110</v>
      </c>
    </row>
    <row collapsed="false" customFormat="false" customHeight="false" hidden="false" ht="14" outlineLevel="0" r="5">
      <c r="D5" s="3"/>
      <c r="E5" s="9"/>
      <c r="I5" s="10"/>
    </row>
    <row collapsed="false" customFormat="false" customHeight="false" hidden="false" ht="14" outlineLevel="0" r="6">
      <c r="A6" s="0" t="s">
        <v>34</v>
      </c>
      <c r="D6" s="3"/>
      <c r="E6" s="9"/>
      <c r="J6" s="10"/>
    </row>
    <row collapsed="false" customFormat="false" customHeight="false" hidden="true" ht="28.35" outlineLevel="1" r="7">
      <c r="B7" s="11" t="s">
        <v>35</v>
      </c>
      <c r="C7" s="11" t="s">
        <v>36</v>
      </c>
      <c r="D7" s="11" t="s">
        <v>22</v>
      </c>
      <c r="E7" s="12" t="s">
        <v>37</v>
      </c>
      <c r="F7" s="11" t="s">
        <v>38</v>
      </c>
      <c r="K7" s="10"/>
    </row>
    <row collapsed="false" customFormat="false" customHeight="false" hidden="true" ht="14" outlineLevel="1" r="8">
      <c r="B8" s="8" t="n">
        <f aca="false">+'bid input'!B2</f>
        <v>1104134</v>
      </c>
      <c r="C8" s="13" t="n">
        <f aca="false">+'bid input'!H2</f>
        <v>0</v>
      </c>
      <c r="D8" s="8" t="n">
        <f aca="false">+'bid input'!I2</f>
        <v>0</v>
      </c>
      <c r="E8" s="14" t="str">
        <f aca="false">+IF('bid input'!O2=1,"Y","N")</f>
        <v>N</v>
      </c>
      <c r="F8" s="15" t="inlineStr">
        <f aca="false">+'bid input'!K2</f>
        <is>
          <t/>
        </is>
      </c>
      <c r="G8" s="10" t="n">
        <f aca="false">+IF(AND($E8="Y",$C8=G$2,$C8&gt;0),'bid input'!$F2,IF(AND($E8="Y",$D8=G$3,$C8=0),'bid input'!$F2,0))*G$4</f>
        <v>0</v>
      </c>
      <c r="H8" s="10" t="n">
        <f aca="false">+IF(AND($E8="Y",$C8=H$2,$C8&gt;0),'bid input'!$F2,IF(AND($E8="Y",$D8=H$3,$C8=0),'bid input'!$F2,0))*H$4</f>
        <v>0</v>
      </c>
      <c r="I8" s="10" t="n">
        <f aca="false">+IF(AND($E8="Y",$C8=I$2,$C8&gt;0),'bid input'!$F2,IF(AND($E8="Y",$D8=I$3,$C8=0),'bid input'!$F2,0))*I$4</f>
        <v>0</v>
      </c>
      <c r="J8" s="10" t="n">
        <f aca="false">+IF(AND($E8="Y",$C8=J$2,$C8&gt;0),'bid input'!$F2,IF(AND($E8="Y",$D8=J$3,$C8=0),'bid input'!$F2,0))*J$4</f>
        <v>0</v>
      </c>
      <c r="K8" s="10" t="n">
        <f aca="false">+IF(AND($E8="Y",$C8=K$2,$C8&gt;0),'bid input'!$F2,IF(AND($E8="Y",$D8=K$3,$C8=0),'bid input'!$F2,0))*K$4</f>
        <v>0</v>
      </c>
      <c r="L8" s="10" t="n">
        <f aca="false">+IF(AND($E8="Y",$C8=L$2,$C8&gt;0),'bid input'!$F2,IF(AND($E8="Y",$D8=L$3,$C8=0),'bid input'!$F2,0))*L$4</f>
        <v>0</v>
      </c>
      <c r="M8" s="10" t="n">
        <f aca="false">SUM(G8:L8)</f>
        <v>0</v>
      </c>
    </row>
    <row collapsed="false" customFormat="false" customHeight="false" hidden="true" ht="14" outlineLevel="1" r="9">
      <c r="B9" s="8" t="n">
        <f aca="false">+'bid input'!B3</f>
        <v>1104143</v>
      </c>
      <c r="C9" s="13" t="n">
        <f aca="false">+'bid input'!H3</f>
        <v>0</v>
      </c>
      <c r="D9" s="0" t="str">
        <f aca="false">+'bid input'!I3</f>
        <v>ABC Mortgage</v>
      </c>
      <c r="E9" s="14" t="str">
        <f aca="false">+IF('bid input'!O3=1,"Y","N")</f>
        <v>N</v>
      </c>
      <c r="F9" s="15" t="inlineStr">
        <f aca="false">+'bid input'!K3</f>
        <is>
          <t/>
        </is>
      </c>
      <c r="G9" s="10" t="n">
        <f aca="false">+IF(AND($E9="Y",$C9=G$2,$C9&gt;0),'bid input'!$F3,IF(AND($E9="Y",$D9=G$3,$C9=0),'bid input'!$F3,0))*G$4</f>
        <v>0</v>
      </c>
      <c r="H9" s="10" t="n">
        <f aca="false">+IF(AND($E9="Y",$C9=H$2,$C9&gt;0),'bid input'!$F3,IF(AND($E9="Y",$D9=H$3,$C9=0),'bid input'!$F3,0))*H$4</f>
        <v>0</v>
      </c>
      <c r="I9" s="10" t="n">
        <f aca="false">+IF(AND($E9="Y",$C9=I$2,$C9&gt;0),'bid input'!$F3,IF(AND($E9="Y",$D9=I$3,$C9=0),'bid input'!$F3,0))*I$4</f>
        <v>0</v>
      </c>
      <c r="J9" s="10" t="n">
        <f aca="false">+IF(AND($E9="Y",$C9=J$2,$C9&gt;0),'bid input'!$F3,IF(AND($E9="Y",$D9=J$3,$C9=0),'bid input'!$F3,0))*J$4</f>
        <v>0</v>
      </c>
      <c r="K9" s="10" t="n">
        <f aca="false">+IF(AND($E9="Y",$C9=K$2,$C9&gt;0),'bid input'!$F3,IF(AND($E9="Y",$D9=K$3,$C9=0),'bid input'!$F3,0))*K$4</f>
        <v>0</v>
      </c>
      <c r="L9" s="10" t="n">
        <f aca="false">+IF(AND($E9="Y",$C9=L$2,$C9&gt;0),'bid input'!$F3,IF(AND($E9="Y",$D9=L$3,$C9=0),'bid input'!$F3,0))*L$4</f>
        <v>0</v>
      </c>
      <c r="M9" s="10" t="n">
        <f aca="false">SUM(G9:L9)</f>
        <v>0</v>
      </c>
    </row>
    <row collapsed="false" customFormat="false" customHeight="false" hidden="true" ht="14" outlineLevel="1" r="10">
      <c r="B10" s="8" t="n">
        <f aca="false">+'bid input'!B4</f>
        <v>1104154</v>
      </c>
      <c r="C10" s="13" t="n">
        <f aca="false">+'bid input'!H4</f>
        <v>0</v>
      </c>
      <c r="D10" s="8" t="n">
        <f aca="false">+'bid input'!I4</f>
        <v>0</v>
      </c>
      <c r="E10" s="14" t="str">
        <f aca="false">+IF('bid input'!O4=1,"Y","N")</f>
        <v>N</v>
      </c>
      <c r="F10" s="15" t="inlineStr">
        <f aca="false">+'bid input'!K4</f>
        <is>
          <t/>
        </is>
      </c>
      <c r="G10" s="10" t="n">
        <f aca="false">+IF(AND($E10="Y",$C10=G$2,$C10&gt;0),'bid input'!$F4,IF(AND($E10="Y",$D10=G$3,$C10=0),'bid input'!$F4,0))*G$4</f>
        <v>0</v>
      </c>
      <c r="H10" s="10" t="n">
        <f aca="false">+IF(AND($E10="Y",$C10=H$2,$C10&gt;0),'bid input'!$F4,IF(AND($E10="Y",$D10=H$3,$C10=0),'bid input'!$F4,0))*H$4</f>
        <v>0</v>
      </c>
      <c r="I10" s="10" t="n">
        <f aca="false">+IF(AND($E10="Y",$C10=I$2,$C10&gt;0),'bid input'!$F4,IF(AND($E10="Y",$D10=I$3,$C10=0),'bid input'!$F4,0))*I$4</f>
        <v>0</v>
      </c>
      <c r="J10" s="10" t="n">
        <f aca="false">+IF(AND($E10="Y",$C10=J$2,$C10&gt;0),'bid input'!$F4,IF(AND($E10="Y",$D10=J$3,$C10=0),'bid input'!$F4,0))*J$4</f>
        <v>0</v>
      </c>
      <c r="K10" s="10" t="n">
        <f aca="false">+IF(AND($E10="Y",$C10=K$2,$C10&gt;0),'bid input'!$F4,IF(AND($E10="Y",$D10=K$3,$C10=0),'bid input'!$F4,0))*K$4</f>
        <v>0</v>
      </c>
      <c r="L10" s="10" t="n">
        <f aca="false">+IF(AND($E10="Y",$C10=L$2,$C10&gt;0),'bid input'!$F4,IF(AND($E10="Y",$D10=L$3,$C10=0),'bid input'!$F4,0))*L$4</f>
        <v>0</v>
      </c>
      <c r="M10" s="10" t="n">
        <f aca="false">SUM(G10:L10)</f>
        <v>0</v>
      </c>
    </row>
    <row collapsed="false" customFormat="false" customHeight="false" hidden="true" ht="14" outlineLevel="1" r="11">
      <c r="B11" s="8" t="n">
        <f aca="false">+'bid input'!B5</f>
        <v>1104152</v>
      </c>
      <c r="C11" s="13" t="n">
        <f aca="false">+'bid input'!H5</f>
        <v>0</v>
      </c>
      <c r="D11" s="0" t="str">
        <f aca="false">+'bid input'!I5</f>
        <v>Prime Lending</v>
      </c>
      <c r="E11" s="14" t="str">
        <f aca="false">+IF('bid input'!O5=1,"Y","N")</f>
        <v>Y</v>
      </c>
      <c r="F11" s="15" t="inlineStr">
        <f aca="false">+'bid input'!K5</f>
        <is>
          <t/>
        </is>
      </c>
      <c r="G11" s="10" t="n">
        <f aca="false">+IF(AND($E11="Y",$C11=G$2,$C11&gt;0),'bid input'!$F5,IF(AND($E11="Y",$D11=G$3,$C11=0),'bid input'!$F5,0))*G$4</f>
        <v>0</v>
      </c>
      <c r="H11" s="10" t="n">
        <f aca="false">+IF(AND($E11="Y",$C11=H$2,$C11&gt;0),'bid input'!$F5,IF(AND($E11="Y",$D11=H$3,$C11=0),'bid input'!$F5,0))*H$4</f>
        <v>0</v>
      </c>
      <c r="I11" s="10" t="n">
        <f aca="false">+IF(AND($E11="Y",$C11=I$2,$C11&gt;0),'bid input'!$F5,IF(AND($E11="Y",$D11=I$3,$C11=0),'bid input'!$F5,0))*I$4</f>
        <v>95975</v>
      </c>
      <c r="J11" s="10" t="n">
        <f aca="false">+IF(AND($E11="Y",$C11=J$2,$C11&gt;0),'bid input'!$F5,IF(AND($E11="Y",$D11=J$3,$C11=0),'bid input'!$F5,0))*J$4</f>
        <v>105080</v>
      </c>
      <c r="K11" s="10" t="n">
        <f aca="false">+IF(AND($E11="Y",$C11=K$2,$C11&gt;0),'bid input'!$F5,IF(AND($E11="Y",$D11=K$3,$C11=0),'bid input'!$F5,0))*K$4</f>
        <v>0</v>
      </c>
      <c r="L11" s="10" t="n">
        <f aca="false">+IF(AND($E11="Y",$C11=L$2,$C11&gt;0),'bid input'!$F5,IF(AND($E11="Y",$D11=L$3,$C11=0),'bid input'!$F5,0))*L$4</f>
        <v>0</v>
      </c>
      <c r="M11" s="10" t="n">
        <f aca="false">SUM(G11:L11)</f>
        <v>201055</v>
      </c>
    </row>
    <row collapsed="false" customFormat="false" customHeight="false" hidden="true" ht="14" outlineLevel="1" r="12">
      <c r="B12" s="8" t="n">
        <f aca="false">+'bid input'!B6</f>
        <v>1104136</v>
      </c>
      <c r="C12" s="13" t="n">
        <f aca="false">+'bid input'!H6</f>
        <v>4</v>
      </c>
      <c r="D12" s="8" t="n">
        <f aca="false">+'bid input'!I6</f>
        <v>0</v>
      </c>
      <c r="E12" s="14" t="str">
        <f aca="false">+IF('bid input'!O6=1,"Y","N")</f>
        <v>Y</v>
      </c>
      <c r="F12" s="15" t="inlineStr">
        <f aca="false">+'bid input'!K6</f>
        <is>
          <t/>
        </is>
      </c>
      <c r="G12" s="10" t="n">
        <f aca="false">+IF(AND($E12="Y",$C12=G$2,$C12&gt;0),'bid input'!$F6,IF(AND($E12="Y",$D12=G$3,$C12=0),'bid input'!$F6,0))*G$4</f>
        <v>0</v>
      </c>
      <c r="H12" s="10" t="n">
        <f aca="false">+IF(AND($E12="Y",$C12=H$2,$C12&gt;0),'bid input'!$F6,IF(AND($E12="Y",$D12=H$3,$C12=0),'bid input'!$F6,0))*H$4</f>
        <v>0</v>
      </c>
      <c r="I12" s="10" t="n">
        <f aca="false">+IF(AND($E12="Y",$C12=I$2,$C12&gt;0),'bid input'!$F6,IF(AND($E12="Y",$D12=I$3,$C12=0),'bid input'!$F6,0))*I$4</f>
        <v>0</v>
      </c>
      <c r="J12" s="10" t="n">
        <f aca="false">+IF(AND($E12="Y",$C12=J$2,$C12&gt;0),'bid input'!$F6,IF(AND($E12="Y",$D12=J$3,$C12=0),'bid input'!$F6,0))*J$4</f>
        <v>105080</v>
      </c>
      <c r="K12" s="10" t="n">
        <f aca="false">+IF(AND($E12="Y",$C12=K$2,$C12&gt;0),'bid input'!$F6,IF(AND($E12="Y",$D12=K$3,$C12=0),'bid input'!$F6,0))*K$4</f>
        <v>0</v>
      </c>
      <c r="L12" s="10" t="n">
        <f aca="false">+IF(AND($E12="Y",$C12=L$2,$C12&gt;0),'bid input'!$F6,IF(AND($E12="Y",$D12=L$3,$C12=0),'bid input'!$F6,0))*L$4</f>
        <v>0</v>
      </c>
      <c r="M12" s="10" t="n">
        <f aca="false">SUM(G12:L12)</f>
        <v>105080</v>
      </c>
    </row>
    <row collapsed="false" customFormat="false" customHeight="false" hidden="true" ht="14" outlineLevel="1" r="13">
      <c r="B13" s="8" t="n">
        <f aca="false">+'bid input'!B7</f>
        <v>1104138</v>
      </c>
      <c r="C13" s="13" t="n">
        <f aca="false">+'bid input'!H7</f>
        <v>0</v>
      </c>
      <c r="D13" s="8" t="n">
        <f aca="false">+'bid input'!I7</f>
        <v>0</v>
      </c>
      <c r="E13" s="14" t="str">
        <f aca="false">+IF('bid input'!O7=1,"Y","N")</f>
        <v>N</v>
      </c>
      <c r="F13" s="15" t="inlineStr">
        <f aca="false">+'bid input'!K7</f>
        <is>
          <t/>
        </is>
      </c>
      <c r="G13" s="10" t="n">
        <f aca="false">+IF(AND($E13="Y",$C13=G$2,$C13&gt;0),'bid input'!$F7,IF(AND($E13="Y",$D13=G$3,$C13=0),'bid input'!$F7,0))*G$4</f>
        <v>0</v>
      </c>
      <c r="H13" s="10" t="n">
        <f aca="false">+IF(AND($E13="Y",$C13=H$2,$C13&gt;0),'bid input'!$F7,IF(AND($E13="Y",$D13=H$3,$C13=0),'bid input'!$F7,0))*H$4</f>
        <v>0</v>
      </c>
      <c r="I13" s="10" t="n">
        <f aca="false">+IF(AND($E13="Y",$C13=I$2,$C13&gt;0),'bid input'!$F7,IF(AND($E13="Y",$D13=I$3,$C13=0),'bid input'!$F7,0))*I$4</f>
        <v>0</v>
      </c>
      <c r="J13" s="10" t="n">
        <f aca="false">+IF(AND($E13="Y",$C13=J$2,$C13&gt;0),'bid input'!$F7,IF(AND($E13="Y",$D13=J$3,$C13=0),'bid input'!$F7,0))*J$4</f>
        <v>0</v>
      </c>
      <c r="K13" s="10" t="n">
        <f aca="false">+IF(AND($E13="Y",$C13=K$2,$C13&gt;0),'bid input'!$F7,IF(AND($E13="Y",$D13=K$3,$C13=0),'bid input'!$F7,0))*K$4</f>
        <v>0</v>
      </c>
      <c r="L13" s="10" t="n">
        <f aca="false">+IF(AND($E13="Y",$C13=L$2,$C13&gt;0),'bid input'!$F7,IF(AND($E13="Y",$D13=L$3,$C13=0),'bid input'!$F7,0))*L$4</f>
        <v>0</v>
      </c>
      <c r="M13" s="10" t="n">
        <f aca="false">SUM(G13:L13)</f>
        <v>0</v>
      </c>
    </row>
    <row collapsed="false" customFormat="false" customHeight="false" hidden="true" ht="14" outlineLevel="1" r="14">
      <c r="B14" s="8" t="n">
        <f aca="false">+'bid input'!B8</f>
        <v>1104139</v>
      </c>
      <c r="C14" s="13" t="n">
        <f aca="false">+'bid input'!H8</f>
        <v>0</v>
      </c>
      <c r="D14" s="8" t="n">
        <f aca="false">+'bid input'!I8</f>
        <v>0</v>
      </c>
      <c r="E14" s="14" t="str">
        <f aca="false">+IF('bid input'!O8=1,"Y","N")</f>
        <v>N</v>
      </c>
      <c r="F14" s="15" t="inlineStr">
        <f aca="false">+'bid input'!K8</f>
        <is>
          <t/>
        </is>
      </c>
      <c r="G14" s="10" t="n">
        <f aca="false">+IF(AND($E14="Y",$C14=G$2,$C14&gt;0),'bid input'!$F8,IF(AND($E14="Y",$D14=G$3,$C14=0),'bid input'!$F8,0))*G$4</f>
        <v>0</v>
      </c>
      <c r="H14" s="10" t="n">
        <f aca="false">+IF(AND($E14="Y",$C14=H$2,$C14&gt;0),'bid input'!$F8,IF(AND($E14="Y",$D14=H$3,$C14=0),'bid input'!$F8,0))*H$4</f>
        <v>0</v>
      </c>
      <c r="I14" s="10" t="n">
        <f aca="false">+IF(AND($E14="Y",$C14=I$2,$C14&gt;0),'bid input'!$F8,IF(AND($E14="Y",$D14=I$3,$C14=0),'bid input'!$F8,0))*I$4</f>
        <v>0</v>
      </c>
      <c r="J14" s="10" t="n">
        <f aca="false">+IF(AND($E14="Y",$C14=J$2,$C14&gt;0),'bid input'!$F8,IF(AND($E14="Y",$D14=J$3,$C14=0),'bid input'!$F8,0))*J$4</f>
        <v>0</v>
      </c>
      <c r="K14" s="10" t="n">
        <f aca="false">+IF(AND($E14="Y",$C14=K$2,$C14&gt;0),'bid input'!$F8,IF(AND($E14="Y",$D14=K$3,$C14=0),'bid input'!$F8,0))*K$4</f>
        <v>0</v>
      </c>
      <c r="L14" s="10" t="n">
        <f aca="false">+IF(AND($E14="Y",$C14=L$2,$C14&gt;0),'bid input'!$F8,IF(AND($E14="Y",$D14=L$3,$C14=0),'bid input'!$F8,0))*L$4</f>
        <v>0</v>
      </c>
      <c r="M14" s="10" t="n">
        <f aca="false">SUM(G14:L14)</f>
        <v>0</v>
      </c>
    </row>
    <row collapsed="false" customFormat="false" customHeight="false" hidden="true" ht="14" outlineLevel="1" r="15">
      <c r="B15" s="8" t="n">
        <f aca="false">+'bid input'!B9</f>
        <v>1104140</v>
      </c>
      <c r="C15" s="13" t="n">
        <f aca="false">+'bid input'!H9</f>
        <v>5</v>
      </c>
      <c r="D15" s="8" t="n">
        <f aca="false">+'bid input'!I9</f>
        <v>0</v>
      </c>
      <c r="E15" s="14" t="str">
        <f aca="false">+IF('bid input'!O9=1,"Y","N")</f>
        <v>Y</v>
      </c>
      <c r="F15" s="15" t="inlineStr">
        <f aca="false">+'bid input'!K9</f>
        <is>
          <t/>
        </is>
      </c>
      <c r="G15" s="10" t="n">
        <f aca="false">+IF(AND($E15="Y",$C15=G$2,$C15&gt;0),'bid input'!$F9,IF(AND($E15="Y",$D15=G$3,$C15=0),'bid input'!$F9,0))*G$4</f>
        <v>0</v>
      </c>
      <c r="H15" s="10" t="n">
        <f aca="false">+IF(AND($E15="Y",$C15=H$2,$C15&gt;0),'bid input'!$F9,IF(AND($E15="Y",$D15=H$3,$C15=0),'bid input'!$F9,0))*H$4</f>
        <v>0</v>
      </c>
      <c r="I15" s="10" t="n">
        <f aca="false">+IF(AND($E15="Y",$C15=I$2,$C15&gt;0),'bid input'!$F9,IF(AND($E15="Y",$D15=I$3,$C15=0),'bid input'!$F9,0))*I$4</f>
        <v>0</v>
      </c>
      <c r="J15" s="10" t="n">
        <f aca="false">+IF(AND($E15="Y",$C15=J$2,$C15&gt;0),'bid input'!$F9,IF(AND($E15="Y",$D15=J$3,$C15=0),'bid input'!$F9,0))*J$4</f>
        <v>0</v>
      </c>
      <c r="K15" s="10" t="n">
        <f aca="false">+IF(AND($E15="Y",$C15=K$2,$C15&gt;0),'bid input'!$F9,IF(AND($E15="Y",$D15=K$3,$C15=0),'bid input'!$F9,0))*K$4</f>
        <v>103085</v>
      </c>
      <c r="L15" s="10" t="n">
        <f aca="false">+IF(AND($E15="Y",$C15=L$2,$C15&gt;0),'bid input'!$F9,IF(AND($E15="Y",$D15=L$3,$C15=0),'bid input'!$F9,0))*L$4</f>
        <v>0</v>
      </c>
      <c r="M15" s="10" t="n">
        <f aca="false">SUM(G15:L15)</f>
        <v>103085</v>
      </c>
    </row>
    <row collapsed="false" customFormat="false" customHeight="false" hidden="true" ht="14" outlineLevel="1" r="16">
      <c r="B16" s="8" t="n">
        <f aca="false">+'bid input'!B10</f>
        <v>1104141</v>
      </c>
      <c r="C16" s="13" t="n">
        <f aca="false">+'bid input'!H10</f>
        <v>0</v>
      </c>
      <c r="D16" s="8" t="n">
        <f aca="false">+'bid input'!I10</f>
        <v>0</v>
      </c>
      <c r="E16" s="14" t="str">
        <f aca="false">+IF('bid input'!O10=1,"Y","N")</f>
        <v>N</v>
      </c>
      <c r="F16" s="15" t="inlineStr">
        <f aca="false">+'bid input'!K10</f>
        <is>
          <t/>
        </is>
      </c>
      <c r="G16" s="10" t="n">
        <f aca="false">+IF(AND($E16="Y",$C16=G$2,$C16&gt;0),'bid input'!$F10,IF(AND($E16="Y",$D16=G$3,$C16=0),'bid input'!$F10,0))*G$4</f>
        <v>0</v>
      </c>
      <c r="H16" s="10" t="n">
        <f aca="false">+IF(AND($E16="Y",$C16=H$2,$C16&gt;0),'bid input'!$F10,IF(AND($E16="Y",$D16=H$3,$C16=0),'bid input'!$F10,0))*H$4</f>
        <v>0</v>
      </c>
      <c r="I16" s="10" t="n">
        <f aca="false">+IF(AND($E16="Y",$C16=I$2,$C16&gt;0),'bid input'!$F10,IF(AND($E16="Y",$D16=I$3,$C16=0),'bid input'!$F10,0))*I$4</f>
        <v>0</v>
      </c>
      <c r="J16" s="10" t="n">
        <f aca="false">+IF(AND($E16="Y",$C16=J$2,$C16&gt;0),'bid input'!$F10,IF(AND($E16="Y",$D16=J$3,$C16=0),'bid input'!$F10,0))*J$4</f>
        <v>0</v>
      </c>
      <c r="K16" s="10" t="n">
        <f aca="false">+IF(AND($E16="Y",$C16=K$2,$C16&gt;0),'bid input'!$F10,IF(AND($E16="Y",$D16=K$3,$C16=0),'bid input'!$F10,0))*K$4</f>
        <v>0</v>
      </c>
      <c r="L16" s="10" t="n">
        <f aca="false">+IF(AND($E16="Y",$C16=L$2,$C16&gt;0),'bid input'!$F10,IF(AND($E16="Y",$D16=L$3,$C16=0),'bid input'!$F10,0))*L$4</f>
        <v>0</v>
      </c>
      <c r="M16" s="10" t="n">
        <f aca="false">SUM(G16:L16)</f>
        <v>0</v>
      </c>
    </row>
    <row collapsed="false" customFormat="false" customHeight="false" hidden="true" ht="14" outlineLevel="1" r="17">
      <c r="B17" s="8" t="n">
        <f aca="false">+'bid input'!B11</f>
        <v>1104159</v>
      </c>
      <c r="C17" s="13" t="n">
        <f aca="false">+'bid input'!H11</f>
        <v>1</v>
      </c>
      <c r="D17" s="8" t="n">
        <f aca="false">+'bid input'!I11</f>
        <v>0</v>
      </c>
      <c r="E17" s="14" t="str">
        <f aca="false">+IF('bid input'!O11=1,"Y","N")</f>
        <v>N</v>
      </c>
      <c r="F17" s="15" t="inlineStr">
        <f aca="false">+'bid input'!K11</f>
        <is>
          <t/>
        </is>
      </c>
      <c r="G17" s="10" t="n">
        <f aca="false">+IF(AND($E17="Y",$C17=G$2,$C17&gt;0),'bid input'!$F11,IF(AND($E17="Y",$D17=G$3,$C17=0),'bid input'!$F11,0))*G$4</f>
        <v>0</v>
      </c>
      <c r="H17" s="10" t="n">
        <f aca="false">+IF(AND($E17="Y",$C17=H$2,$C17&gt;0),'bid input'!$F11,IF(AND($E17="Y",$D17=H$3,$C17=0),'bid input'!$F11,0))*H$4</f>
        <v>0</v>
      </c>
      <c r="I17" s="10" t="n">
        <f aca="false">+IF(AND($E17="Y",$C17=I$2,$C17&gt;0),'bid input'!$F11,IF(AND($E17="Y",$D17=I$3,$C17=0),'bid input'!$F11,0))*I$4</f>
        <v>0</v>
      </c>
      <c r="J17" s="10" t="n">
        <f aca="false">+IF(AND($E17="Y",$C17=J$2,$C17&gt;0),'bid input'!$F11,IF(AND($E17="Y",$D17=J$3,$C17=0),'bid input'!$F11,0))*J$4</f>
        <v>0</v>
      </c>
      <c r="K17" s="10" t="n">
        <f aca="false">+IF(AND($E17="Y",$C17=K$2,$C17&gt;0),'bid input'!$F11,IF(AND($E17="Y",$D17=K$3,$C17=0),'bid input'!$F11,0))*K$4</f>
        <v>0</v>
      </c>
      <c r="L17" s="10" t="n">
        <f aca="false">+IF(AND($E17="Y",$C17=L$2,$C17&gt;0),'bid input'!$F11,IF(AND($E17="Y",$D17=L$3,$C17=0),'bid input'!$F11,0))*L$4</f>
        <v>0</v>
      </c>
      <c r="M17" s="10" t="n">
        <f aca="false">SUM(G17:L17)</f>
        <v>0</v>
      </c>
    </row>
    <row collapsed="false" customFormat="false" customHeight="false" hidden="true" ht="14" outlineLevel="1" r="18">
      <c r="B18" s="8" t="n">
        <f aca="false">+'bid input'!B12</f>
        <v>1104161</v>
      </c>
      <c r="C18" s="13" t="n">
        <f aca="false">+'bid input'!H12</f>
        <v>4</v>
      </c>
      <c r="D18" s="8" t="n">
        <f aca="false">+'bid input'!I12</f>
        <v>0</v>
      </c>
      <c r="E18" s="14" t="str">
        <f aca="false">+IF('bid input'!O12=1,"Y","N")</f>
        <v>N</v>
      </c>
      <c r="F18" s="15" t="inlineStr">
        <f aca="false">+'bid input'!K12</f>
        <is>
          <t/>
        </is>
      </c>
      <c r="G18" s="10" t="n">
        <f aca="false">+IF(AND($E18="Y",$C18=G$2,$C18&gt;0),'bid input'!$F12,IF(AND($E18="Y",$D18=G$3,$C18=0),'bid input'!$F12,0))*G$4</f>
        <v>0</v>
      </c>
      <c r="H18" s="10" t="n">
        <f aca="false">+IF(AND($E18="Y",$C18=H$2,$C18&gt;0),'bid input'!$F12,IF(AND($E18="Y",$D18=H$3,$C18=0),'bid input'!$F12,0))*H$4</f>
        <v>0</v>
      </c>
      <c r="I18" s="10" t="n">
        <f aca="false">+IF(AND($E18="Y",$C18=I$2,$C18&gt;0),'bid input'!$F12,IF(AND($E18="Y",$D18=I$3,$C18=0),'bid input'!$F12,0))*I$4</f>
        <v>0</v>
      </c>
      <c r="J18" s="10" t="n">
        <f aca="false">+IF(AND($E18="Y",$C18=J$2,$C18&gt;0),'bid input'!$F12,IF(AND($E18="Y",$D18=J$3,$C18=0),'bid input'!$F12,0))*J$4</f>
        <v>0</v>
      </c>
      <c r="K18" s="10" t="n">
        <f aca="false">+IF(AND($E18="Y",$C18=K$2,$C18&gt;0),'bid input'!$F12,IF(AND($E18="Y",$D18=K$3,$C18=0),'bid input'!$F12,0))*K$4</f>
        <v>0</v>
      </c>
      <c r="L18" s="10" t="n">
        <f aca="false">+IF(AND($E18="Y",$C18=L$2,$C18&gt;0),'bid input'!$F12,IF(AND($E18="Y",$D18=L$3,$C18=0),'bid input'!$F12,0))*L$4</f>
        <v>0</v>
      </c>
      <c r="M18" s="10" t="n">
        <f aca="false">SUM(G18:L18)</f>
        <v>0</v>
      </c>
    </row>
    <row collapsed="false" customFormat="false" customHeight="false" hidden="true" ht="14" outlineLevel="1" r="19">
      <c r="B19" s="8" t="n">
        <f aca="false">+'bid input'!B13</f>
        <v>1104145</v>
      </c>
      <c r="C19" s="13" t="n">
        <f aca="false">+'bid input'!H13</f>
        <v>1</v>
      </c>
      <c r="D19" s="8" t="n">
        <f aca="false">+'bid input'!I13</f>
        <v>0</v>
      </c>
      <c r="E19" s="14" t="str">
        <f aca="false">+IF('bid input'!O13=1,"Y","N")</f>
        <v>Y</v>
      </c>
      <c r="F19" s="15" t="inlineStr">
        <f aca="false">+'bid input'!K13</f>
        <is>
          <t/>
        </is>
      </c>
      <c r="G19" s="10" t="n">
        <f aca="false">+IF(AND($E19="Y",$C19=G$2,$C19&gt;0),'bid input'!$F13,IF(AND($E19="Y",$D19=G$3,$C19=0),'bid input'!$F13,0))*G$4</f>
        <v>31872.5</v>
      </c>
      <c r="H19" s="10" t="n">
        <f aca="false">+IF(AND($E19="Y",$C19=H$2,$C19&gt;0),'bid input'!$F13,IF(AND($E19="Y",$D19=H$3,$C19=0),'bid input'!$F13,0))*H$4</f>
        <v>0</v>
      </c>
      <c r="I19" s="10" t="n">
        <f aca="false">+IF(AND($E19="Y",$C19=I$2,$C19&gt;0),'bid input'!$F13,IF(AND($E19="Y",$D19=I$3,$C19=0),'bid input'!$F13,0))*I$4</f>
        <v>0</v>
      </c>
      <c r="J19" s="10" t="n">
        <f aca="false">+IF(AND($E19="Y",$C19=J$2,$C19&gt;0),'bid input'!$F13,IF(AND($E19="Y",$D19=J$3,$C19=0),'bid input'!$F13,0))*J$4</f>
        <v>0</v>
      </c>
      <c r="K19" s="10" t="n">
        <f aca="false">+IF(AND($E19="Y",$C19=K$2,$C19&gt;0),'bid input'!$F13,IF(AND($E19="Y",$D19=K$3,$C19=0),'bid input'!$F13,0))*K$4</f>
        <v>0</v>
      </c>
      <c r="L19" s="10" t="n">
        <f aca="false">+IF(AND($E19="Y",$C19=L$2,$C19&gt;0),'bid input'!$F13,IF(AND($E19="Y",$D19=L$3,$C19=0),'bid input'!$F13,0))*L$4</f>
        <v>0</v>
      </c>
      <c r="M19" s="10" t="n">
        <f aca="false">SUM(G19:L19)</f>
        <v>31872.5</v>
      </c>
    </row>
    <row collapsed="false" customFormat="false" customHeight="false" hidden="true" ht="14" outlineLevel="1" r="20">
      <c r="B20" s="8" t="n">
        <f aca="false">+'bid input'!B14</f>
        <v>1104133</v>
      </c>
      <c r="C20" s="13" t="n">
        <f aca="false">+'bid input'!H14</f>
        <v>4</v>
      </c>
      <c r="D20" s="8" t="n">
        <f aca="false">+'bid input'!I14</f>
        <v>0</v>
      </c>
      <c r="E20" s="14" t="str">
        <f aca="false">+IF('bid input'!O14=1,"Y","N")</f>
        <v>Y</v>
      </c>
      <c r="F20" s="15" t="inlineStr">
        <f aca="false">+'bid input'!K14</f>
        <is>
          <t/>
        </is>
      </c>
      <c r="G20" s="10" t="n">
        <f aca="false">+IF(AND($E20="Y",$C20=G$2,$C20&gt;0),'bid input'!$F14,IF(AND($E20="Y",$D20=G$3,$C20=0),'bid input'!$F14,0))*G$4</f>
        <v>0</v>
      </c>
      <c r="H20" s="10" t="n">
        <f aca="false">+IF(AND($E20="Y",$C20=H$2,$C20&gt;0),'bid input'!$F14,IF(AND($E20="Y",$D20=H$3,$C20=0),'bid input'!$F14,0))*H$4</f>
        <v>0</v>
      </c>
      <c r="I20" s="10" t="n">
        <f aca="false">+IF(AND($E20="Y",$C20=I$2,$C20&gt;0),'bid input'!$F14,IF(AND($E20="Y",$D20=I$3,$C20=0),'bid input'!$F14,0))*I$4</f>
        <v>0</v>
      </c>
      <c r="J20" s="10" t="n">
        <f aca="false">+IF(AND($E20="Y",$C20=J$2,$C20&gt;0),'bid input'!$F14,IF(AND($E20="Y",$D20=J$3,$C20=0),'bid input'!$F14,0))*J$4</f>
        <v>105080</v>
      </c>
      <c r="K20" s="10" t="n">
        <f aca="false">+IF(AND($E20="Y",$C20=K$2,$C20&gt;0),'bid input'!$F14,IF(AND($E20="Y",$D20=K$3,$C20=0),'bid input'!$F14,0))*K$4</f>
        <v>0</v>
      </c>
      <c r="L20" s="10" t="n">
        <f aca="false">+IF(AND($E20="Y",$C20=L$2,$C20&gt;0),'bid input'!$F14,IF(AND($E20="Y",$D20=L$3,$C20=0),'bid input'!$F14,0))*L$4</f>
        <v>0</v>
      </c>
      <c r="M20" s="10" t="n">
        <f aca="false">SUM(G20:L20)</f>
        <v>105080</v>
      </c>
    </row>
    <row collapsed="false" customFormat="false" customHeight="false" hidden="true" ht="14" outlineLevel="1" r="21">
      <c r="B21" s="8" t="n">
        <f aca="false">+'bid input'!B15</f>
        <v>1104149</v>
      </c>
      <c r="C21" s="13" t="n">
        <f aca="false">+'bid input'!H15</f>
        <v>5</v>
      </c>
      <c r="D21" s="8" t="n">
        <f aca="false">+'bid input'!I15</f>
        <v>0</v>
      </c>
      <c r="E21" s="14" t="str">
        <f aca="false">+IF('bid input'!O15=1,"Y","N")</f>
        <v>N</v>
      </c>
      <c r="F21" s="15" t="inlineStr">
        <f aca="false">+'bid input'!K15</f>
        <is>
          <t/>
        </is>
      </c>
      <c r="G21" s="10" t="n">
        <f aca="false">+IF(AND($E21="Y",$C21=G$2,$C21&gt;0),'bid input'!$F15,IF(AND($E21="Y",$D21=G$3,$C21=0),'bid input'!$F15,0))*G$4</f>
        <v>0</v>
      </c>
      <c r="H21" s="10" t="n">
        <f aca="false">+IF(AND($E21="Y",$C21=H$2,$C21&gt;0),'bid input'!$F15,IF(AND($E21="Y",$D21=H$3,$C21=0),'bid input'!$F15,0))*H$4</f>
        <v>0</v>
      </c>
      <c r="I21" s="10" t="n">
        <f aca="false">+IF(AND($E21="Y",$C21=I$2,$C21&gt;0),'bid input'!$F15,IF(AND($E21="Y",$D21=I$3,$C21=0),'bid input'!$F15,0))*I$4</f>
        <v>0</v>
      </c>
      <c r="J21" s="10" t="n">
        <f aca="false">+IF(AND($E21="Y",$C21=J$2,$C21&gt;0),'bid input'!$F15,IF(AND($E21="Y",$D21=J$3,$C21=0),'bid input'!$F15,0))*J$4</f>
        <v>0</v>
      </c>
      <c r="K21" s="10" t="n">
        <f aca="false">+IF(AND($E21="Y",$C21=K$2,$C21&gt;0),'bid input'!$F15,IF(AND($E21="Y",$D21=K$3,$C21=0),'bid input'!$F15,0))*K$4</f>
        <v>0</v>
      </c>
      <c r="L21" s="10" t="n">
        <f aca="false">+IF(AND($E21="Y",$C21=L$2,$C21&gt;0),'bid input'!$F15,IF(AND($E21="Y",$D21=L$3,$C21=0),'bid input'!$F15,0))*L$4</f>
        <v>0</v>
      </c>
      <c r="M21" s="10" t="n">
        <f aca="false">SUM(G21:L21)</f>
        <v>0</v>
      </c>
    </row>
    <row collapsed="false" customFormat="false" customHeight="false" hidden="true" ht="14" outlineLevel="1" r="22">
      <c r="B22" s="8" t="n">
        <f aca="false">+'bid input'!B16</f>
        <v>1104151</v>
      </c>
      <c r="C22" s="13" t="n">
        <f aca="false">+'bid input'!H16</f>
        <v>1</v>
      </c>
      <c r="D22" s="8" t="n">
        <f aca="false">+'bid input'!I16</f>
        <v>0</v>
      </c>
      <c r="E22" s="14" t="str">
        <f aca="false">+IF('bid input'!O16=1,"Y","N")</f>
        <v>N</v>
      </c>
      <c r="F22" s="15" t="inlineStr">
        <f aca="false">+'bid input'!K16</f>
        <is>
          <t/>
        </is>
      </c>
      <c r="G22" s="10" t="n">
        <f aca="false">+IF(AND($E22="Y",$C22=G$2,$C22&gt;0),'bid input'!$F16,IF(AND($E22="Y",$D22=G$3,$C22=0),'bid input'!$F16,0))*G$4</f>
        <v>0</v>
      </c>
      <c r="H22" s="10" t="n">
        <f aca="false">+IF(AND($E22="Y",$C22=H$2,$C22&gt;0),'bid input'!$F16,IF(AND($E22="Y",$D22=H$3,$C22=0),'bid input'!$F16,0))*H$4</f>
        <v>0</v>
      </c>
      <c r="I22" s="10" t="n">
        <f aca="false">+IF(AND($E22="Y",$C22=I$2,$C22&gt;0),'bid input'!$F16,IF(AND($E22="Y",$D22=I$3,$C22=0),'bid input'!$F16,0))*I$4</f>
        <v>0</v>
      </c>
      <c r="J22" s="10" t="n">
        <f aca="false">+IF(AND($E22="Y",$C22=J$2,$C22&gt;0),'bid input'!$F16,IF(AND($E22="Y",$D22=J$3,$C22=0),'bid input'!$F16,0))*J$4</f>
        <v>0</v>
      </c>
      <c r="K22" s="10" t="n">
        <f aca="false">+IF(AND($E22="Y",$C22=K$2,$C22&gt;0),'bid input'!$F16,IF(AND($E22="Y",$D22=K$3,$C22=0),'bid input'!$F16,0))*K$4</f>
        <v>0</v>
      </c>
      <c r="L22" s="10" t="n">
        <f aca="false">+IF(AND($E22="Y",$C22=L$2,$C22&gt;0),'bid input'!$F16,IF(AND($E22="Y",$D22=L$3,$C22=0),'bid input'!$F16,0))*L$4</f>
        <v>0</v>
      </c>
      <c r="M22" s="10" t="n">
        <f aca="false">SUM(G22:L22)</f>
        <v>0</v>
      </c>
    </row>
    <row collapsed="false" customFormat="false" customHeight="false" hidden="true" ht="14" outlineLevel="1" r="23">
      <c r="B23" s="8" t="n">
        <f aca="false">+'bid input'!B17</f>
        <v>1104131</v>
      </c>
      <c r="C23" s="13" t="n">
        <f aca="false">+'bid input'!H17</f>
        <v>0</v>
      </c>
      <c r="D23" s="8" t="n">
        <f aca="false">+'bid input'!I17</f>
        <v>0</v>
      </c>
      <c r="E23" s="14" t="str">
        <f aca="false">+IF('bid input'!O17=1,"Y","N")</f>
        <v>N</v>
      </c>
      <c r="F23" s="15" t="inlineStr">
        <f aca="false">+'bid input'!K17</f>
        <is>
          <t/>
        </is>
      </c>
      <c r="G23" s="10" t="n">
        <f aca="false">+IF(AND($E23="Y",$C23=G$2,$C23&gt;0),'bid input'!$F17,IF(AND($E23="Y",$D23=G$3,$C23=0),'bid input'!$F17,0))*G$4</f>
        <v>0</v>
      </c>
      <c r="H23" s="10" t="n">
        <f aca="false">+IF(AND($E23="Y",$C23=H$2,$C23&gt;0),'bid input'!$F17,IF(AND($E23="Y",$D23=H$3,$C23=0),'bid input'!$F17,0))*H$4</f>
        <v>0</v>
      </c>
      <c r="I23" s="10" t="n">
        <f aca="false">+IF(AND($E23="Y",$C23=I$2,$C23&gt;0),'bid input'!$F17,IF(AND($E23="Y",$D23=I$3,$C23=0),'bid input'!$F17,0))*I$4</f>
        <v>0</v>
      </c>
      <c r="J23" s="10" t="n">
        <f aca="false">+IF(AND($E23="Y",$C23=J$2,$C23&gt;0),'bid input'!$F17,IF(AND($E23="Y",$D23=J$3,$C23=0),'bid input'!$F17,0))*J$4</f>
        <v>0</v>
      </c>
      <c r="K23" s="10" t="n">
        <f aca="false">+IF(AND($E23="Y",$C23=K$2,$C23&gt;0),'bid input'!$F17,IF(AND($E23="Y",$D23=K$3,$C23=0),'bid input'!$F17,0))*K$4</f>
        <v>0</v>
      </c>
      <c r="L23" s="10" t="n">
        <f aca="false">+IF(AND($E23="Y",$C23=L$2,$C23&gt;0),'bid input'!$F17,IF(AND($E23="Y",$D23=L$3,$C23=0),'bid input'!$F17,0))*L$4</f>
        <v>0</v>
      </c>
      <c r="M23" s="10" t="n">
        <f aca="false">SUM(G23:L23)</f>
        <v>0</v>
      </c>
    </row>
    <row collapsed="false" customFormat="false" customHeight="false" hidden="true" ht="14" outlineLevel="1" r="24">
      <c r="B24" s="8" t="n">
        <f aca="false">+'bid input'!B18</f>
        <v>1104155</v>
      </c>
      <c r="C24" s="13" t="n">
        <f aca="false">+'bid input'!H18</f>
        <v>0</v>
      </c>
      <c r="D24" s="0" t="str">
        <f aca="false">+'bid input'!I18</f>
        <v>Best Loans Inc</v>
      </c>
      <c r="E24" s="14" t="str">
        <f aca="false">+IF('bid input'!O18=1,"Y","N")</f>
        <v>Y</v>
      </c>
      <c r="F24" s="15" t="inlineStr">
        <f aca="false">+'bid input'!K18</f>
        <is>
          <t/>
        </is>
      </c>
      <c r="G24" s="10" t="n">
        <f aca="false">+IF(AND($E24="Y",$C24=G$2,$C24&gt;0),'bid input'!$F18,IF(AND($E24="Y",$D24=G$3,$C24=0),'bid input'!$F18,0))*G$4</f>
        <v>0</v>
      </c>
      <c r="H24" s="10" t="n">
        <f aca="false">+IF(AND($E24="Y",$C24=H$2,$C24&gt;0),'bid input'!$F18,IF(AND($E24="Y",$D24=H$3,$C24=0),'bid input'!$F18,0))*H$4</f>
        <v>0</v>
      </c>
      <c r="I24" s="10" t="n">
        <f aca="false">+IF(AND($E24="Y",$C24=I$2,$C24&gt;0),'bid input'!$F18,IF(AND($E24="Y",$D24=I$3,$C24=0),'bid input'!$F18,0))*I$4</f>
        <v>0</v>
      </c>
      <c r="J24" s="10" t="n">
        <f aca="false">+IF(AND($E24="Y",$C24=J$2,$C24&gt;0),'bid input'!$F18,IF(AND($E24="Y",$D24=J$3,$C24=0),'bid input'!$F18,0))*J$4</f>
        <v>0</v>
      </c>
      <c r="K24" s="10" t="n">
        <f aca="false">+IF(AND($E24="Y",$C24=K$2,$C24&gt;0),'bid input'!$F18,IF(AND($E24="Y",$D24=K$3,$C24=0),'bid input'!$F18,0))*K$4</f>
        <v>103085</v>
      </c>
      <c r="L24" s="10" t="n">
        <f aca="false">+IF(AND($E24="Y",$C24=L$2,$C24&gt;0),'bid input'!$F18,IF(AND($E24="Y",$D24=L$3,$C24=0),'bid input'!$F18,0))*L$4</f>
        <v>0</v>
      </c>
      <c r="M24" s="10" t="n">
        <f aca="false">SUM(G24:L24)</f>
        <v>103085</v>
      </c>
    </row>
    <row collapsed="false" customFormat="false" customHeight="false" hidden="true" ht="14" outlineLevel="1" r="25">
      <c r="B25" s="8" t="n">
        <f aca="false">+'bid input'!B19</f>
        <v>1104156</v>
      </c>
      <c r="C25" s="13" t="n">
        <f aca="false">+'bid input'!H19</f>
        <v>2</v>
      </c>
      <c r="D25" s="8" t="n">
        <f aca="false">+'bid input'!I19</f>
        <v>0</v>
      </c>
      <c r="E25" s="14" t="str">
        <f aca="false">+IF('bid input'!O19=1,"Y","N")</f>
        <v>N</v>
      </c>
      <c r="F25" s="15" t="inlineStr">
        <f aca="false">+'bid input'!K19</f>
        <is>
          <t/>
        </is>
      </c>
      <c r="G25" s="10" t="n">
        <f aca="false">+IF(AND($E25="Y",$C25=G$2,$C25&gt;0),'bid input'!$F19,IF(AND($E25="Y",$D25=G$3,$C25=0),'bid input'!$F19,0))*G$4</f>
        <v>0</v>
      </c>
      <c r="H25" s="10" t="n">
        <f aca="false">+IF(AND($E25="Y",$C25=H$2,$C25&gt;0),'bid input'!$F19,IF(AND($E25="Y",$D25=H$3,$C25=0),'bid input'!$F19,0))*H$4</f>
        <v>0</v>
      </c>
      <c r="I25" s="10" t="n">
        <f aca="false">+IF(AND($E25="Y",$C25=I$2,$C25&gt;0),'bid input'!$F19,IF(AND($E25="Y",$D25=I$3,$C25=0),'bid input'!$F19,0))*I$4</f>
        <v>0</v>
      </c>
      <c r="J25" s="10" t="n">
        <f aca="false">+IF(AND($E25="Y",$C25=J$2,$C25&gt;0),'bid input'!$F19,IF(AND($E25="Y",$D25=J$3,$C25=0),'bid input'!$F19,0))*J$4</f>
        <v>0</v>
      </c>
      <c r="K25" s="10" t="n">
        <f aca="false">+IF(AND($E25="Y",$C25=K$2,$C25&gt;0),'bid input'!$F19,IF(AND($E25="Y",$D25=K$3,$C25=0),'bid input'!$F19,0))*K$4</f>
        <v>0</v>
      </c>
      <c r="L25" s="10" t="n">
        <f aca="false">+IF(AND($E25="Y",$C25=L$2,$C25&gt;0),'bid input'!$F19,IF(AND($E25="Y",$D25=L$3,$C25=0),'bid input'!$F19,0))*L$4</f>
        <v>0</v>
      </c>
      <c r="M25" s="10" t="n">
        <f aca="false">SUM(G25:L25)</f>
        <v>0</v>
      </c>
    </row>
    <row collapsed="false" customFormat="false" customHeight="false" hidden="true" ht="14" outlineLevel="1" r="26">
      <c r="B26" s="8" t="n">
        <f aca="false">+'bid input'!B20</f>
        <v>1104157</v>
      </c>
      <c r="C26" s="13" t="n">
        <f aca="false">+'bid input'!H20</f>
        <v>0</v>
      </c>
      <c r="D26" s="8" t="n">
        <f aca="false">+'bid input'!I20</f>
        <v>0</v>
      </c>
      <c r="E26" s="14" t="str">
        <f aca="false">+IF('bid input'!O20=1,"Y","N")</f>
        <v>N</v>
      </c>
      <c r="F26" s="15" t="inlineStr">
        <f aca="false">+'bid input'!K20</f>
        <is>
          <t/>
        </is>
      </c>
      <c r="G26" s="10" t="n">
        <f aca="false">+IF(AND($E26="Y",$C26=G$2,$C26&gt;0),'bid input'!$F20,IF(AND($E26="Y",$D26=G$3,$C26=0),'bid input'!$F20,0))*G$4</f>
        <v>0</v>
      </c>
      <c r="H26" s="10" t="n">
        <f aca="false">+IF(AND($E26="Y",$C26=H$2,$C26&gt;0),'bid input'!$F20,IF(AND($E26="Y",$D26=H$3,$C26=0),'bid input'!$F20,0))*H$4</f>
        <v>0</v>
      </c>
      <c r="I26" s="10" t="n">
        <f aca="false">+IF(AND($E26="Y",$C26=I$2,$C26&gt;0),'bid input'!$F20,IF(AND($E26="Y",$D26=I$3,$C26=0),'bid input'!$F20,0))*I$4</f>
        <v>0</v>
      </c>
      <c r="J26" s="10" t="n">
        <f aca="false">+IF(AND($E26="Y",$C26=J$2,$C26&gt;0),'bid input'!$F20,IF(AND($E26="Y",$D26=J$3,$C26=0),'bid input'!$F20,0))*J$4</f>
        <v>0</v>
      </c>
      <c r="K26" s="10" t="n">
        <f aca="false">+IF(AND($E26="Y",$C26=K$2,$C26&gt;0),'bid input'!$F20,IF(AND($E26="Y",$D26=K$3,$C26=0),'bid input'!$F20,0))*K$4</f>
        <v>0</v>
      </c>
      <c r="L26" s="10" t="n">
        <f aca="false">+IF(AND($E26="Y",$C26=L$2,$C26&gt;0),'bid input'!$F20,IF(AND($E26="Y",$D26=L$3,$C26=0),'bid input'!$F20,0))*L$4</f>
        <v>0</v>
      </c>
      <c r="M26" s="10" t="n">
        <f aca="false">SUM(G26:L26)</f>
        <v>0</v>
      </c>
    </row>
    <row collapsed="false" customFormat="false" customHeight="false" hidden="true" ht="14" outlineLevel="1" r="27">
      <c r="B27" s="8" t="n">
        <f aca="false">+'bid input'!B21</f>
        <v>1104158</v>
      </c>
      <c r="C27" s="13" t="n">
        <f aca="false">+'bid input'!H21</f>
        <v>1</v>
      </c>
      <c r="D27" s="8" t="n">
        <f aca="false">+'bid input'!I21</f>
        <v>0</v>
      </c>
      <c r="E27" s="14" t="str">
        <f aca="false">+IF('bid input'!O21=1,"Y","N")</f>
        <v>Y</v>
      </c>
      <c r="F27" s="15" t="inlineStr">
        <f aca="false">+'bid input'!K21</f>
        <is>
          <t/>
        </is>
      </c>
      <c r="G27" s="10" t="n">
        <f aca="false">+IF(AND($E27="Y",$C27=G$2,$C27&gt;0),'bid input'!$F21,IF(AND($E27="Y",$D27=G$3,$C27=0),'bid input'!$F21,0))*G$4</f>
        <v>63745</v>
      </c>
      <c r="H27" s="10" t="n">
        <f aca="false">+IF(AND($E27="Y",$C27=H$2,$C27&gt;0),'bid input'!$F21,IF(AND($E27="Y",$D27=H$3,$C27=0),'bid input'!$F21,0))*H$4</f>
        <v>0</v>
      </c>
      <c r="I27" s="10" t="n">
        <f aca="false">+IF(AND($E27="Y",$C27=I$2,$C27&gt;0),'bid input'!$F21,IF(AND($E27="Y",$D27=I$3,$C27=0),'bid input'!$F21,0))*I$4</f>
        <v>0</v>
      </c>
      <c r="J27" s="10" t="n">
        <f aca="false">+IF(AND($E27="Y",$C27=J$2,$C27&gt;0),'bid input'!$F21,IF(AND($E27="Y",$D27=J$3,$C27=0),'bid input'!$F21,0))*J$4</f>
        <v>0</v>
      </c>
      <c r="K27" s="10" t="n">
        <f aca="false">+IF(AND($E27="Y",$C27=K$2,$C27&gt;0),'bid input'!$F21,IF(AND($E27="Y",$D27=K$3,$C27=0),'bid input'!$F21,0))*K$4</f>
        <v>0</v>
      </c>
      <c r="L27" s="10" t="n">
        <f aca="false">+IF(AND($E27="Y",$C27=L$2,$C27&gt;0),'bid input'!$F21,IF(AND($E27="Y",$D27=L$3,$C27=0),'bid input'!$F21,0))*L$4</f>
        <v>0</v>
      </c>
      <c r="M27" s="10" t="n">
        <f aca="false">SUM(G27:L27)</f>
        <v>63745</v>
      </c>
    </row>
    <row collapsed="false" customFormat="false" customHeight="false" hidden="true" ht="14" outlineLevel="1" r="28">
      <c r="D28" s="13"/>
      <c r="E28" s="14"/>
      <c r="F28" s="15"/>
      <c r="G28" s="10"/>
      <c r="H28" s="10"/>
      <c r="I28" s="10"/>
      <c r="J28" s="10"/>
      <c r="K28" s="10"/>
      <c r="L28" s="10"/>
    </row>
    <row collapsed="false" customFormat="false" customHeight="false" hidden="false" ht="14" outlineLevel="0" r="29">
      <c r="D29" s="16" t="s">
        <v>39</v>
      </c>
      <c r="E29" s="17"/>
      <c r="F29" s="17"/>
      <c r="G29" s="18" t="n">
        <f aca="false">SUM(G8:G28)</f>
        <v>95617.5</v>
      </c>
      <c r="H29" s="18" t="n">
        <f aca="false">SUM(H8:H28)</f>
        <v>0</v>
      </c>
      <c r="I29" s="18" t="n">
        <f aca="false">SUM(I8:I28)</f>
        <v>95975</v>
      </c>
      <c r="J29" s="18" t="n">
        <f aca="false">SUM(J8:J28)</f>
        <v>315240</v>
      </c>
      <c r="K29" s="18" t="n">
        <f aca="false">SUM(K8:K28)</f>
        <v>206170</v>
      </c>
      <c r="L29" s="18" t="n">
        <f aca="false">SUM(L8:L28)</f>
        <v>0</v>
      </c>
      <c r="M29" s="19" t="n">
        <f aca="false">SUM(G29:L29)</f>
        <v>713002.5</v>
      </c>
    </row>
    <row collapsed="false" customFormat="false" customHeight="false" hidden="false" ht="14" outlineLevel="0" r="30">
      <c r="D30" s="20" t="s">
        <v>40</v>
      </c>
      <c r="E30" s="21"/>
      <c r="F30" s="21"/>
      <c r="G30" s="22" t="n">
        <f aca="false">+IF(G29&gt;0,SUMPRODUCT($F$8:$F$27,G$8:G$27)/G$29,"")</f>
        <v>0.02</v>
      </c>
      <c r="H30" s="22" t="str">
        <f aca="false">+IF(H29&gt;0,SUMPRODUCT($F$8:$F$27,H$8:H$27)/H$29,"")</f>
        <v/>
      </c>
      <c r="I30" s="22" t="n">
        <f aca="false">+IF(I29&gt;0,SUMPRODUCT($F$8:$F$27,I$8:I$27)/I$29,"")</f>
        <v>0.03</v>
      </c>
      <c r="J30" s="22" t="n">
        <f aca="false">+IF(J29&gt;0,SUMPRODUCT($F$8:$F$27,J$8:J$27)/J$29,"")</f>
        <v>0.0433333333333333</v>
      </c>
      <c r="K30" s="22" t="n">
        <f aca="false">+IF(K29&gt;0,SUMPRODUCT($F$8:$F$27,K$8:K$27)/K$29,"")</f>
        <v>0.023125</v>
      </c>
      <c r="L30" s="22" t="str">
        <f aca="false">+IF(L29&gt;0,SUMPRODUCT($F$8:$F$27,L$8:L$27)/L$29,"")</f>
        <v/>
      </c>
      <c r="M30" s="23" t="n">
        <f aca="false">+SUMPRODUCT(G29:L29,G30:L30)/M29</f>
        <v>0.0325660586744086</v>
      </c>
    </row>
    <row collapsed="false" customFormat="false" customHeight="false" hidden="false" ht="14" outlineLevel="0" r="32">
      <c r="D32" s="0" t="s">
        <v>41</v>
      </c>
      <c r="G32" s="10" t="n">
        <f aca="false">+G4-G29</f>
        <v>223107.5</v>
      </c>
      <c r="H32" s="10" t="n">
        <f aca="false">+H4-H29</f>
        <v>375685</v>
      </c>
      <c r="I32" s="10" t="n">
        <f aca="false">+I4-I29</f>
        <v>383900</v>
      </c>
      <c r="J32" s="10" t="n">
        <f aca="false">+J4-J29</f>
        <v>210160</v>
      </c>
      <c r="K32" s="10" t="n">
        <f aca="false">+K4-K29</f>
        <v>309255</v>
      </c>
      <c r="L32" s="10" t="n">
        <f aca="false">+L4-L29</f>
        <v>485000</v>
      </c>
      <c r="M32" s="10" t="n">
        <f aca="false">SUM(G32:L32)</f>
        <v>1987107.5</v>
      </c>
    </row>
    <row collapsed="false" customFormat="false" customHeight="false" hidden="false" ht="14" outlineLevel="0" r="33">
      <c r="D33" s="0" t="s">
        <v>42</v>
      </c>
      <c r="G33" s="24" t="str">
        <f aca="false">+IF(G32=0,"NA",IF(G32&lt;0,"OVER","UNDER"))</f>
        <v>UNDER</v>
      </c>
      <c r="H33" s="24" t="str">
        <f aca="false">+IF(H32=0,"NA",IF(H32&lt;0,"OVER","UNDER"))</f>
        <v>UNDER</v>
      </c>
      <c r="I33" s="24" t="str">
        <f aca="false">+IF(I32=0,"NA",IF(I32&lt;0,"OVER","UNDER"))</f>
        <v>UNDER</v>
      </c>
      <c r="J33" s="24" t="str">
        <f aca="false">+IF(J32=0,"NA",IF(J32&lt;0,"OVER","UNDER"))</f>
        <v>UNDER</v>
      </c>
      <c r="K33" s="24" t="str">
        <f aca="false">+IF(K32=0,"NA",IF(K32&lt;0,"OVER","UNDER"))</f>
        <v>UNDER</v>
      </c>
      <c r="L33" s="24" t="str">
        <f aca="false">+IF(L32=0,"NA",IF(L32&lt;0,"OVER","UNDER"))</f>
        <v>UNDER</v>
      </c>
      <c r="M33" s="24" t="str">
        <f aca="false">+IF(M32=0,"NA",IF(M32&lt;0,"OVER","UNDER"))</f>
        <v>UNDER</v>
      </c>
    </row>
    <row collapsed="false" customFormat="false" customHeight="false" hidden="false" ht="14" outlineLevel="0" r="35">
      <c r="A35" s="0" t="s">
        <v>43</v>
      </c>
    </row>
    <row collapsed="false" customFormat="false" customHeight="false" hidden="true" ht="28.35" outlineLevel="1" r="36">
      <c r="B36" s="11" t="s">
        <v>35</v>
      </c>
      <c r="C36" s="11" t="s">
        <v>36</v>
      </c>
      <c r="D36" s="11" t="s">
        <v>22</v>
      </c>
      <c r="E36" s="12" t="s">
        <v>44</v>
      </c>
      <c r="F36" s="11" t="s">
        <v>45</v>
      </c>
      <c r="G36" s="25" t="inlineStr">
        <f aca="false">+F27</f>
        <is>
          <t/>
        </is>
      </c>
      <c r="H36" s="25" t="inlineStr">
        <f aca="false">+G36</f>
        <is>
          <t/>
        </is>
      </c>
      <c r="I36" s="25" t="inlineStr">
        <f aca="false">+F11</f>
        <is>
          <t/>
        </is>
      </c>
      <c r="J36" s="25" t="inlineStr">
        <f aca="false">+F12</f>
        <is>
          <t/>
        </is>
      </c>
      <c r="K36" s="25" t="inlineStr">
        <f aca="false">+F15</f>
        <is>
          <t/>
        </is>
      </c>
      <c r="L36" s="25" t="inlineStr">
        <f aca="false">+MAX(F8:F27)</f>
        <is>
          <t/>
        </is>
      </c>
    </row>
    <row collapsed="false" customFormat="false" customHeight="false" hidden="true" ht="14" outlineLevel="1" r="37">
      <c r="B37" s="8" t="n">
        <f aca="false">+B8</f>
        <v>1104134</v>
      </c>
      <c r="C37" s="8" t="n">
        <f aca="false">+C8</f>
        <v>0</v>
      </c>
      <c r="D37" s="8" t="n">
        <f aca="false">+D8</f>
        <v>0</v>
      </c>
      <c r="E37" s="14" t="str">
        <f aca="false">+IF('bid input'!P2=1,"Y","N")</f>
        <v>N</v>
      </c>
      <c r="F37" s="15"/>
      <c r="G37" s="10" t="n">
        <f aca="false">+IF(AND($E37="Y",$C37=G$2,$C37&gt;0),'bid input'!$F2,IF(AND($E37="Y",$D37=G$3,$C37=0),'bid input'!$F2,0))*G$4</f>
        <v>0</v>
      </c>
      <c r="H37" s="10" t="n">
        <f aca="false">+IF(AND($E37="Y",$C37=H$2,$C37&gt;0),'bid input'!$F2,IF(AND($E37="Y",$D37=H$3,$C37=0),'bid input'!$F2,0))*H$4</f>
        <v>0</v>
      </c>
      <c r="I37" s="10" t="n">
        <f aca="false">+IF(AND($E37="Y",$C37=I$2,$C37&gt;0),'bid input'!$F2,IF(AND($E37="Y",$D37=I$3,$C37=0),'bid input'!$F2,0))*I$4</f>
        <v>0</v>
      </c>
      <c r="J37" s="10" t="n">
        <f aca="false">+IF(AND($E37="Y",$C37=J$2,$C37&gt;0),'bid input'!$F2,IF(AND($E37="Y",$D37=J$3,$C37=0),'bid input'!$F2,0))*J$4</f>
        <v>0</v>
      </c>
      <c r="K37" s="10" t="n">
        <f aca="false">+IF(AND($E37="Y",$C37=K$2,$C37&gt;0),'bid input'!$F2,IF(AND($E37="Y",$D37=K$3,$C37=0),'bid input'!$F2,0))*K$4</f>
        <v>0</v>
      </c>
      <c r="L37" s="10" t="n">
        <f aca="false">+IF(AND($E37="Y",$C37=L$2,$C37&gt;0),'bid input'!$F2,IF(AND($E37="Y",$D37=L$3,$C37=0),'bid input'!$F2,0))*L$4</f>
        <v>0</v>
      </c>
      <c r="M37" s="10" t="n">
        <f aca="false">SUM(G37:L37)</f>
        <v>0</v>
      </c>
    </row>
    <row collapsed="false" customFormat="false" customHeight="false" hidden="true" ht="14" outlineLevel="1" r="38">
      <c r="B38" s="8" t="n">
        <f aca="false">+B9</f>
        <v>1104143</v>
      </c>
      <c r="C38" s="8" t="n">
        <f aca="false">+C9</f>
        <v>0</v>
      </c>
      <c r="D38" s="0" t="str">
        <f aca="false">+D9</f>
        <v>ABC Mortgage</v>
      </c>
      <c r="E38" s="14" t="str">
        <f aca="false">+IF('bid input'!P3=1,"Y","N")</f>
        <v>Y</v>
      </c>
      <c r="F38" s="15"/>
      <c r="G38" s="10" t="n">
        <f aca="false">+IF(AND($E38="Y",$C38=G$2,$C38&gt;0),'bid input'!$F3,IF(AND($E38="Y",$D38=G$3,$C38=0),'bid input'!$F3,0))*G$4</f>
        <v>63745</v>
      </c>
      <c r="H38" s="10" t="n">
        <f aca="false">+IF(AND($E38="Y",$C38=H$2,$C38&gt;0),'bid input'!$F3,IF(AND($E38="Y",$D38=H$3,$C38=0),'bid input'!$F3,0))*H$4</f>
        <v>75137</v>
      </c>
      <c r="I38" s="10" t="n">
        <f aca="false">+IF(AND($E38="Y",$C38=I$2,$C38&gt;0),'bid input'!$F3,IF(AND($E38="Y",$D38=I$3,$C38=0),'bid input'!$F3,0))*I$4</f>
        <v>0</v>
      </c>
      <c r="J38" s="10" t="n">
        <f aca="false">+IF(AND($E38="Y",$C38=J$2,$C38&gt;0),'bid input'!$F3,IF(AND($E38="Y",$D38=J$3,$C38=0),'bid input'!$F3,0))*J$4</f>
        <v>0</v>
      </c>
      <c r="K38" s="10" t="n">
        <f aca="false">+IF(AND($E38="Y",$C38=K$2,$C38&gt;0),'bid input'!$F3,IF(AND($E38="Y",$D38=K$3,$C38=0),'bid input'!$F3,0))*K$4</f>
        <v>0</v>
      </c>
      <c r="L38" s="10" t="n">
        <f aca="false">+IF(AND($E38="Y",$C38=L$2,$C38&gt;0),'bid input'!$F3,IF(AND($E38="Y",$D38=L$3,$C38=0),'bid input'!$F3,0))*L$4</f>
        <v>0</v>
      </c>
      <c r="M38" s="10" t="n">
        <f aca="false">SUM(G38:L38)</f>
        <v>138882</v>
      </c>
    </row>
    <row collapsed="false" customFormat="false" customHeight="false" hidden="true" ht="14" outlineLevel="1" r="39">
      <c r="B39" s="8" t="n">
        <f aca="false">+B10</f>
        <v>1104154</v>
      </c>
      <c r="C39" s="8" t="n">
        <f aca="false">+C10</f>
        <v>0</v>
      </c>
      <c r="D39" s="8" t="n">
        <f aca="false">+D10</f>
        <v>0</v>
      </c>
      <c r="E39" s="14" t="str">
        <f aca="false">+IF('bid input'!P4=1,"Y","N")</f>
        <v>N</v>
      </c>
      <c r="F39" s="15"/>
      <c r="G39" s="10" t="n">
        <f aca="false">+IF(AND($E39="Y",$C39=G$2,$C39&gt;0),'bid input'!$F4,IF(AND($E39="Y",$D39=G$3,$C39=0),'bid input'!$F4,0))*G$4</f>
        <v>0</v>
      </c>
      <c r="H39" s="10" t="n">
        <f aca="false">+IF(AND($E39="Y",$C39=H$2,$C39&gt;0),'bid input'!$F4,IF(AND($E39="Y",$D39=H$3,$C39=0),'bid input'!$F4,0))*H$4</f>
        <v>0</v>
      </c>
      <c r="I39" s="10" t="n">
        <f aca="false">+IF(AND($E39="Y",$C39=I$2,$C39&gt;0),'bid input'!$F4,IF(AND($E39="Y",$D39=I$3,$C39=0),'bid input'!$F4,0))*I$4</f>
        <v>0</v>
      </c>
      <c r="J39" s="10" t="n">
        <f aca="false">+IF(AND($E39="Y",$C39=J$2,$C39&gt;0),'bid input'!$F4,IF(AND($E39="Y",$D39=J$3,$C39=0),'bid input'!$F4,0))*J$4</f>
        <v>0</v>
      </c>
      <c r="K39" s="10" t="n">
        <f aca="false">+IF(AND($E39="Y",$C39=K$2,$C39&gt;0),'bid input'!$F4,IF(AND($E39="Y",$D39=K$3,$C39=0),'bid input'!$F4,0))*K$4</f>
        <v>0</v>
      </c>
      <c r="L39" s="10" t="n">
        <f aca="false">+IF(AND($E39="Y",$C39=L$2,$C39&gt;0),'bid input'!$F4,IF(AND($E39="Y",$D39=L$3,$C39=0),'bid input'!$F4,0))*L$4</f>
        <v>0</v>
      </c>
      <c r="M39" s="10" t="n">
        <f aca="false">SUM(G39:L39)</f>
        <v>0</v>
      </c>
    </row>
    <row collapsed="false" customFormat="false" customHeight="false" hidden="true" ht="14" outlineLevel="1" r="40">
      <c r="B40" s="8" t="n">
        <f aca="false">+B11</f>
        <v>1104152</v>
      </c>
      <c r="C40" s="8" t="n">
        <f aca="false">+C11</f>
        <v>0</v>
      </c>
      <c r="D40" s="0" t="str">
        <f aca="false">+D11</f>
        <v>Prime Lending</v>
      </c>
      <c r="E40" s="14" t="str">
        <f aca="false">+IF('bid input'!P5=1,"Y","N")</f>
        <v>N</v>
      </c>
      <c r="F40" s="15"/>
      <c r="G40" s="10" t="n">
        <f aca="false">+IF(AND($E40="Y",$C40=G$2,$C40&gt;0),'bid input'!$F5,IF(AND($E40="Y",$D40=G$3,$C40=0),'bid input'!$F5,0))*G$4</f>
        <v>0</v>
      </c>
      <c r="H40" s="10" t="n">
        <f aca="false">+IF(AND($E40="Y",$C40=H$2,$C40&gt;0),'bid input'!$F5,IF(AND($E40="Y",$D40=H$3,$C40=0),'bid input'!$F5,0))*H$4</f>
        <v>0</v>
      </c>
      <c r="I40" s="10" t="n">
        <f aca="false">+IF(AND($E40="Y",$C40=I$2,$C40&gt;0),'bid input'!$F5,IF(AND($E40="Y",$D40=I$3,$C40=0),'bid input'!$F5,0))*I$4</f>
        <v>0</v>
      </c>
      <c r="J40" s="10" t="n">
        <f aca="false">+IF(AND($E40="Y",$C40=J$2,$C40&gt;0),'bid input'!$F5,IF(AND($E40="Y",$D40=J$3,$C40=0),'bid input'!$F5,0))*J$4</f>
        <v>0</v>
      </c>
      <c r="K40" s="10" t="n">
        <f aca="false">+IF(AND($E40="Y",$C40=K$2,$C40&gt;0),'bid input'!$F5,IF(AND($E40="Y",$D40=K$3,$C40=0),'bid input'!$F5,0))*K$4</f>
        <v>0</v>
      </c>
      <c r="L40" s="10" t="n">
        <f aca="false">+IF(AND($E40="Y",$C40=L$2,$C40&gt;0),'bid input'!$F5,IF(AND($E40="Y",$D40=L$3,$C40=0),'bid input'!$F5,0))*L$4</f>
        <v>0</v>
      </c>
      <c r="M40" s="10" t="n">
        <f aca="false">SUM(G40:L40)</f>
        <v>0</v>
      </c>
    </row>
    <row collapsed="false" customFormat="false" customHeight="false" hidden="true" ht="14" outlineLevel="1" r="41">
      <c r="B41" s="8" t="n">
        <f aca="false">+B12</f>
        <v>1104136</v>
      </c>
      <c r="C41" s="8" t="n">
        <f aca="false">+C12</f>
        <v>4</v>
      </c>
      <c r="D41" s="8" t="n">
        <f aca="false">+D12</f>
        <v>0</v>
      </c>
      <c r="E41" s="14" t="str">
        <f aca="false">+IF('bid input'!P6=1,"Y","N")</f>
        <v>N</v>
      </c>
      <c r="F41" s="15"/>
      <c r="G41" s="10" t="n">
        <f aca="false">+IF(AND($E41="Y",$C41=G$2,$C41&gt;0),'bid input'!$F6,IF(AND($E41="Y",$D41=G$3,$C41=0),'bid input'!$F6,0))*G$4</f>
        <v>0</v>
      </c>
      <c r="H41" s="10" t="n">
        <f aca="false">+IF(AND($E41="Y",$C41=H$2,$C41&gt;0),'bid input'!$F6,IF(AND($E41="Y",$D41=H$3,$C41=0),'bid input'!$F6,0))*H$4</f>
        <v>0</v>
      </c>
      <c r="I41" s="10" t="n">
        <f aca="false">+IF(AND($E41="Y",$C41=I$2,$C41&gt;0),'bid input'!$F6,IF(AND($E41="Y",$D41=I$3,$C41=0),'bid input'!$F6,0))*I$4</f>
        <v>0</v>
      </c>
      <c r="J41" s="10" t="n">
        <f aca="false">+IF(AND($E41="Y",$C41=J$2,$C41&gt;0),'bid input'!$F6,IF(AND($E41="Y",$D41=J$3,$C41=0),'bid input'!$F6,0))*J$4</f>
        <v>0</v>
      </c>
      <c r="K41" s="10" t="n">
        <f aca="false">+IF(AND($E41="Y",$C41=K$2,$C41&gt;0),'bid input'!$F6,IF(AND($E41="Y",$D41=K$3,$C41=0),'bid input'!$F6,0))*K$4</f>
        <v>0</v>
      </c>
      <c r="L41" s="10" t="n">
        <f aca="false">+IF(AND($E41="Y",$C41=L$2,$C41&gt;0),'bid input'!$F6,IF(AND($E41="Y",$D41=L$3,$C41=0),'bid input'!$F6,0))*L$4</f>
        <v>0</v>
      </c>
      <c r="M41" s="10" t="n">
        <f aca="false">SUM(G41:L41)</f>
        <v>0</v>
      </c>
    </row>
    <row collapsed="false" customFormat="false" customHeight="false" hidden="true" ht="14" outlineLevel="1" r="42">
      <c r="B42" s="8" t="n">
        <f aca="false">+B13</f>
        <v>1104138</v>
      </c>
      <c r="C42" s="8" t="n">
        <f aca="false">+C13</f>
        <v>0</v>
      </c>
      <c r="D42" s="8" t="n">
        <f aca="false">+D13</f>
        <v>0</v>
      </c>
      <c r="E42" s="14" t="str">
        <f aca="false">+IF('bid input'!P7=1,"Y","N")</f>
        <v>N</v>
      </c>
      <c r="F42" s="15"/>
      <c r="G42" s="10" t="n">
        <f aca="false">+IF(AND($E42="Y",$C42=G$2,$C42&gt;0),'bid input'!$F7,IF(AND($E42="Y",$D42=G$3,$C42=0),'bid input'!$F7,0))*G$4</f>
        <v>0</v>
      </c>
      <c r="H42" s="10" t="n">
        <f aca="false">+IF(AND($E42="Y",$C42=H$2,$C42&gt;0),'bid input'!$F7,IF(AND($E42="Y",$D42=H$3,$C42=0),'bid input'!$F7,0))*H$4</f>
        <v>0</v>
      </c>
      <c r="I42" s="10" t="n">
        <f aca="false">+IF(AND($E42="Y",$C42=I$2,$C42&gt;0),'bid input'!$F7,IF(AND($E42="Y",$D42=I$3,$C42=0),'bid input'!$F7,0))*I$4</f>
        <v>0</v>
      </c>
      <c r="J42" s="10" t="n">
        <f aca="false">+IF(AND($E42="Y",$C42=J$2,$C42&gt;0),'bid input'!$F7,IF(AND($E42="Y",$D42=J$3,$C42=0),'bid input'!$F7,0))*J$4</f>
        <v>0</v>
      </c>
      <c r="K42" s="10" t="n">
        <f aca="false">+IF(AND($E42="Y",$C42=K$2,$C42&gt;0),'bid input'!$F7,IF(AND($E42="Y",$D42=K$3,$C42=0),'bid input'!$F7,0))*K$4</f>
        <v>0</v>
      </c>
      <c r="L42" s="10" t="n">
        <f aca="false">+IF(AND($E42="Y",$C42=L$2,$C42&gt;0),'bid input'!$F7,IF(AND($E42="Y",$D42=L$3,$C42=0),'bid input'!$F7,0))*L$4</f>
        <v>0</v>
      </c>
      <c r="M42" s="10" t="n">
        <f aca="false">SUM(G42:L42)</f>
        <v>0</v>
      </c>
    </row>
    <row collapsed="false" customFormat="false" customHeight="false" hidden="true" ht="14" outlineLevel="1" r="43">
      <c r="B43" s="8" t="n">
        <f aca="false">+B14</f>
        <v>1104139</v>
      </c>
      <c r="C43" s="8" t="n">
        <f aca="false">+C14</f>
        <v>0</v>
      </c>
      <c r="D43" s="8" t="n">
        <f aca="false">+D14</f>
        <v>0</v>
      </c>
      <c r="E43" s="14" t="str">
        <f aca="false">+IF('bid input'!P8=1,"Y","N")</f>
        <v>N</v>
      </c>
      <c r="F43" s="15"/>
      <c r="G43" s="10" t="n">
        <f aca="false">+IF(AND($E43="Y",$C43=G$2,$C43&gt;0),'bid input'!$F8,IF(AND($E43="Y",$D43=G$3,$C43=0),'bid input'!$F8,0))*G$4</f>
        <v>0</v>
      </c>
      <c r="H43" s="10" t="n">
        <f aca="false">+IF(AND($E43="Y",$C43=H$2,$C43&gt;0),'bid input'!$F8,IF(AND($E43="Y",$D43=H$3,$C43=0),'bid input'!$F8,0))*H$4</f>
        <v>0</v>
      </c>
      <c r="I43" s="10" t="n">
        <f aca="false">+IF(AND($E43="Y",$C43=I$2,$C43&gt;0),'bid input'!$F8,IF(AND($E43="Y",$D43=I$3,$C43=0),'bid input'!$F8,0))*I$4</f>
        <v>0</v>
      </c>
      <c r="J43" s="10" t="n">
        <f aca="false">+IF(AND($E43="Y",$C43=J$2,$C43&gt;0),'bid input'!$F8,IF(AND($E43="Y",$D43=J$3,$C43=0),'bid input'!$F8,0))*J$4</f>
        <v>0</v>
      </c>
      <c r="K43" s="10" t="n">
        <f aca="false">+IF(AND($E43="Y",$C43=K$2,$C43&gt;0),'bid input'!$F8,IF(AND($E43="Y",$D43=K$3,$C43=0),'bid input'!$F8,0))*K$4</f>
        <v>0</v>
      </c>
      <c r="L43" s="10" t="n">
        <f aca="false">+IF(AND($E43="Y",$C43=L$2,$C43&gt;0),'bid input'!$F8,IF(AND($E43="Y",$D43=L$3,$C43=0),'bid input'!$F8,0))*L$4</f>
        <v>0</v>
      </c>
      <c r="M43" s="10" t="n">
        <f aca="false">SUM(G43:L43)</f>
        <v>0</v>
      </c>
    </row>
    <row collapsed="false" customFormat="false" customHeight="false" hidden="true" ht="14" outlineLevel="1" r="44">
      <c r="B44" s="8" t="n">
        <f aca="false">+B15</f>
        <v>1104140</v>
      </c>
      <c r="C44" s="8" t="n">
        <f aca="false">+C15</f>
        <v>5</v>
      </c>
      <c r="D44" s="8" t="n">
        <f aca="false">+D15</f>
        <v>0</v>
      </c>
      <c r="E44" s="14" t="str">
        <f aca="false">+IF('bid input'!P9=1,"Y","N")</f>
        <v>N</v>
      </c>
      <c r="F44" s="15"/>
      <c r="G44" s="10" t="n">
        <f aca="false">+IF(AND($E44="Y",$C44=G$2,$C44&gt;0),'bid input'!$F9,IF(AND($E44="Y",$D44=G$3,$C44=0),'bid input'!$F9,0))*G$4</f>
        <v>0</v>
      </c>
      <c r="H44" s="10" t="n">
        <f aca="false">+IF(AND($E44="Y",$C44=H$2,$C44&gt;0),'bid input'!$F9,IF(AND($E44="Y",$D44=H$3,$C44=0),'bid input'!$F9,0))*H$4</f>
        <v>0</v>
      </c>
      <c r="I44" s="10" t="n">
        <f aca="false">+IF(AND($E44="Y",$C44=I$2,$C44&gt;0),'bid input'!$F9,IF(AND($E44="Y",$D44=I$3,$C44=0),'bid input'!$F9,0))*I$4</f>
        <v>0</v>
      </c>
      <c r="J44" s="10" t="n">
        <f aca="false">+IF(AND($E44="Y",$C44=J$2,$C44&gt;0),'bid input'!$F9,IF(AND($E44="Y",$D44=J$3,$C44=0),'bid input'!$F9,0))*J$4</f>
        <v>0</v>
      </c>
      <c r="K44" s="10" t="n">
        <f aca="false">+IF(AND($E44="Y",$C44=K$2,$C44&gt;0),'bid input'!$F9,IF(AND($E44="Y",$D44=K$3,$C44=0),'bid input'!$F9,0))*K$4</f>
        <v>0</v>
      </c>
      <c r="L44" s="10" t="n">
        <f aca="false">+IF(AND($E44="Y",$C44=L$2,$C44&gt;0),'bid input'!$F9,IF(AND($E44="Y",$D44=L$3,$C44=0),'bid input'!$F9,0))*L$4</f>
        <v>0</v>
      </c>
      <c r="M44" s="10" t="n">
        <f aca="false">SUM(G44:L44)</f>
        <v>0</v>
      </c>
    </row>
    <row collapsed="false" customFormat="false" customHeight="false" hidden="true" ht="14" outlineLevel="1" r="45">
      <c r="B45" s="8" t="n">
        <f aca="false">+B16</f>
        <v>1104141</v>
      </c>
      <c r="C45" s="8" t="n">
        <f aca="false">+C16</f>
        <v>0</v>
      </c>
      <c r="D45" s="8" t="n">
        <f aca="false">+D16</f>
        <v>0</v>
      </c>
      <c r="E45" s="14" t="str">
        <f aca="false">+IF('bid input'!P10=1,"Y","N")</f>
        <v>N</v>
      </c>
      <c r="F45" s="15"/>
      <c r="G45" s="10" t="n">
        <f aca="false">+IF(AND($E45="Y",$C45=G$2,$C45&gt;0),'bid input'!$F10,IF(AND($E45="Y",$D45=G$3,$C45=0),'bid input'!$F10,0))*G$4</f>
        <v>0</v>
      </c>
      <c r="H45" s="10" t="n">
        <f aca="false">+IF(AND($E45="Y",$C45=H$2,$C45&gt;0),'bid input'!$F10,IF(AND($E45="Y",$D45=H$3,$C45=0),'bid input'!$F10,0))*H$4</f>
        <v>0</v>
      </c>
      <c r="I45" s="10" t="n">
        <f aca="false">+IF(AND($E45="Y",$C45=I$2,$C45&gt;0),'bid input'!$F10,IF(AND($E45="Y",$D45=I$3,$C45=0),'bid input'!$F10,0))*I$4</f>
        <v>0</v>
      </c>
      <c r="J45" s="10" t="n">
        <f aca="false">+IF(AND($E45="Y",$C45=J$2,$C45&gt;0),'bid input'!$F10,IF(AND($E45="Y",$D45=J$3,$C45=0),'bid input'!$F10,0))*J$4</f>
        <v>0</v>
      </c>
      <c r="K45" s="10" t="n">
        <f aca="false">+IF(AND($E45="Y",$C45=K$2,$C45&gt;0),'bid input'!$F10,IF(AND($E45="Y",$D45=K$3,$C45=0),'bid input'!$F10,0))*K$4</f>
        <v>0</v>
      </c>
      <c r="L45" s="10" t="n">
        <f aca="false">+IF(AND($E45="Y",$C45=L$2,$C45&gt;0),'bid input'!$F10,IF(AND($E45="Y",$D45=L$3,$C45=0),'bid input'!$F10,0))*L$4</f>
        <v>0</v>
      </c>
      <c r="M45" s="10" t="n">
        <f aca="false">SUM(G45:L45)</f>
        <v>0</v>
      </c>
    </row>
    <row collapsed="false" customFormat="false" customHeight="false" hidden="true" ht="14" outlineLevel="1" r="46">
      <c r="B46" s="8" t="n">
        <f aca="false">+B17</f>
        <v>1104159</v>
      </c>
      <c r="C46" s="8" t="n">
        <f aca="false">+C17</f>
        <v>1</v>
      </c>
      <c r="D46" s="8" t="n">
        <f aca="false">+D17</f>
        <v>0</v>
      </c>
      <c r="E46" s="14" t="str">
        <f aca="false">+IF('bid input'!P11=1,"Y","N")</f>
        <v>Y</v>
      </c>
      <c r="F46" s="15"/>
      <c r="G46" s="10" t="n">
        <f aca="false">+IF(AND($E46="Y",$C46=G$2,$C46&gt;0),'bid input'!$F11,IF(AND($E46="Y",$D46=G$3,$C46=0),'bid input'!$F11,0))*G$4</f>
        <v>63745</v>
      </c>
      <c r="H46" s="10" t="n">
        <f aca="false">+IF(AND($E46="Y",$C46=H$2,$C46&gt;0),'bid input'!$F11,IF(AND($E46="Y",$D46=H$3,$C46=0),'bid input'!$F11,0))*H$4</f>
        <v>0</v>
      </c>
      <c r="I46" s="10" t="n">
        <f aca="false">+IF(AND($E46="Y",$C46=I$2,$C46&gt;0),'bid input'!$F11,IF(AND($E46="Y",$D46=I$3,$C46=0),'bid input'!$F11,0))*I$4</f>
        <v>0</v>
      </c>
      <c r="J46" s="10" t="n">
        <f aca="false">+IF(AND($E46="Y",$C46=J$2,$C46&gt;0),'bid input'!$F11,IF(AND($E46="Y",$D46=J$3,$C46=0),'bid input'!$F11,0))*J$4</f>
        <v>0</v>
      </c>
      <c r="K46" s="10" t="n">
        <f aca="false">+IF(AND($E46="Y",$C46=K$2,$C46&gt;0),'bid input'!$F11,IF(AND($E46="Y",$D46=K$3,$C46=0),'bid input'!$F11,0))*K$4</f>
        <v>0</v>
      </c>
      <c r="L46" s="10" t="n">
        <f aca="false">+IF(AND($E46="Y",$C46=L$2,$C46&gt;0),'bid input'!$F11,IF(AND($E46="Y",$D46=L$3,$C46=0),'bid input'!$F11,0))*L$4</f>
        <v>0</v>
      </c>
      <c r="M46" s="10" t="n">
        <f aca="false">SUM(G46:L46)</f>
        <v>63745</v>
      </c>
    </row>
    <row collapsed="false" customFormat="false" customHeight="false" hidden="true" ht="14" outlineLevel="1" r="47">
      <c r="B47" s="8" t="n">
        <f aca="false">+B18</f>
        <v>1104161</v>
      </c>
      <c r="C47" s="8" t="n">
        <f aca="false">+C18</f>
        <v>4</v>
      </c>
      <c r="D47" s="8" t="n">
        <f aca="false">+D18</f>
        <v>0</v>
      </c>
      <c r="E47" s="14" t="str">
        <f aca="false">+IF('bid input'!P12=1,"Y","N")</f>
        <v>Y</v>
      </c>
      <c r="F47" s="15"/>
      <c r="G47" s="10" t="n">
        <f aca="false">+IF(AND($E47="Y",$C47=G$2,$C47&gt;0),'bid input'!$F12,IF(AND($E47="Y",$D47=G$3,$C47=0),'bid input'!$F12,0))*G$4</f>
        <v>0</v>
      </c>
      <c r="H47" s="10" t="n">
        <f aca="false">+IF(AND($E47="Y",$C47=H$2,$C47&gt;0),'bid input'!$F12,IF(AND($E47="Y",$D47=H$3,$C47=0),'bid input'!$F12,0))*H$4</f>
        <v>0</v>
      </c>
      <c r="I47" s="10" t="n">
        <f aca="false">+IF(AND($E47="Y",$C47=I$2,$C47&gt;0),'bid input'!$F12,IF(AND($E47="Y",$D47=I$3,$C47=0),'bid input'!$F12,0))*I$4</f>
        <v>0</v>
      </c>
      <c r="J47" s="10" t="n">
        <f aca="false">+IF(AND($E47="Y",$C47=J$2,$C47&gt;0),'bid input'!$F12,IF(AND($E47="Y",$D47=J$3,$C47=0),'bid input'!$F12,0))*J$4</f>
        <v>105080</v>
      </c>
      <c r="K47" s="10" t="n">
        <f aca="false">+IF(AND($E47="Y",$C47=K$2,$C47&gt;0),'bid input'!$F12,IF(AND($E47="Y",$D47=K$3,$C47=0),'bid input'!$F12,0))*K$4</f>
        <v>0</v>
      </c>
      <c r="L47" s="10" t="n">
        <f aca="false">+IF(AND($E47="Y",$C47=L$2,$C47&gt;0),'bid input'!$F12,IF(AND($E47="Y",$D47=L$3,$C47=0),'bid input'!$F12,0))*L$4</f>
        <v>0</v>
      </c>
      <c r="M47" s="10" t="n">
        <f aca="false">SUM(G47:L47)</f>
        <v>105080</v>
      </c>
    </row>
    <row collapsed="false" customFormat="false" customHeight="false" hidden="true" ht="14" outlineLevel="1" r="48">
      <c r="B48" s="8" t="n">
        <f aca="false">+B19</f>
        <v>1104145</v>
      </c>
      <c r="C48" s="8" t="n">
        <f aca="false">+C19</f>
        <v>1</v>
      </c>
      <c r="D48" s="8" t="n">
        <f aca="false">+D19</f>
        <v>0</v>
      </c>
      <c r="E48" s="14" t="str">
        <f aca="false">+IF('bid input'!P13=1,"Y","N")</f>
        <v>N</v>
      </c>
      <c r="F48" s="15"/>
      <c r="G48" s="10" t="n">
        <f aca="false">+IF(AND($E48="Y",$C48=G$2,$C48&gt;0),'bid input'!$F13,IF(AND($E48="Y",$D48=G$3,$C48=0),'bid input'!$F13,0))*G$4</f>
        <v>0</v>
      </c>
      <c r="H48" s="10" t="n">
        <f aca="false">+IF(AND($E48="Y",$C48=H$2,$C48&gt;0),'bid input'!$F13,IF(AND($E48="Y",$D48=H$3,$C48=0),'bid input'!$F13,0))*H$4</f>
        <v>0</v>
      </c>
      <c r="I48" s="10" t="n">
        <f aca="false">+IF(AND($E48="Y",$C48=I$2,$C48&gt;0),'bid input'!$F13,IF(AND($E48="Y",$D48=I$3,$C48=0),'bid input'!$F13,0))*I$4</f>
        <v>0</v>
      </c>
      <c r="J48" s="10" t="n">
        <f aca="false">+IF(AND($E48="Y",$C48=J$2,$C48&gt;0),'bid input'!$F13,IF(AND($E48="Y",$D48=J$3,$C48=0),'bid input'!$F13,0))*J$4</f>
        <v>0</v>
      </c>
      <c r="K48" s="10" t="n">
        <f aca="false">+IF(AND($E48="Y",$C48=K$2,$C48&gt;0),'bid input'!$F13,IF(AND($E48="Y",$D48=K$3,$C48=0),'bid input'!$F13,0))*K$4</f>
        <v>0</v>
      </c>
      <c r="L48" s="10" t="n">
        <f aca="false">+IF(AND($E48="Y",$C48=L$2,$C48&gt;0),'bid input'!$F13,IF(AND($E48="Y",$D48=L$3,$C48=0),'bid input'!$F13,0))*L$4</f>
        <v>0</v>
      </c>
      <c r="M48" s="10" t="n">
        <f aca="false">SUM(G48:L48)</f>
        <v>0</v>
      </c>
    </row>
    <row collapsed="false" customFormat="false" customHeight="false" hidden="true" ht="14" outlineLevel="1" r="49">
      <c r="B49" s="8" t="n">
        <f aca="false">+B20</f>
        <v>1104133</v>
      </c>
      <c r="C49" s="8" t="n">
        <f aca="false">+C20</f>
        <v>4</v>
      </c>
      <c r="D49" s="8" t="n">
        <f aca="false">+D20</f>
        <v>0</v>
      </c>
      <c r="E49" s="14" t="str">
        <f aca="false">+IF('bid input'!P14=1,"Y","N")</f>
        <v>N</v>
      </c>
      <c r="F49" s="15"/>
      <c r="G49" s="10" t="n">
        <f aca="false">+IF(AND($E49="Y",$C49=G$2,$C49&gt;0),'bid input'!$F14,IF(AND($E49="Y",$D49=G$3,$C49=0),'bid input'!$F14,0))*G$4</f>
        <v>0</v>
      </c>
      <c r="H49" s="10" t="n">
        <f aca="false">+IF(AND($E49="Y",$C49=H$2,$C49&gt;0),'bid input'!$F14,IF(AND($E49="Y",$D49=H$3,$C49=0),'bid input'!$F14,0))*H$4</f>
        <v>0</v>
      </c>
      <c r="I49" s="10" t="n">
        <f aca="false">+IF(AND($E49="Y",$C49=I$2,$C49&gt;0),'bid input'!$F14,IF(AND($E49="Y",$D49=I$3,$C49=0),'bid input'!$F14,0))*I$4</f>
        <v>0</v>
      </c>
      <c r="J49" s="10" t="n">
        <f aca="false">+IF(AND($E49="Y",$C49=J$2,$C49&gt;0),'bid input'!$F14,IF(AND($E49="Y",$D49=J$3,$C49=0),'bid input'!$F14,0))*J$4</f>
        <v>0</v>
      </c>
      <c r="K49" s="10" t="n">
        <f aca="false">+IF(AND($E49="Y",$C49=K$2,$C49&gt;0),'bid input'!$F14,IF(AND($E49="Y",$D49=K$3,$C49=0),'bid input'!$F14,0))*K$4</f>
        <v>0</v>
      </c>
      <c r="L49" s="10" t="n">
        <f aca="false">+IF(AND($E49="Y",$C49=L$2,$C49&gt;0),'bid input'!$F14,IF(AND($E49="Y",$D49=L$3,$C49=0),'bid input'!$F14,0))*L$4</f>
        <v>0</v>
      </c>
      <c r="M49" s="10" t="n">
        <f aca="false">SUM(G49:L49)</f>
        <v>0</v>
      </c>
    </row>
    <row collapsed="false" customFormat="false" customHeight="false" hidden="true" ht="14" outlineLevel="1" r="50">
      <c r="B50" s="8" t="n">
        <f aca="false">+B21</f>
        <v>1104149</v>
      </c>
      <c r="C50" s="8" t="n">
        <f aca="false">+C21</f>
        <v>5</v>
      </c>
      <c r="D50" s="8" t="n">
        <f aca="false">+D21</f>
        <v>0</v>
      </c>
      <c r="E50" s="14" t="str">
        <f aca="false">+IF('bid input'!P15=1,"Y","N")</f>
        <v>Y</v>
      </c>
      <c r="F50" s="15"/>
      <c r="G50" s="10" t="n">
        <f aca="false">+IF(AND($E50="Y",$C50=G$2,$C50&gt;0),'bid input'!$F15,IF(AND($E50="Y",$D50=G$3,$C50=0),'bid input'!$F15,0))*G$4</f>
        <v>0</v>
      </c>
      <c r="H50" s="10" t="n">
        <f aca="false">+IF(AND($E50="Y",$C50=H$2,$C50&gt;0),'bid input'!$F15,IF(AND($E50="Y",$D50=H$3,$C50=0),'bid input'!$F15,0))*H$4</f>
        <v>0</v>
      </c>
      <c r="I50" s="10" t="n">
        <f aca="false">+IF(AND($E50="Y",$C50=I$2,$C50&gt;0),'bid input'!$F15,IF(AND($E50="Y",$D50=I$3,$C50=0),'bid input'!$F15,0))*I$4</f>
        <v>0</v>
      </c>
      <c r="J50" s="10" t="n">
        <f aca="false">+IF(AND($E50="Y",$C50=J$2,$C50&gt;0),'bid input'!$F15,IF(AND($E50="Y",$D50=J$3,$C50=0),'bid input'!$F15,0))*J$4</f>
        <v>0</v>
      </c>
      <c r="K50" s="10" t="n">
        <f aca="false">+IF(AND($E50="Y",$C50=K$2,$C50&gt;0),'bid input'!$F15,IF(AND($E50="Y",$D50=K$3,$C50=0),'bid input'!$F15,0))*K$4</f>
        <v>103085</v>
      </c>
      <c r="L50" s="10" t="n">
        <f aca="false">+IF(AND($E50="Y",$C50=L$2,$C50&gt;0),'bid input'!$F15,IF(AND($E50="Y",$D50=L$3,$C50=0),'bid input'!$F15,0))*L$4</f>
        <v>0</v>
      </c>
      <c r="M50" s="10" t="n">
        <f aca="false">SUM(G50:L50)</f>
        <v>103085</v>
      </c>
    </row>
    <row collapsed="false" customFormat="false" customHeight="false" hidden="true" ht="14" outlineLevel="1" r="51">
      <c r="B51" s="8" t="n">
        <f aca="false">+B22</f>
        <v>1104151</v>
      </c>
      <c r="C51" s="8" t="n">
        <f aca="false">+C22</f>
        <v>1</v>
      </c>
      <c r="D51" s="8" t="n">
        <f aca="false">+D22</f>
        <v>0</v>
      </c>
      <c r="E51" s="14" t="str">
        <f aca="false">+IF('bid input'!P16=1,"Y","N")</f>
        <v>Y</v>
      </c>
      <c r="F51" s="15"/>
      <c r="G51" s="10" t="n">
        <f aca="false">+IF(AND($E51="Y",$C51=G$2,$C51&gt;0),'bid input'!$F16,IF(AND($E51="Y",$D51=G$3,$C51=0),'bid input'!$F16,0))*G$4</f>
        <v>63745</v>
      </c>
      <c r="H51" s="10" t="n">
        <f aca="false">+IF(AND($E51="Y",$C51=H$2,$C51&gt;0),'bid input'!$F16,IF(AND($E51="Y",$D51=H$3,$C51=0),'bid input'!$F16,0))*H$4</f>
        <v>0</v>
      </c>
      <c r="I51" s="10" t="n">
        <f aca="false">+IF(AND($E51="Y",$C51=I$2,$C51&gt;0),'bid input'!$F16,IF(AND($E51="Y",$D51=I$3,$C51=0),'bid input'!$F16,0))*I$4</f>
        <v>0</v>
      </c>
      <c r="J51" s="10" t="n">
        <f aca="false">+IF(AND($E51="Y",$C51=J$2,$C51&gt;0),'bid input'!$F16,IF(AND($E51="Y",$D51=J$3,$C51=0),'bid input'!$F16,0))*J$4</f>
        <v>0</v>
      </c>
      <c r="K51" s="10" t="n">
        <f aca="false">+IF(AND($E51="Y",$C51=K$2,$C51&gt;0),'bid input'!$F16,IF(AND($E51="Y",$D51=K$3,$C51=0),'bid input'!$F16,0))*K$4</f>
        <v>0</v>
      </c>
      <c r="L51" s="10" t="n">
        <f aca="false">+IF(AND($E51="Y",$C51=L$2,$C51&gt;0),'bid input'!$F16,IF(AND($E51="Y",$D51=L$3,$C51=0),'bid input'!$F16,0))*L$4</f>
        <v>0</v>
      </c>
      <c r="M51" s="10" t="n">
        <f aca="false">SUM(G51:L51)</f>
        <v>63745</v>
      </c>
    </row>
    <row collapsed="false" customFormat="false" customHeight="false" hidden="true" ht="14" outlineLevel="1" r="52">
      <c r="B52" s="8" t="n">
        <f aca="false">+B23</f>
        <v>1104131</v>
      </c>
      <c r="C52" s="8" t="n">
        <f aca="false">+C23</f>
        <v>0</v>
      </c>
      <c r="D52" s="8" t="n">
        <f aca="false">+D23</f>
        <v>0</v>
      </c>
      <c r="E52" s="14" t="str">
        <f aca="false">+IF('bid input'!P17=1,"Y","N")</f>
        <v>N</v>
      </c>
      <c r="F52" s="15"/>
      <c r="G52" s="10" t="n">
        <f aca="false">+IF(AND($E52="Y",$C52=G$2,$C52&gt;0),'bid input'!$F17,IF(AND($E52="Y",$D52=G$3,$C52=0),'bid input'!$F17,0))*G$4</f>
        <v>0</v>
      </c>
      <c r="H52" s="10" t="n">
        <f aca="false">+IF(AND($E52="Y",$C52=H$2,$C52&gt;0),'bid input'!$F17,IF(AND($E52="Y",$D52=H$3,$C52=0),'bid input'!$F17,0))*H$4</f>
        <v>0</v>
      </c>
      <c r="I52" s="10" t="n">
        <f aca="false">+IF(AND($E52="Y",$C52=I$2,$C52&gt;0),'bid input'!$F17,IF(AND($E52="Y",$D52=I$3,$C52=0),'bid input'!$F17,0))*I$4</f>
        <v>0</v>
      </c>
      <c r="J52" s="10" t="n">
        <f aca="false">+IF(AND($E52="Y",$C52=J$2,$C52&gt;0),'bid input'!$F17,IF(AND($E52="Y",$D52=J$3,$C52=0),'bid input'!$F17,0))*J$4</f>
        <v>0</v>
      </c>
      <c r="K52" s="10" t="n">
        <f aca="false">+IF(AND($E52="Y",$C52=K$2,$C52&gt;0),'bid input'!$F17,IF(AND($E52="Y",$D52=K$3,$C52=0),'bid input'!$F17,0))*K$4</f>
        <v>0</v>
      </c>
      <c r="L52" s="10" t="n">
        <f aca="false">+IF(AND($E52="Y",$C52=L$2,$C52&gt;0),'bid input'!$F17,IF(AND($E52="Y",$D52=L$3,$C52=0),'bid input'!$F17,0))*L$4</f>
        <v>0</v>
      </c>
      <c r="M52" s="10" t="n">
        <f aca="false">SUM(G52:L52)</f>
        <v>0</v>
      </c>
    </row>
    <row collapsed="false" customFormat="false" customHeight="false" hidden="true" ht="14" outlineLevel="1" r="53">
      <c r="B53" s="8" t="n">
        <f aca="false">+B24</f>
        <v>1104155</v>
      </c>
      <c r="C53" s="8" t="n">
        <f aca="false">+C24</f>
        <v>0</v>
      </c>
      <c r="D53" s="0" t="str">
        <f aca="false">+D24</f>
        <v>Best Loans Inc</v>
      </c>
      <c r="E53" s="14" t="str">
        <f aca="false">+IF('bid input'!P18=1,"Y","N")</f>
        <v>N</v>
      </c>
      <c r="F53" s="15"/>
      <c r="G53" s="10" t="n">
        <f aca="false">+IF(AND($E53="Y",$C53=G$2,$C53&gt;0),'bid input'!$F18,IF(AND($E53="Y",$D53=G$3,$C53=0),'bid input'!$F18,0))*G$4</f>
        <v>0</v>
      </c>
      <c r="H53" s="10" t="n">
        <f aca="false">+IF(AND($E53="Y",$C53=H$2,$C53&gt;0),'bid input'!$F18,IF(AND($E53="Y",$D53=H$3,$C53=0),'bid input'!$F18,0))*H$4</f>
        <v>0</v>
      </c>
      <c r="I53" s="10" t="n">
        <f aca="false">+IF(AND($E53="Y",$C53=I$2,$C53&gt;0),'bid input'!$F18,IF(AND($E53="Y",$D53=I$3,$C53=0),'bid input'!$F18,0))*I$4</f>
        <v>0</v>
      </c>
      <c r="J53" s="10" t="n">
        <f aca="false">+IF(AND($E53="Y",$C53=J$2,$C53&gt;0),'bid input'!$F18,IF(AND($E53="Y",$D53=J$3,$C53=0),'bid input'!$F18,0))*J$4</f>
        <v>0</v>
      </c>
      <c r="K53" s="10" t="n">
        <f aca="false">+IF(AND($E53="Y",$C53=K$2,$C53&gt;0),'bid input'!$F18,IF(AND($E53="Y",$D53=K$3,$C53=0),'bid input'!$F18,0))*K$4</f>
        <v>0</v>
      </c>
      <c r="L53" s="10" t="n">
        <f aca="false">+IF(AND($E53="Y",$C53=L$2,$C53&gt;0),'bid input'!$F18,IF(AND($E53="Y",$D53=L$3,$C53=0),'bid input'!$F18,0))*L$4</f>
        <v>0</v>
      </c>
      <c r="M53" s="10" t="n">
        <f aca="false">SUM(G53:L53)</f>
        <v>0</v>
      </c>
    </row>
    <row collapsed="false" customFormat="false" customHeight="false" hidden="true" ht="14" outlineLevel="1" r="54">
      <c r="B54" s="8" t="n">
        <f aca="false">+B25</f>
        <v>1104156</v>
      </c>
      <c r="C54" s="8" t="n">
        <f aca="false">+C25</f>
        <v>2</v>
      </c>
      <c r="D54" s="8" t="n">
        <f aca="false">+D25</f>
        <v>0</v>
      </c>
      <c r="E54" s="14" t="str">
        <f aca="false">+IF('bid input'!P19=1,"Y","N")</f>
        <v>Y</v>
      </c>
      <c r="F54" s="15"/>
      <c r="G54" s="10" t="n">
        <f aca="false">+IF(AND($E54="Y",$C54=G$2,$C54&gt;0),'bid input'!$F19,IF(AND($E54="Y",$D54=G$3,$C54=0),'bid input'!$F19,0))*G$4</f>
        <v>0</v>
      </c>
      <c r="H54" s="10" t="n">
        <f aca="false">+IF(AND($E54="Y",$C54=H$2,$C54&gt;0),'bid input'!$F19,IF(AND($E54="Y",$D54=H$3,$C54=0),'bid input'!$F19,0))*H$4</f>
        <v>75137</v>
      </c>
      <c r="I54" s="10" t="n">
        <f aca="false">+IF(AND($E54="Y",$C54=I$2,$C54&gt;0),'bid input'!$F19,IF(AND($E54="Y",$D54=I$3,$C54=0),'bid input'!$F19,0))*I$4</f>
        <v>0</v>
      </c>
      <c r="J54" s="10" t="n">
        <f aca="false">+IF(AND($E54="Y",$C54=J$2,$C54&gt;0),'bid input'!$F19,IF(AND($E54="Y",$D54=J$3,$C54=0),'bid input'!$F19,0))*J$4</f>
        <v>0</v>
      </c>
      <c r="K54" s="10" t="n">
        <f aca="false">+IF(AND($E54="Y",$C54=K$2,$C54&gt;0),'bid input'!$F19,IF(AND($E54="Y",$D54=K$3,$C54=0),'bid input'!$F19,0))*K$4</f>
        <v>0</v>
      </c>
      <c r="L54" s="10" t="n">
        <f aca="false">+IF(AND($E54="Y",$C54=L$2,$C54&gt;0),'bid input'!$F19,IF(AND($E54="Y",$D54=L$3,$C54=0),'bid input'!$F19,0))*L$4</f>
        <v>0</v>
      </c>
      <c r="M54" s="10" t="n">
        <f aca="false">SUM(G54:L54)</f>
        <v>75137</v>
      </c>
    </row>
    <row collapsed="false" customFormat="false" customHeight="false" hidden="true" ht="14" outlineLevel="1" r="55">
      <c r="B55" s="8" t="n">
        <f aca="false">+B26</f>
        <v>1104157</v>
      </c>
      <c r="C55" s="8" t="n">
        <f aca="false">+C26</f>
        <v>0</v>
      </c>
      <c r="D55" s="8" t="n">
        <f aca="false">+D26</f>
        <v>0</v>
      </c>
      <c r="E55" s="14" t="str">
        <f aca="false">+IF('bid input'!P20=1,"Y","N")</f>
        <v>N</v>
      </c>
      <c r="F55" s="15"/>
      <c r="G55" s="10" t="n">
        <f aca="false">+IF(AND($E55="Y",$C55=G$2,$C55&gt;0),'bid input'!$F20,IF(AND($E55="Y",$D55=G$3,$C55=0),'bid input'!$F20,0))*G$4</f>
        <v>0</v>
      </c>
      <c r="H55" s="10" t="n">
        <f aca="false">+IF(AND($E55="Y",$C55=H$2,$C55&gt;0),'bid input'!$F20,IF(AND($E55="Y",$D55=H$3,$C55=0),'bid input'!$F20,0))*H$4</f>
        <v>0</v>
      </c>
      <c r="I55" s="10" t="n">
        <f aca="false">+IF(AND($E55="Y",$C55=I$2,$C55&gt;0),'bid input'!$F20,IF(AND($E55="Y",$D55=I$3,$C55=0),'bid input'!$F20,0))*I$4</f>
        <v>0</v>
      </c>
      <c r="J55" s="10" t="n">
        <f aca="false">+IF(AND($E55="Y",$C55=J$2,$C55&gt;0),'bid input'!$F20,IF(AND($E55="Y",$D55=J$3,$C55=0),'bid input'!$F20,0))*J$4</f>
        <v>0</v>
      </c>
      <c r="K55" s="10" t="n">
        <f aca="false">+IF(AND($E55="Y",$C55=K$2,$C55&gt;0),'bid input'!$F20,IF(AND($E55="Y",$D55=K$3,$C55=0),'bid input'!$F20,0))*K$4</f>
        <v>0</v>
      </c>
      <c r="L55" s="10" t="n">
        <f aca="false">+IF(AND($E55="Y",$C55=L$2,$C55&gt;0),'bid input'!$F20,IF(AND($E55="Y",$D55=L$3,$C55=0),'bid input'!$F20,0))*L$4</f>
        <v>0</v>
      </c>
      <c r="M55" s="10" t="n">
        <f aca="false">SUM(G55:L55)</f>
        <v>0</v>
      </c>
    </row>
    <row collapsed="false" customFormat="false" customHeight="false" hidden="true" ht="14" outlineLevel="1" r="56">
      <c r="B56" s="8" t="n">
        <f aca="false">+B27</f>
        <v>1104158</v>
      </c>
      <c r="C56" s="8" t="n">
        <f aca="false">+C27</f>
        <v>1</v>
      </c>
      <c r="D56" s="8" t="n">
        <f aca="false">+D27</f>
        <v>0</v>
      </c>
      <c r="E56" s="14" t="str">
        <f aca="false">+IF('bid input'!P21=1,"Y","N")</f>
        <v>N</v>
      </c>
      <c r="F56" s="15"/>
      <c r="G56" s="10" t="n">
        <f aca="false">+IF(AND($E56="Y",$C56=G$2,$C56&gt;0),'bid input'!$F21,IF(AND($E56="Y",$D56=G$3,$C56=0),'bid input'!$F21,0))*G$4</f>
        <v>0</v>
      </c>
      <c r="H56" s="10" t="n">
        <f aca="false">+IF(AND($E56="Y",$C56=H$2,$C56&gt;0),'bid input'!$F21,IF(AND($E56="Y",$D56=H$3,$C56=0),'bid input'!$F21,0))*H$4</f>
        <v>0</v>
      </c>
      <c r="I56" s="10" t="n">
        <f aca="false">+IF(AND($E56="Y",$C56=I$2,$C56&gt;0),'bid input'!$F21,IF(AND($E56="Y",$D56=I$3,$C56=0),'bid input'!$F21,0))*I$4</f>
        <v>0</v>
      </c>
      <c r="J56" s="10" t="n">
        <f aca="false">+IF(AND($E56="Y",$C56=J$2,$C56&gt;0),'bid input'!$F21,IF(AND($E56="Y",$D56=J$3,$C56=0),'bid input'!$F21,0))*J$4</f>
        <v>0</v>
      </c>
      <c r="K56" s="10" t="n">
        <f aca="false">+IF(AND($E56="Y",$C56=K$2,$C56&gt;0),'bid input'!$F21,IF(AND($E56="Y",$D56=K$3,$C56=0),'bid input'!$F21,0))*K$4</f>
        <v>0</v>
      </c>
      <c r="L56" s="10" t="n">
        <f aca="false">+IF(AND($E56="Y",$C56=L$2,$C56&gt;0),'bid input'!$F21,IF(AND($E56="Y",$D56=L$3,$C56=0),'bid input'!$F21,0))*L$4</f>
        <v>0</v>
      </c>
      <c r="M56" s="10" t="n">
        <f aca="false">SUM(G56:L56)</f>
        <v>0</v>
      </c>
    </row>
    <row collapsed="false" customFormat="false" customHeight="false" hidden="false" ht="14" outlineLevel="0" r="58">
      <c r="D58" s="16" t="s">
        <v>46</v>
      </c>
      <c r="E58" s="17"/>
      <c r="F58" s="17"/>
      <c r="G58" s="18" t="n">
        <f aca="false">SUM(G37:G57)</f>
        <v>191235</v>
      </c>
      <c r="H58" s="18" t="n">
        <f aca="false">SUM(H37:H57)</f>
        <v>150274</v>
      </c>
      <c r="I58" s="18" t="n">
        <f aca="false">SUM(I37:I57)</f>
        <v>0</v>
      </c>
      <c r="J58" s="18" t="n">
        <f aca="false">SUM(J37:J57)</f>
        <v>105080</v>
      </c>
      <c r="K58" s="18" t="n">
        <f aca="false">SUM(K37:K57)</f>
        <v>103085</v>
      </c>
      <c r="L58" s="18" t="n">
        <f aca="false">SUM(L37:L57)</f>
        <v>0</v>
      </c>
      <c r="M58" s="19" t="n">
        <f aca="false">SUM(G58:L58)</f>
        <v>549674</v>
      </c>
    </row>
    <row collapsed="false" customFormat="false" customHeight="false" hidden="false" ht="14" outlineLevel="0" r="59">
      <c r="D59" s="20" t="s">
        <v>40</v>
      </c>
      <c r="E59" s="21"/>
      <c r="F59" s="21"/>
      <c r="G59" s="22" t="inlineStr">
        <f aca="false">+G36</f>
        <is>
          <t/>
        </is>
      </c>
      <c r="H59" s="22" t="inlineStr">
        <f aca="false">+H36</f>
        <is>
          <t/>
        </is>
      </c>
      <c r="I59" s="22" t="inlineStr">
        <f aca="false">+I36</f>
        <is>
          <t/>
        </is>
      </c>
      <c r="J59" s="22" t="inlineStr">
        <f aca="false">+J36</f>
        <is>
          <t/>
        </is>
      </c>
      <c r="K59" s="22" t="inlineStr">
        <f aca="false">+K36</f>
        <is>
          <t/>
        </is>
      </c>
      <c r="L59" s="22" t="inlineStr">
        <f aca="false">+L36</f>
        <is>
          <t/>
        </is>
      </c>
      <c r="M59" s="23" t="n">
        <f aca="false">+SUMPRODUCT(G58:L58,G59:L59)/M58</f>
        <v>0.0301376406742906</v>
      </c>
    </row>
    <row collapsed="false" customFormat="false" customHeight="false" hidden="false" ht="14" outlineLevel="0" r="60">
      <c r="D60" s="26"/>
      <c r="E60" s="26"/>
      <c r="F60" s="26"/>
      <c r="G60" s="15"/>
      <c r="H60" s="15"/>
      <c r="I60" s="15"/>
      <c r="J60" s="15"/>
      <c r="K60" s="15"/>
      <c r="L60" s="15"/>
      <c r="M60" s="15"/>
    </row>
    <row collapsed="false" customFormat="false" customHeight="false" hidden="false" ht="14" outlineLevel="0" r="61">
      <c r="D61" s="0" t="s">
        <v>41</v>
      </c>
      <c r="G61" s="10" t="n">
        <f aca="false">+G32-G58</f>
        <v>31872.5</v>
      </c>
      <c r="H61" s="10" t="n">
        <f aca="false">+H32-H58</f>
        <v>225411</v>
      </c>
      <c r="I61" s="10" t="n">
        <f aca="false">+I32-I58</f>
        <v>383900</v>
      </c>
      <c r="J61" s="10" t="n">
        <f aca="false">+J32-J58</f>
        <v>105080</v>
      </c>
      <c r="K61" s="10" t="n">
        <f aca="false">+K32-K58</f>
        <v>206170</v>
      </c>
      <c r="L61" s="10" t="n">
        <f aca="false">+L32-L58</f>
        <v>485000</v>
      </c>
      <c r="M61" s="10" t="n">
        <f aca="false">+M32-M58</f>
        <v>1437433.5</v>
      </c>
    </row>
    <row collapsed="false" customFormat="false" customHeight="false" hidden="false" ht="14" outlineLevel="0" r="62">
      <c r="D62" s="0" t="s">
        <v>42</v>
      </c>
      <c r="G62" s="24" t="str">
        <f aca="false">+IF(G61=0,"NA",IF(G61&lt;0,"OVER","UNDER"))</f>
        <v>UNDER</v>
      </c>
      <c r="H62" s="24" t="str">
        <f aca="false">+IF(H61=0,"NA",IF(H61&lt;0,"OVER","UNDER"))</f>
        <v>UNDER</v>
      </c>
      <c r="I62" s="24" t="str">
        <f aca="false">+IF(I61=0,"NA",IF(I61&lt;0,"OVER","UNDER"))</f>
        <v>UNDER</v>
      </c>
      <c r="J62" s="24" t="str">
        <f aca="false">+IF(J61=0,"NA",IF(J61&lt;0,"OVER","UNDER"))</f>
        <v>UNDER</v>
      </c>
      <c r="K62" s="24" t="str">
        <f aca="false">+IF(K61=0,"NA",IF(K61&lt;0,"OVER","UNDER"))</f>
        <v>UNDER</v>
      </c>
      <c r="L62" s="24" t="str">
        <f aca="false">+IF(L61=0,"NA",IF(L61&lt;0,"OVER","UNDER"))</f>
        <v>UNDER</v>
      </c>
      <c r="M62" s="24" t="str">
        <f aca="false">+IF(M61=0,"NA",IF(M61&lt;0,"OVER","UNDER"))</f>
        <v>UNDER</v>
      </c>
    </row>
    <row collapsed="false" customFormat="false" customHeight="false" hidden="false" ht="14" outlineLevel="0" r="63">
      <c r="D63" s="26"/>
      <c r="E63" s="26"/>
      <c r="F63" s="26"/>
      <c r="G63" s="15"/>
      <c r="H63" s="15"/>
      <c r="I63" s="15"/>
      <c r="J63" s="15"/>
      <c r="K63" s="15"/>
      <c r="L63" s="15"/>
      <c r="M63" s="15"/>
    </row>
    <row collapsed="false" customFormat="false" customHeight="false" hidden="false" ht="14" outlineLevel="0" r="64">
      <c r="A64" s="0" t="s">
        <v>47</v>
      </c>
    </row>
    <row collapsed="false" customFormat="false" customHeight="false" hidden="false" ht="14" outlineLevel="0" r="65">
      <c r="D65" s="27" t="s">
        <v>48</v>
      </c>
      <c r="E65" s="28"/>
      <c r="F65" s="28"/>
      <c r="G65" s="29" t="n">
        <f aca="false">+G29+G58</f>
        <v>286852.5</v>
      </c>
      <c r="H65" s="29" t="n">
        <f aca="false">+H29+H58</f>
        <v>150274</v>
      </c>
      <c r="I65" s="29" t="n">
        <f aca="false">+I29+I58</f>
        <v>95975</v>
      </c>
      <c r="J65" s="29" t="n">
        <f aca="false">+J29+J58</f>
        <v>420320</v>
      </c>
      <c r="K65" s="29" t="n">
        <f aca="false">+K29+K58</f>
        <v>309255</v>
      </c>
      <c r="L65" s="29" t="n">
        <f aca="false">+L29+L58</f>
        <v>0</v>
      </c>
      <c r="M65" s="30" t="n">
        <f aca="false">+M29+M58</f>
        <v>1262676.5</v>
      </c>
    </row>
    <row collapsed="false" customFormat="false" customHeight="false" hidden="false" ht="14" outlineLevel="0" r="66">
      <c r="D66" s="31" t="s">
        <v>49</v>
      </c>
      <c r="E66" s="32"/>
      <c r="F66" s="32"/>
      <c r="G66" s="33" t="n">
        <f aca="false">+G65/G4</f>
        <v>0.9</v>
      </c>
      <c r="H66" s="33" t="n">
        <f aca="false">+H65/H4</f>
        <v>0.4</v>
      </c>
      <c r="I66" s="33" t="n">
        <f aca="false">+I65/I4</f>
        <v>0.2</v>
      </c>
      <c r="J66" s="33" t="n">
        <f aca="false">+J65/J4</f>
        <v>0.8</v>
      </c>
      <c r="K66" s="33" t="n">
        <f aca="false">+K65/K4</f>
        <v>0.6</v>
      </c>
      <c r="L66" s="33" t="n">
        <f aca="false">+L65/L4</f>
        <v>0</v>
      </c>
      <c r="M66" s="34"/>
    </row>
    <row collapsed="false" customFormat="false" customHeight="false" hidden="false" ht="14" outlineLevel="0" r="67">
      <c r="D67" s="35" t="s">
        <v>40</v>
      </c>
      <c r="E67" s="36"/>
      <c r="F67" s="36"/>
      <c r="G67" s="37" t="n">
        <f aca="false">+IF(ISERR((G29*G30)+(G58*G59))/(G58+G29),G59,((G29*G30)+(G58*G59))/(G58+G29))</f>
        <v>0.0216666666666667</v>
      </c>
      <c r="H67" s="37" t="inlineStr">
        <f aca="false">+IF(ISERR((H29*H30)+(H58*H59))/(H58+H29),H59,((H29*H30)+(H58*H59))/(H58+H29))</f>
        <is>
          <t/>
        </is>
      </c>
      <c r="I67" s="37" t="n">
        <f aca="false">+IF(ISERR((I29*I30)+(I58*I59))/(I58+I29),I59,((I29*I30)+(I58*I59))/(I58+I29))</f>
        <v>0.03</v>
      </c>
      <c r="J67" s="37" t="n">
        <f aca="false">+IF(ISERR((J29*J30)+(J58*J59))/(J58+J29),J59,((J29*J30)+(J58*J59))/(J58+J29))</f>
        <v>0.0475</v>
      </c>
      <c r="K67" s="37" t="n">
        <f aca="false">+IF(ISERR((K29*K30)+(K58*K59))/(K58+K29),K59,((K29*K30)+(K58*K59))/(K58+K29))</f>
        <v>0.02375</v>
      </c>
      <c r="L67" s="37" t="e">
        <f aca="false">+IF(ISERR((L29*L30)+(L58*L59))/(L58+L29),L59,((L29*L30)+(L58*L59))/(L58+L29))</f>
        <v>#DIV/0!</v>
      </c>
      <c r="M67" s="38" t="n">
        <f aca="false">+((M29*M30)+(M58*M59))/(M58+M29)</f>
        <v>0.0315089088535345</v>
      </c>
    </row>
    <row collapsed="false" customFormat="false" customHeight="false" hidden="false" ht="14" outlineLevel="0" r="69">
      <c r="A69" s="0" t="s">
        <v>50</v>
      </c>
    </row>
    <row collapsed="false" customFormat="false" customHeight="false" hidden="false" ht="28.35" outlineLevel="1" r="70">
      <c r="B70" s="11" t="s">
        <v>35</v>
      </c>
      <c r="C70" s="12" t="s">
        <v>51</v>
      </c>
      <c r="D70" s="11" t="s">
        <v>38</v>
      </c>
      <c r="E70" s="11" t="s">
        <v>52</v>
      </c>
      <c r="F70" s="39"/>
      <c r="G70" s="39" t="s">
        <v>53</v>
      </c>
      <c r="I70" s="39" t="s">
        <v>54</v>
      </c>
    </row>
    <row collapsed="false" customFormat="false" customHeight="false" hidden="false" ht="14" outlineLevel="1" r="71">
      <c r="B71" s="8" t="n">
        <f aca="false">+'bid input'!B2</f>
        <v>1104134</v>
      </c>
      <c r="C71" s="14" t="str">
        <f aca="false">+IF('bid input'!Q2=1,"Y","N")</f>
        <v>N</v>
      </c>
      <c r="D71" s="15" t="n">
        <f aca="false">+IF(C71="N",0,'bid input'!K2)</f>
        <v>0</v>
      </c>
      <c r="E71" s="10" t="n">
        <f aca="false">+MIN('bid input'!D2,'bid input'!M2)</f>
        <v>187500</v>
      </c>
      <c r="F71" s="40" t="n">
        <f aca="false">+IF(D71&gt;0,E71,0)</f>
        <v>0</v>
      </c>
      <c r="G71" s="40" t="n">
        <f aca="false">+IF($F71&gt;0,RANK($D71,$D$71:$D$90),0)</f>
        <v>0</v>
      </c>
      <c r="H71" s="41" t="n">
        <f aca="false">+VLOOKUP(G71,$D$96:$E$102,2,0)</f>
        <v>0</v>
      </c>
      <c r="I71" s="41" t="n">
        <f aca="false">+F71-H71</f>
        <v>0</v>
      </c>
      <c r="J71" s="41"/>
      <c r="K71" s="41"/>
      <c r="L71" s="41"/>
    </row>
    <row collapsed="false" customFormat="false" customHeight="false" hidden="false" ht="14" outlineLevel="1" r="72">
      <c r="B72" s="8" t="n">
        <f aca="false">+'bid input'!B3</f>
        <v>1104143</v>
      </c>
      <c r="C72" s="14" t="str">
        <f aca="false">+IF('bid input'!Q3=1,"Y","N")</f>
        <v>N</v>
      </c>
      <c r="D72" s="15" t="n">
        <f aca="false">+IF(C72="N",0,'bid input'!K3)</f>
        <v>0</v>
      </c>
      <c r="E72" s="10" t="n">
        <f aca="false">+MIN('bid input'!D3,'bid input'!M3)</f>
        <v>500000</v>
      </c>
      <c r="F72" s="40" t="n">
        <f aca="false">+IF(D72&gt;0,E72,0)</f>
        <v>0</v>
      </c>
      <c r="G72" s="40" t="n">
        <f aca="false">+IF($F72&gt;0,RANK($D72,$D$71:$D$90),0)</f>
        <v>0</v>
      </c>
      <c r="H72" s="41" t="n">
        <f aca="false">+VLOOKUP(G72,$D$96:$E$102,2,0)</f>
        <v>0</v>
      </c>
      <c r="I72" s="41" t="n">
        <f aca="false">+F72-H72</f>
        <v>0</v>
      </c>
      <c r="J72" s="41"/>
      <c r="K72" s="41"/>
      <c r="L72" s="41"/>
    </row>
    <row collapsed="false" customFormat="false" customHeight="false" hidden="false" ht="14" outlineLevel="1" r="73">
      <c r="B73" s="8" t="n">
        <f aca="false">+'bid input'!B4</f>
        <v>1104154</v>
      </c>
      <c r="C73" s="14" t="str">
        <f aca="false">+IF('bid input'!Q4=1,"Y","N")</f>
        <v>Y</v>
      </c>
      <c r="D73" s="15" t="inlineStr">
        <f aca="false">+IF(C73="N",0,'bid input'!K4)</f>
        <is>
          <t/>
        </is>
      </c>
      <c r="E73" s="10" t="n">
        <f aca="false">+MIN('bid input'!D4,'bid input'!M4)</f>
        <v>185000</v>
      </c>
      <c r="F73" s="40" t="n">
        <f aca="false">+IF(D73&gt;0,E73,0)</f>
        <v>185000</v>
      </c>
      <c r="G73" s="40" t="n">
        <f aca="false">+IF($F73&gt;0,RANK($D73,$D$71:$D$90),0)</f>
        <v>1</v>
      </c>
      <c r="H73" s="41" t="n">
        <f aca="false">+VLOOKUP(G73,$D$96:$E$102,2,0)</f>
        <v>0</v>
      </c>
      <c r="I73" s="41" t="n">
        <f aca="false">+F73-H73</f>
        <v>185000</v>
      </c>
      <c r="J73" s="41"/>
      <c r="K73" s="41"/>
      <c r="L73" s="41"/>
    </row>
    <row collapsed="false" customFormat="false" customHeight="false" hidden="false" ht="14" outlineLevel="1" r="74">
      <c r="B74" s="8" t="n">
        <f aca="false">+'bid input'!B5</f>
        <v>1104152</v>
      </c>
      <c r="C74" s="14" t="str">
        <f aca="false">+IF('bid input'!Q5=1,"Y","N")</f>
        <v>N</v>
      </c>
      <c r="D74" s="15" t="n">
        <f aca="false">+IF(C74="N",0,'bid input'!K5)</f>
        <v>0</v>
      </c>
      <c r="E74" s="10" t="n">
        <f aca="false">+MIN('bid input'!D5,'bid input'!M5)</f>
        <v>1500000</v>
      </c>
      <c r="F74" s="40" t="n">
        <f aca="false">+IF(D74&gt;0,E74,0)</f>
        <v>0</v>
      </c>
      <c r="G74" s="40" t="n">
        <f aca="false">+IF($F74&gt;0,RANK($D74,$D$71:$D$90),0)</f>
        <v>0</v>
      </c>
      <c r="H74" s="41" t="n">
        <f aca="false">+VLOOKUP(G74,$D$96:$E$102,2,0)</f>
        <v>0</v>
      </c>
      <c r="I74" s="41" t="n">
        <f aca="false">+F74-H74</f>
        <v>0</v>
      </c>
      <c r="J74" s="41"/>
      <c r="K74" s="41"/>
      <c r="L74" s="41"/>
    </row>
    <row collapsed="false" customFormat="false" customHeight="false" hidden="false" ht="14" outlineLevel="1" r="75">
      <c r="B75" s="8" t="n">
        <f aca="false">+'bid input'!B6</f>
        <v>1104136</v>
      </c>
      <c r="C75" s="14" t="str">
        <f aca="false">+IF('bid input'!Q6=1,"Y","N")</f>
        <v>N</v>
      </c>
      <c r="D75" s="15" t="n">
        <f aca="false">+IF(C75="N",0,'bid input'!K6)</f>
        <v>0</v>
      </c>
      <c r="E75" s="10" t="n">
        <f aca="false">+MIN('bid input'!D6,'bid input'!M6)</f>
        <v>860000</v>
      </c>
      <c r="F75" s="40" t="n">
        <f aca="false">+IF(D75&gt;0,E75,0)</f>
        <v>0</v>
      </c>
      <c r="G75" s="40" t="n">
        <f aca="false">+IF($F75&gt;0,RANK($D75,$D$71:$D$90),0)</f>
        <v>0</v>
      </c>
      <c r="H75" s="41" t="n">
        <f aca="false">+VLOOKUP(G75,$D$96:$E$102,2,0)</f>
        <v>0</v>
      </c>
      <c r="I75" s="41" t="n">
        <f aca="false">+F75-H75</f>
        <v>0</v>
      </c>
      <c r="J75" s="41"/>
      <c r="K75" s="41"/>
      <c r="L75" s="41"/>
    </row>
    <row collapsed="false" customFormat="false" customHeight="false" hidden="false" ht="14" outlineLevel="1" r="76">
      <c r="B76" s="8" t="n">
        <f aca="false">+'bid input'!B7</f>
        <v>1104138</v>
      </c>
      <c r="C76" s="14" t="str">
        <f aca="false">+IF('bid input'!Q7=1,"Y","N")</f>
        <v>Y</v>
      </c>
      <c r="D76" s="15" t="inlineStr">
        <f aca="false">+IF(C76="N",0,'bid input'!K7)</f>
        <is>
          <t/>
        </is>
      </c>
      <c r="E76" s="10" t="n">
        <f aca="false">+MIN('bid input'!D7,'bid input'!M7)</f>
        <v>300000</v>
      </c>
      <c r="F76" s="40" t="n">
        <f aca="false">+IF(D76&gt;0,E76,0)</f>
        <v>300000</v>
      </c>
      <c r="G76" s="40" t="n">
        <f aca="false">+IF($F76&gt;0,RANK($D76,$D$71:$D$90),0)</f>
        <v>4</v>
      </c>
      <c r="H76" s="41" t="n">
        <f aca="false">+VLOOKUP(G76,$D$96:$E$102,2,0)</f>
        <v>0</v>
      </c>
      <c r="I76" s="41" t="n">
        <f aca="false">+F76-H76</f>
        <v>300000</v>
      </c>
      <c r="J76" s="41"/>
      <c r="K76" s="41"/>
      <c r="L76" s="41"/>
    </row>
    <row collapsed="false" customFormat="false" customHeight="false" hidden="false" ht="14" outlineLevel="1" r="77">
      <c r="B77" s="8" t="n">
        <f aca="false">+'bid input'!B8</f>
        <v>1104139</v>
      </c>
      <c r="C77" s="14" t="str">
        <f aca="false">+IF('bid input'!Q8=1,"Y","N")</f>
        <v>Y</v>
      </c>
      <c r="D77" s="15" t="inlineStr">
        <f aca="false">+IF(C77="N",0,'bid input'!K8)</f>
        <is>
          <t/>
        </is>
      </c>
      <c r="E77" s="10" t="n">
        <f aca="false">+MIN('bid input'!D8,'bid input'!M8)</f>
        <v>250000</v>
      </c>
      <c r="F77" s="40" t="n">
        <f aca="false">+IF(D77&gt;0,E77,0)</f>
        <v>250000</v>
      </c>
      <c r="G77" s="40" t="n">
        <f aca="false">+IF($F77&gt;0,RANK($D77,$D$71:$D$90),0)</f>
        <v>3</v>
      </c>
      <c r="H77" s="41" t="n">
        <f aca="false">+VLOOKUP(G77,$D$96:$E$102,2,0)</f>
        <v>0</v>
      </c>
      <c r="I77" s="41" t="n">
        <f aca="false">+F77-H77</f>
        <v>250000</v>
      </c>
      <c r="J77" s="41"/>
      <c r="K77" s="41"/>
      <c r="L77" s="41"/>
    </row>
    <row collapsed="false" customFormat="false" customHeight="false" hidden="false" ht="14" outlineLevel="1" r="78">
      <c r="B78" s="8" t="n">
        <f aca="false">+'bid input'!B9</f>
        <v>1104140</v>
      </c>
      <c r="C78" s="14" t="str">
        <f aca="false">+IF('bid input'!Q9=1,"Y","N")</f>
        <v>N</v>
      </c>
      <c r="D78" s="15" t="n">
        <f aca="false">+IF(C78="N",0,'bid input'!K9)</f>
        <v>0</v>
      </c>
      <c r="E78" s="10" t="n">
        <f aca="false">+MIN('bid input'!D9,'bid input'!M9)</f>
        <v>74000</v>
      </c>
      <c r="F78" s="40" t="n">
        <f aca="false">+IF(D78&gt;0,E78,0)</f>
        <v>0</v>
      </c>
      <c r="G78" s="40" t="n">
        <f aca="false">+IF($F78&gt;0,RANK($D78,$D$71:$D$90),0)</f>
        <v>0</v>
      </c>
      <c r="H78" s="41" t="n">
        <f aca="false">+VLOOKUP(G78,$D$96:$E$102,2,0)</f>
        <v>0</v>
      </c>
      <c r="I78" s="41" t="n">
        <f aca="false">+F78-H78</f>
        <v>0</v>
      </c>
      <c r="J78" s="41"/>
      <c r="K78" s="41"/>
      <c r="L78" s="41"/>
    </row>
    <row collapsed="false" customFormat="false" customHeight="false" hidden="false" ht="14" outlineLevel="1" r="79">
      <c r="B79" s="8" t="n">
        <f aca="false">+'bid input'!B10</f>
        <v>1104141</v>
      </c>
      <c r="C79" s="14" t="str">
        <f aca="false">+IF('bid input'!Q10=1,"Y","N")</f>
        <v>Y</v>
      </c>
      <c r="D79" s="15" t="inlineStr">
        <f aca="false">+IF(C79="N",0,'bid input'!K10)</f>
        <is>
          <t/>
        </is>
      </c>
      <c r="E79" s="10" t="n">
        <f aca="false">+MIN('bid input'!D10,'bid input'!M10)</f>
        <v>285000</v>
      </c>
      <c r="F79" s="40" t="n">
        <f aca="false">+IF(D79&gt;0,E79,0)</f>
        <v>285000</v>
      </c>
      <c r="G79" s="40" t="n">
        <f aca="false">+IF($F79&gt;0,RANK($D79,$D$71:$D$90),0)</f>
        <v>2</v>
      </c>
      <c r="H79" s="41" t="n">
        <f aca="false">+VLOOKUP(G79,$D$96:$E$102,2,0)</f>
        <v>0</v>
      </c>
      <c r="I79" s="41" t="n">
        <f aca="false">+F79-H79</f>
        <v>285000</v>
      </c>
      <c r="J79" s="41"/>
      <c r="K79" s="41"/>
      <c r="L79" s="41"/>
    </row>
    <row collapsed="false" customFormat="false" customHeight="false" hidden="false" ht="14" outlineLevel="1" r="80">
      <c r="B80" s="8" t="n">
        <f aca="false">+'bid input'!B11</f>
        <v>1104159</v>
      </c>
      <c r="C80" s="14" t="str">
        <f aca="false">+IF('bid input'!Q11=1,"Y","N")</f>
        <v>N</v>
      </c>
      <c r="D80" s="15" t="n">
        <f aca="false">+IF(C80="N",0,'bid input'!K11)</f>
        <v>0</v>
      </c>
      <c r="E80" s="10" t="n">
        <f aca="false">+MIN('bid input'!D11,'bid input'!M11)</f>
        <v>532000</v>
      </c>
      <c r="F80" s="40" t="n">
        <f aca="false">+IF(D80&gt;0,E80,0)</f>
        <v>0</v>
      </c>
      <c r="G80" s="40" t="n">
        <f aca="false">+IF($F80&gt;0,RANK($D80,$D$71:$D$90),0)</f>
        <v>0</v>
      </c>
      <c r="H80" s="41" t="n">
        <f aca="false">+VLOOKUP(G80,$D$96:$E$102,2,0)</f>
        <v>0</v>
      </c>
      <c r="I80" s="41" t="n">
        <f aca="false">+F80-H80</f>
        <v>0</v>
      </c>
      <c r="J80" s="41"/>
      <c r="K80" s="41"/>
      <c r="L80" s="41"/>
    </row>
    <row collapsed="false" customFormat="false" customHeight="false" hidden="false" ht="14" outlineLevel="1" r="81">
      <c r="B81" s="8" t="n">
        <f aca="false">+'bid input'!B12</f>
        <v>1104161</v>
      </c>
      <c r="C81" s="14" t="str">
        <f aca="false">+IF('bid input'!Q12=1,"Y","N")</f>
        <v>N</v>
      </c>
      <c r="D81" s="15" t="n">
        <f aca="false">+IF(C81="N",0,'bid input'!K12)</f>
        <v>0</v>
      </c>
      <c r="E81" s="10" t="n">
        <f aca="false">+MIN('bid input'!D12,'bid input'!M12)</f>
        <v>292000</v>
      </c>
      <c r="F81" s="40" t="n">
        <f aca="false">+IF(D81&gt;0,E81,0)</f>
        <v>0</v>
      </c>
      <c r="G81" s="40" t="n">
        <f aca="false">+IF($F81&gt;0,RANK($D81,$D$71:$D$90),0)</f>
        <v>0</v>
      </c>
      <c r="H81" s="41" t="n">
        <f aca="false">+VLOOKUP(G81,$D$96:$E$102,2,0)</f>
        <v>0</v>
      </c>
      <c r="I81" s="41" t="n">
        <f aca="false">+F81-H81</f>
        <v>0</v>
      </c>
      <c r="J81" s="41"/>
      <c r="K81" s="41"/>
      <c r="L81" s="41"/>
    </row>
    <row collapsed="false" customFormat="false" customHeight="false" hidden="false" ht="14" outlineLevel="1" r="82">
      <c r="B82" s="8" t="n">
        <f aca="false">+'bid input'!B13</f>
        <v>1104145</v>
      </c>
      <c r="C82" s="14" t="str">
        <f aca="false">+IF('bid input'!Q13=1,"Y","N")</f>
        <v>N</v>
      </c>
      <c r="D82" s="15" t="n">
        <f aca="false">+IF(C82="N",0,'bid input'!K13)</f>
        <v>0</v>
      </c>
      <c r="E82" s="10" t="n">
        <f aca="false">+MIN('bid input'!D13,'bid input'!M13)</f>
        <v>752000</v>
      </c>
      <c r="F82" s="40" t="n">
        <f aca="false">+IF(D82&gt;0,E82,0)</f>
        <v>0</v>
      </c>
      <c r="G82" s="40" t="n">
        <f aca="false">+IF($F82&gt;0,RANK($D82,$D$71:$D$90),0)</f>
        <v>0</v>
      </c>
      <c r="H82" s="41" t="n">
        <f aca="false">+VLOOKUP(G82,$D$96:$E$102,2,0)</f>
        <v>0</v>
      </c>
      <c r="I82" s="41" t="n">
        <f aca="false">+F82-H82</f>
        <v>0</v>
      </c>
      <c r="J82" s="41"/>
      <c r="K82" s="41"/>
      <c r="L82" s="41"/>
    </row>
    <row collapsed="false" customFormat="false" customHeight="false" hidden="false" ht="14" outlineLevel="1" r="83">
      <c r="B83" s="8" t="n">
        <f aca="false">+'bid input'!B14</f>
        <v>1104133</v>
      </c>
      <c r="C83" s="14" t="str">
        <f aca="false">+IF('bid input'!Q14=1,"Y","N")</f>
        <v>N</v>
      </c>
      <c r="D83" s="15" t="n">
        <f aca="false">+IF(C83="N",0,'bid input'!K14)</f>
        <v>0</v>
      </c>
      <c r="E83" s="10" t="n">
        <f aca="false">+MIN('bid input'!D14,'bid input'!M14)</f>
        <v>418000</v>
      </c>
      <c r="F83" s="40" t="n">
        <f aca="false">+IF(D83&gt;0,E83,0)</f>
        <v>0</v>
      </c>
      <c r="G83" s="40" t="n">
        <f aca="false">+IF($F83&gt;0,RANK($D83,$D$71:$D$90),0)</f>
        <v>0</v>
      </c>
      <c r="H83" s="41" t="n">
        <f aca="false">+VLOOKUP(G83,$D$96:$E$102,2,0)</f>
        <v>0</v>
      </c>
      <c r="I83" s="41" t="n">
        <f aca="false">+F83-H83</f>
        <v>0</v>
      </c>
      <c r="J83" s="41"/>
      <c r="K83" s="41"/>
      <c r="L83" s="41"/>
    </row>
    <row collapsed="false" customFormat="false" customHeight="false" hidden="false" ht="14" outlineLevel="1" r="84">
      <c r="B84" s="8" t="n">
        <f aca="false">+'bid input'!B15</f>
        <v>1104149</v>
      </c>
      <c r="C84" s="14" t="str">
        <f aca="false">+IF('bid input'!Q15=1,"Y","N")</f>
        <v>N</v>
      </c>
      <c r="D84" s="15" t="n">
        <f aca="false">+IF(C84="N",0,'bid input'!K15)</f>
        <v>0</v>
      </c>
      <c r="E84" s="10" t="n">
        <f aca="false">+MIN('bid input'!D15,'bid input'!M15)</f>
        <v>47000</v>
      </c>
      <c r="F84" s="40" t="n">
        <f aca="false">+IF(D84&gt;0,E84,0)</f>
        <v>0</v>
      </c>
      <c r="G84" s="40" t="n">
        <f aca="false">+IF($F84&gt;0,RANK($D84,$D$71:$D$90),0)</f>
        <v>0</v>
      </c>
      <c r="H84" s="41" t="n">
        <f aca="false">+VLOOKUP(G84,$D$96:$E$102,2,0)</f>
        <v>0</v>
      </c>
      <c r="I84" s="41" t="n">
        <f aca="false">+F84-H84</f>
        <v>0</v>
      </c>
      <c r="J84" s="41"/>
      <c r="K84" s="41"/>
      <c r="L84" s="41"/>
    </row>
    <row collapsed="false" customFormat="false" customHeight="false" hidden="false" ht="14" outlineLevel="1" r="85">
      <c r="B85" s="8" t="n">
        <f aca="false">+'bid input'!B16</f>
        <v>1104151</v>
      </c>
      <c r="C85" s="14" t="str">
        <f aca="false">+IF('bid input'!Q16=1,"Y","N")</f>
        <v>N</v>
      </c>
      <c r="D85" s="15" t="n">
        <f aca="false">+IF(C85="N",0,'bid input'!K16)</f>
        <v>0</v>
      </c>
      <c r="E85" s="10" t="n">
        <f aca="false">+MIN('bid input'!D16,'bid input'!M16)</f>
        <v>283000</v>
      </c>
      <c r="F85" s="40" t="n">
        <f aca="false">+IF(D85&gt;0,E85,0)</f>
        <v>0</v>
      </c>
      <c r="G85" s="40" t="n">
        <f aca="false">+IF($F85&gt;0,RANK($D85,$D$71:$D$90),0)</f>
        <v>0</v>
      </c>
      <c r="H85" s="41" t="n">
        <f aca="false">+VLOOKUP(G85,$D$96:$E$102,2,0)</f>
        <v>0</v>
      </c>
      <c r="I85" s="41" t="n">
        <f aca="false">+F85-H85</f>
        <v>0</v>
      </c>
      <c r="J85" s="41"/>
      <c r="K85" s="41"/>
      <c r="L85" s="41"/>
    </row>
    <row collapsed="false" customFormat="false" customHeight="false" hidden="false" ht="14" outlineLevel="1" r="86">
      <c r="B86" s="8" t="n">
        <f aca="false">+'bid input'!B17</f>
        <v>1104131</v>
      </c>
      <c r="C86" s="14" t="str">
        <f aca="false">+IF('bid input'!Q17=1,"Y","N")</f>
        <v>N</v>
      </c>
      <c r="D86" s="15" t="n">
        <f aca="false">+IF(C86="N",0,'bid input'!K17)</f>
        <v>0</v>
      </c>
      <c r="E86" s="10" t="n">
        <f aca="false">+MIN('bid input'!D17,'bid input'!M17)</f>
        <v>598000</v>
      </c>
      <c r="F86" s="40" t="n">
        <f aca="false">+IF(D86&gt;0,E86,0)</f>
        <v>0</v>
      </c>
      <c r="G86" s="40" t="n">
        <f aca="false">+IF($F86&gt;0,RANK($D86,$D$71:$D$90),0)</f>
        <v>0</v>
      </c>
      <c r="H86" s="41" t="n">
        <f aca="false">+VLOOKUP(G86,$D$96:$E$102,2,0)</f>
        <v>0</v>
      </c>
      <c r="I86" s="41" t="n">
        <f aca="false">+F86-H86</f>
        <v>0</v>
      </c>
      <c r="J86" s="41"/>
      <c r="K86" s="41"/>
      <c r="L86" s="41"/>
    </row>
    <row collapsed="false" customFormat="false" customHeight="false" hidden="false" ht="14" outlineLevel="1" r="87">
      <c r="B87" s="8" t="n">
        <f aca="false">+'bid input'!B18</f>
        <v>1104155</v>
      </c>
      <c r="C87" s="14" t="str">
        <f aca="false">+IF('bid input'!Q18=1,"Y","N")</f>
        <v>N</v>
      </c>
      <c r="D87" s="15" t="n">
        <f aca="false">+IF(C87="N",0,'bid input'!K18)</f>
        <v>0</v>
      </c>
      <c r="E87" s="10" t="n">
        <f aca="false">+MIN('bid input'!D18,'bid input'!M18)</f>
        <v>639000</v>
      </c>
      <c r="F87" s="40" t="n">
        <f aca="false">+IF(D87&gt;0,E87,0)</f>
        <v>0</v>
      </c>
      <c r="G87" s="40" t="n">
        <f aca="false">+IF($F87&gt;0,RANK($D87,$D$71:$D$90),0)</f>
        <v>0</v>
      </c>
      <c r="H87" s="41" t="n">
        <f aca="false">+VLOOKUP(G87,$D$96:$E$102,2,0)</f>
        <v>0</v>
      </c>
      <c r="I87" s="41" t="n">
        <f aca="false">+F87-H87</f>
        <v>0</v>
      </c>
      <c r="J87" s="41"/>
      <c r="K87" s="41"/>
      <c r="L87" s="41"/>
    </row>
    <row collapsed="false" customFormat="false" customHeight="false" hidden="false" ht="14" outlineLevel="1" r="88">
      <c r="B88" s="8" t="n">
        <f aca="false">+'bid input'!B19</f>
        <v>1104156</v>
      </c>
      <c r="C88" s="14" t="str">
        <f aca="false">+IF('bid input'!Q19=1,"Y","N")</f>
        <v>N</v>
      </c>
      <c r="D88" s="15" t="n">
        <f aca="false">+IF(C88="N",0,'bid input'!K19)</f>
        <v>0</v>
      </c>
      <c r="E88" s="10" t="n">
        <f aca="false">+MIN('bid input'!D19,'bid input'!M19)</f>
        <v>274000</v>
      </c>
      <c r="F88" s="40" t="n">
        <f aca="false">+IF(D88&gt;0,E88,0)</f>
        <v>0</v>
      </c>
      <c r="G88" s="40" t="n">
        <f aca="false">+IF($F88&gt;0,RANK($D88,$D$71:$D$90),0)</f>
        <v>0</v>
      </c>
      <c r="H88" s="41" t="n">
        <f aca="false">+VLOOKUP(G88,$D$96:$E$102,2,0)</f>
        <v>0</v>
      </c>
      <c r="I88" s="41" t="n">
        <f aca="false">+F88-H88</f>
        <v>0</v>
      </c>
      <c r="J88" s="41"/>
      <c r="K88" s="41"/>
      <c r="L88" s="41"/>
    </row>
    <row collapsed="false" customFormat="false" customHeight="false" hidden="false" ht="14" outlineLevel="1" r="89">
      <c r="B89" s="8" t="n">
        <f aca="false">+'bid input'!B20</f>
        <v>1104157</v>
      </c>
      <c r="C89" s="14" t="str">
        <f aca="false">+IF('bid input'!Q20=1,"Y","N")</f>
        <v>N</v>
      </c>
      <c r="D89" s="15" t="n">
        <f aca="false">+IF(C89="N",0,'bid input'!K20)</f>
        <v>0</v>
      </c>
      <c r="E89" s="10" t="n">
        <f aca="false">+MIN('bid input'!D20,'bid input'!M20)</f>
        <v>629000</v>
      </c>
      <c r="F89" s="40" t="n">
        <f aca="false">+IF(D89&gt;0,E89,0)</f>
        <v>0</v>
      </c>
      <c r="G89" s="40" t="n">
        <f aca="false">+IF($F89&gt;0,RANK($D89,$D$71:$D$90),0)</f>
        <v>0</v>
      </c>
      <c r="H89" s="41" t="n">
        <f aca="false">+VLOOKUP(G89,$D$96:$E$102,2,0)</f>
        <v>0</v>
      </c>
      <c r="I89" s="41" t="n">
        <f aca="false">+F89-H89</f>
        <v>0</v>
      </c>
      <c r="J89" s="41"/>
      <c r="K89" s="41"/>
      <c r="L89" s="41"/>
    </row>
    <row collapsed="false" customFormat="false" customHeight="false" hidden="false" ht="14" outlineLevel="1" r="90">
      <c r="B90" s="8" t="n">
        <f aca="false">+'bid input'!B21</f>
        <v>1104158</v>
      </c>
      <c r="C90" s="14" t="str">
        <f aca="false">+IF('bid input'!Q21=1,"Y","N")</f>
        <v>N</v>
      </c>
      <c r="D90" s="15" t="n">
        <f aca="false">+IF(C90="N",0,'bid input'!K21)</f>
        <v>0</v>
      </c>
      <c r="E90" s="10" t="n">
        <f aca="false">+MIN('bid input'!D21,'bid input'!M21)</f>
        <v>562000</v>
      </c>
      <c r="F90" s="40" t="n">
        <f aca="false">+IF(D90&gt;0,E90,0)</f>
        <v>0</v>
      </c>
      <c r="G90" s="40" t="n">
        <f aca="false">+IF($F90&gt;0,RANK($D90,$D$71:$D$90),0)</f>
        <v>0</v>
      </c>
      <c r="H90" s="41" t="n">
        <f aca="false">+VLOOKUP(G90,$D$96:$E$102,2,0)</f>
        <v>0</v>
      </c>
      <c r="I90" s="41" t="n">
        <f aca="false">+F90-H90</f>
        <v>0</v>
      </c>
      <c r="J90" s="41"/>
      <c r="K90" s="41"/>
      <c r="L90" s="41"/>
    </row>
    <row collapsed="false" customFormat="false" customHeight="false" hidden="false" ht="14" outlineLevel="1" r="91">
      <c r="B91" s="0" t="s">
        <v>55</v>
      </c>
      <c r="C91" s="8" t="n">
        <f aca="false">+COUNTIF(C71:C90,"Y")</f>
        <v>4</v>
      </c>
      <c r="D91" s="15" t="n">
        <f aca="false">+SUMPRODUCT(E71:E90,D71:D90)/E91</f>
        <v>0.0241911764705882</v>
      </c>
      <c r="E91" s="14" t="n">
        <f aca="false">+SUMIF(C71:C90,"Y",E71:E90)</f>
        <v>1020000</v>
      </c>
      <c r="F91" s="10"/>
      <c r="G91" s="10"/>
      <c r="H91" s="10"/>
      <c r="I91" s="14" t="n">
        <f aca="false">SUM(I71:I90)</f>
        <v>1020000</v>
      </c>
      <c r="J91" s="10"/>
      <c r="K91" s="10"/>
      <c r="L91" s="10"/>
    </row>
    <row collapsed="false" customFormat="false" customHeight="false" hidden="false" ht="14" outlineLevel="1" r="92">
      <c r="D92" s="42"/>
      <c r="I92" s="15" t="n">
        <f aca="false">+SUMPRODUCT(D71:D90,I71:I90)/I91</f>
        <v>0.0241911764705882</v>
      </c>
    </row>
    <row collapsed="false" customFormat="false" customHeight="false" hidden="false" ht="14" outlineLevel="1" r="93">
      <c r="B93" s="0" t="s">
        <v>56</v>
      </c>
      <c r="E93" s="14" t="n">
        <f aca="false">IF(M62="UNDER",+M61,0)</f>
        <v>1437433.5</v>
      </c>
    </row>
    <row collapsed="false" customFormat="false" customHeight="false" hidden="false" ht="14" outlineLevel="1" r="95">
      <c r="B95" s="0" t="s">
        <v>57</v>
      </c>
      <c r="E95" s="14"/>
      <c r="F95" s="10" t="n">
        <f aca="false">+E91-E93</f>
        <v>-417433.5</v>
      </c>
    </row>
    <row collapsed="false" customFormat="false" customHeight="false" hidden="false" ht="14" outlineLevel="1" r="96">
      <c r="D96" s="8" t="n">
        <f aca="false">+C91</f>
        <v>4</v>
      </c>
      <c r="E96" s="41" t="n">
        <f aca="false">+IF(F95&gt;0,MIN(SUMIF($G$71:$G$90,D96,$E$71:$E$90),F95),0)</f>
        <v>0</v>
      </c>
      <c r="F96" s="14" t="n">
        <f aca="false">+F95-E96</f>
        <v>-417433.5</v>
      </c>
    </row>
    <row collapsed="false" customFormat="false" customHeight="false" hidden="false" ht="14" outlineLevel="1" r="97">
      <c r="D97" s="8" t="n">
        <f aca="false">+D96-1</f>
        <v>3</v>
      </c>
      <c r="E97" s="41" t="n">
        <f aca="false">+IF(F96&gt;0,MIN(SUMIF($G$71:$G$90,D97,$E$71:$E$90),F96),0)</f>
        <v>0</v>
      </c>
      <c r="F97" s="14" t="n">
        <f aca="false">+F96-E97</f>
        <v>-417433.5</v>
      </c>
    </row>
    <row collapsed="false" customFormat="false" customHeight="false" hidden="false" ht="14" outlineLevel="1" r="98">
      <c r="D98" s="8" t="n">
        <f aca="false">+D97-1</f>
        <v>2</v>
      </c>
      <c r="E98" s="41" t="n">
        <f aca="false">+IF(F97&gt;0,MIN(SUMIF($G$71:$G$90,D98,$E$71:$E$90),F97),0)</f>
        <v>0</v>
      </c>
      <c r="F98" s="14" t="n">
        <f aca="false">+F97-E98</f>
        <v>-417433.5</v>
      </c>
    </row>
    <row collapsed="false" customFormat="false" customHeight="false" hidden="false" ht="14" outlineLevel="1" r="99">
      <c r="D99" s="8" t="n">
        <f aca="false">+D98-1</f>
        <v>1</v>
      </c>
      <c r="E99" s="41" t="n">
        <f aca="false">+IF(F98&gt;0,MIN(SUMIF($G$71:$G$90,D99,$E$71:$E$90),F98),0)</f>
        <v>0</v>
      </c>
      <c r="F99" s="14" t="n">
        <f aca="false">+F98-E99</f>
        <v>-417433.5</v>
      </c>
    </row>
    <row collapsed="false" customFormat="false" customHeight="false" hidden="false" ht="14" outlineLevel="1" r="100">
      <c r="D100" s="8" t="n">
        <f aca="false">+D99-1</f>
        <v>0</v>
      </c>
      <c r="E100" s="41" t="n">
        <f aca="false">+IF(F99&gt;0,MIN(SUMIF($G$71:$G$90,D100,$E$71:$E$90),F99),0)</f>
        <v>0</v>
      </c>
      <c r="F100" s="14" t="n">
        <f aca="false">+F99-E100</f>
        <v>-417433.5</v>
      </c>
    </row>
    <row collapsed="false" customFormat="false" customHeight="false" hidden="false" ht="14" outlineLevel="1" r="101">
      <c r="D101" s="8" t="n">
        <f aca="false">+D100-1</f>
        <v>-1</v>
      </c>
      <c r="E101" s="41" t="n">
        <f aca="false">+IF(F100&gt;0,MIN(SUMIF($G$71:$G$90,D101,$E$71:$E$90),F100),0)</f>
        <v>0</v>
      </c>
      <c r="F101" s="14" t="n">
        <f aca="false">+F100-E101</f>
        <v>-417433.5</v>
      </c>
    </row>
    <row collapsed="false" customFormat="false" customHeight="false" hidden="false" ht="14" outlineLevel="1" r="102">
      <c r="D102" s="8" t="n">
        <f aca="false">+D101-1</f>
        <v>-2</v>
      </c>
      <c r="E102" s="41" t="n">
        <f aca="false">+IF(F101&gt;0,MIN(SUMIF($G$71:$G$90,D102,$E$71:$E$90),F101),0)</f>
        <v>0</v>
      </c>
      <c r="F102" s="14" t="n">
        <f aca="false">+F101-E102</f>
        <v>-417433.5</v>
      </c>
    </row>
    <row collapsed="false" customFormat="false" customHeight="false" hidden="false" ht="14" outlineLevel="1" r="103">
      <c r="E103" s="14"/>
    </row>
    <row collapsed="false" customFormat="false" customHeight="false" hidden="false" ht="14" outlineLevel="1" r="104">
      <c r="E104" s="14"/>
      <c r="G104" s="10" t="n">
        <f aca="false">+G61</f>
        <v>31872.5</v>
      </c>
      <c r="H104" s="10" t="n">
        <f aca="false">+H61</f>
        <v>225411</v>
      </c>
      <c r="I104" s="10" t="n">
        <f aca="false">+I61</f>
        <v>383900</v>
      </c>
      <c r="J104" s="10" t="n">
        <f aca="false">+J61</f>
        <v>105080</v>
      </c>
      <c r="K104" s="10" t="n">
        <f aca="false">+K61</f>
        <v>206170</v>
      </c>
      <c r="L104" s="10" t="n">
        <f aca="false">+L61</f>
        <v>485000</v>
      </c>
      <c r="M104" s="10" t="n">
        <f aca="false">+M61</f>
        <v>1437433.5</v>
      </c>
    </row>
    <row collapsed="false" customFormat="false" customHeight="false" hidden="false" ht="14" outlineLevel="1" r="105">
      <c r="B105" s="11" t="s">
        <v>35</v>
      </c>
      <c r="C105" s="11" t="s">
        <v>38</v>
      </c>
      <c r="D105" s="11" t="s">
        <v>58</v>
      </c>
      <c r="E105" s="11" t="s">
        <v>59</v>
      </c>
    </row>
    <row collapsed="false" customFormat="false" customHeight="false" hidden="false" ht="14" outlineLevel="1" r="106">
      <c r="B106" s="8" t="n">
        <f aca="false">+B71</f>
        <v>1104134</v>
      </c>
      <c r="C106" s="43" t="inlineStr">
        <f aca="false">+D71</f>
        <is>
          <t/>
        </is>
      </c>
      <c r="D106" s="10" t="n">
        <f aca="false">+I71</f>
        <v>0</v>
      </c>
      <c r="E106" s="43" t="n">
        <f aca="false">+IF(D106&gt;0,C106+(SUMPRODUCT($G106:$L106,$G$128:$L$128)/$M106),0)</f>
        <v>0</v>
      </c>
      <c r="G106" s="41" t="n">
        <f aca="false">+G$104/$M$104*$D106</f>
        <v>0</v>
      </c>
      <c r="H106" s="41" t="n">
        <f aca="false">+H$104/$M$104*$D106</f>
        <v>0</v>
      </c>
      <c r="I106" s="41" t="n">
        <f aca="false">+I$104/$M$104*$D106</f>
        <v>0</v>
      </c>
      <c r="J106" s="41" t="n">
        <f aca="false">+J$104/$M$104*$D106</f>
        <v>0</v>
      </c>
      <c r="K106" s="41" t="n">
        <f aca="false">+K$104/$M$104*$D106</f>
        <v>0</v>
      </c>
      <c r="L106" s="41" t="n">
        <f aca="false">+L$104/$M$104*$D106</f>
        <v>0</v>
      </c>
      <c r="M106" s="10" t="n">
        <f aca="false">SUM(G106:L106)</f>
        <v>0</v>
      </c>
    </row>
    <row collapsed="false" customFormat="false" customHeight="false" hidden="false" ht="14" outlineLevel="1" r="107">
      <c r="B107" s="8" t="n">
        <f aca="false">+B72</f>
        <v>1104143</v>
      </c>
      <c r="C107" s="43" t="inlineStr">
        <f aca="false">+D72</f>
        <is>
          <t/>
        </is>
      </c>
      <c r="D107" s="10" t="n">
        <f aca="false">+I72</f>
        <v>0</v>
      </c>
      <c r="E107" s="43" t="n">
        <f aca="false">+IF(D107&gt;0,C107+(SUMPRODUCT($G107:$L107,$G$128:$L$128)/$M107),0)</f>
        <v>0</v>
      </c>
      <c r="G107" s="41" t="n">
        <f aca="false">+G$104/$M$104*$D107</f>
        <v>0</v>
      </c>
      <c r="H107" s="41" t="n">
        <f aca="false">+H$104/$M$104*$D107</f>
        <v>0</v>
      </c>
      <c r="I107" s="41" t="n">
        <f aca="false">+I$104/$M$104*$D107</f>
        <v>0</v>
      </c>
      <c r="J107" s="41" t="n">
        <f aca="false">+J$104/$M$104*$D107</f>
        <v>0</v>
      </c>
      <c r="K107" s="41" t="n">
        <f aca="false">+K$104/$M$104*$D107</f>
        <v>0</v>
      </c>
      <c r="L107" s="41" t="n">
        <f aca="false">+L$104/$M$104*$D107</f>
        <v>0</v>
      </c>
      <c r="M107" s="10" t="n">
        <f aca="false">SUM(G107:L107)</f>
        <v>0</v>
      </c>
    </row>
    <row collapsed="false" customFormat="false" customHeight="false" hidden="false" ht="14" outlineLevel="1" r="108">
      <c r="B108" s="8" t="n">
        <f aca="false">+B73</f>
        <v>1104154</v>
      </c>
      <c r="C108" s="43" t="inlineStr">
        <f aca="false">+D73</f>
        <is>
          <t/>
        </is>
      </c>
      <c r="D108" s="10" t="n">
        <f aca="false">+I73</f>
        <v>185000</v>
      </c>
      <c r="E108" s="43" t="inlineStr">
        <f aca="false">+IF(D108&gt;0,C108+(SUMPRODUCT($G108:$L108,$G$128:$L$128)/$M108),0)</f>
        <is>
          <t/>
        </is>
      </c>
      <c r="G108" s="41" t="n">
        <f aca="false">+G$104/$M$104*$D108</f>
        <v>4102.04193794009</v>
      </c>
      <c r="H108" s="41" t="n">
        <f aca="false">+H$104/$M$104*$D108</f>
        <v>29010.7577150526</v>
      </c>
      <c r="I108" s="41" t="n">
        <f aca="false">+I$104/$M$104*$D108</f>
        <v>49408.5465518927</v>
      </c>
      <c r="J108" s="41" t="n">
        <f aca="false">+J$104/$M$104*$D108</f>
        <v>13523.9647608046</v>
      </c>
      <c r="K108" s="41" t="n">
        <f aca="false">+K$104/$M$104*$D108</f>
        <v>26534.4101135809</v>
      </c>
      <c r="L108" s="41" t="n">
        <f aca="false">+L$104/$M$104*$D108</f>
        <v>62420.2789207292</v>
      </c>
      <c r="M108" s="10" t="n">
        <f aca="false">SUM(G108:L108)</f>
        <v>185000</v>
      </c>
    </row>
    <row collapsed="false" customFormat="false" customHeight="false" hidden="false" ht="14" outlineLevel="1" r="109">
      <c r="B109" s="8" t="n">
        <f aca="false">+B74</f>
        <v>1104152</v>
      </c>
      <c r="C109" s="43" t="inlineStr">
        <f aca="false">+D74</f>
        <is>
          <t/>
        </is>
      </c>
      <c r="D109" s="10" t="n">
        <f aca="false">+I74</f>
        <v>0</v>
      </c>
      <c r="E109" s="43" t="n">
        <f aca="false">+IF(D109&gt;0,C109+(SUMPRODUCT($G109:$L109,$G$128:$L$128)/$M109),0)</f>
        <v>0</v>
      </c>
      <c r="G109" s="41" t="n">
        <f aca="false">+G$104/$M$104*$D109</f>
        <v>0</v>
      </c>
      <c r="H109" s="41" t="n">
        <f aca="false">+H$104/$M$104*$D109</f>
        <v>0</v>
      </c>
      <c r="I109" s="41" t="n">
        <f aca="false">+I$104/$M$104*$D109</f>
        <v>0</v>
      </c>
      <c r="J109" s="41" t="n">
        <f aca="false">+J$104/$M$104*$D109</f>
        <v>0</v>
      </c>
      <c r="K109" s="41" t="n">
        <f aca="false">+K$104/$M$104*$D109</f>
        <v>0</v>
      </c>
      <c r="L109" s="41" t="n">
        <f aca="false">+L$104/$M$104*$D109</f>
        <v>0</v>
      </c>
      <c r="M109" s="10" t="n">
        <f aca="false">SUM(G109:L109)</f>
        <v>0</v>
      </c>
    </row>
    <row collapsed="false" customFormat="false" customHeight="false" hidden="false" ht="14" outlineLevel="1" r="110">
      <c r="B110" s="8" t="n">
        <f aca="false">+B75</f>
        <v>1104136</v>
      </c>
      <c r="C110" s="43" t="inlineStr">
        <f aca="false">+D75</f>
        <is>
          <t/>
        </is>
      </c>
      <c r="D110" s="10" t="n">
        <f aca="false">+I75</f>
        <v>0</v>
      </c>
      <c r="E110" s="43" t="n">
        <f aca="false">+IF(D110&gt;0,C110+(SUMPRODUCT($G110:$L110,$G$128:$L$128)/$M110),0)</f>
        <v>0</v>
      </c>
      <c r="G110" s="41" t="n">
        <f aca="false">+G$104/$M$104*$D110</f>
        <v>0</v>
      </c>
      <c r="H110" s="41" t="n">
        <f aca="false">+H$104/$M$104*$D110</f>
        <v>0</v>
      </c>
      <c r="I110" s="41" t="n">
        <f aca="false">+I$104/$M$104*$D110</f>
        <v>0</v>
      </c>
      <c r="J110" s="41" t="n">
        <f aca="false">+J$104/$M$104*$D110</f>
        <v>0</v>
      </c>
      <c r="K110" s="41" t="n">
        <f aca="false">+K$104/$M$104*$D110</f>
        <v>0</v>
      </c>
      <c r="L110" s="41" t="n">
        <f aca="false">+L$104/$M$104*$D110</f>
        <v>0</v>
      </c>
      <c r="M110" s="10" t="n">
        <f aca="false">SUM(G110:L110)</f>
        <v>0</v>
      </c>
    </row>
    <row collapsed="false" customFormat="false" customHeight="false" hidden="false" ht="14" outlineLevel="1" r="111">
      <c r="B111" s="8" t="n">
        <f aca="false">+B76</f>
        <v>1104138</v>
      </c>
      <c r="C111" s="43" t="inlineStr">
        <f aca="false">+D76</f>
        <is>
          <t/>
        </is>
      </c>
      <c r="D111" s="10" t="n">
        <f aca="false">+I76</f>
        <v>300000</v>
      </c>
      <c r="E111" s="43" t="inlineStr">
        <f aca="false">+IF(D111&gt;0,C111+(SUMPRODUCT($G111:$L111,$G$128:$L$128)/$M111),0)</f>
        <is>
          <t/>
        </is>
      </c>
      <c r="G111" s="41" t="n">
        <f aca="false">+G$104/$M$104*$D111</f>
        <v>6651.9598993623</v>
      </c>
      <c r="H111" s="41" t="n">
        <f aca="false">+H$104/$M$104*$D111</f>
        <v>47044.4719703555</v>
      </c>
      <c r="I111" s="41" t="n">
        <f aca="false">+I$104/$M$104*$D111</f>
        <v>80121.9673814476</v>
      </c>
      <c r="J111" s="41" t="n">
        <f aca="false">+J$104/$M$104*$D111</f>
        <v>21930.7536661696</v>
      </c>
      <c r="K111" s="41" t="n">
        <f aca="false">+K$104/$M$104*$D111</f>
        <v>43028.7731571582</v>
      </c>
      <c r="L111" s="41" t="n">
        <f aca="false">+L$104/$M$104*$D111</f>
        <v>101222.073925507</v>
      </c>
      <c r="M111" s="10" t="n">
        <f aca="false">SUM(G111:L111)</f>
        <v>300000</v>
      </c>
    </row>
    <row collapsed="false" customFormat="false" customHeight="false" hidden="false" ht="14" outlineLevel="1" r="112">
      <c r="B112" s="8" t="n">
        <f aca="false">+B77</f>
        <v>1104139</v>
      </c>
      <c r="C112" s="43" t="inlineStr">
        <f aca="false">+D77</f>
        <is>
          <t/>
        </is>
      </c>
      <c r="D112" s="10" t="n">
        <f aca="false">+I77</f>
        <v>250000</v>
      </c>
      <c r="E112" s="43" t="inlineStr">
        <f aca="false">+IF(D112&gt;0,C112+(SUMPRODUCT($G112:$L112,$G$128:$L$128)/$M112),0)</f>
        <is>
          <t/>
        </is>
      </c>
      <c r="G112" s="41" t="n">
        <f aca="false">+G$104/$M$104*$D112</f>
        <v>5543.29991613525</v>
      </c>
      <c r="H112" s="41" t="n">
        <f aca="false">+H$104/$M$104*$D112</f>
        <v>39203.7266419629</v>
      </c>
      <c r="I112" s="41" t="n">
        <f aca="false">+I$104/$M$104*$D112</f>
        <v>66768.3061512063</v>
      </c>
      <c r="J112" s="41" t="n">
        <f aca="false">+J$104/$M$104*$D112</f>
        <v>18275.6280551413</v>
      </c>
      <c r="K112" s="41" t="n">
        <f aca="false">+K$104/$M$104*$D112</f>
        <v>35857.3109642985</v>
      </c>
      <c r="L112" s="41" t="n">
        <f aca="false">+L$104/$M$104*$D112</f>
        <v>84351.7282712557</v>
      </c>
      <c r="M112" s="10" t="n">
        <f aca="false">SUM(G112:L112)</f>
        <v>250000</v>
      </c>
    </row>
    <row collapsed="false" customFormat="false" customHeight="false" hidden="false" ht="14" outlineLevel="1" r="113">
      <c r="B113" s="8" t="n">
        <f aca="false">+B78</f>
        <v>1104140</v>
      </c>
      <c r="C113" s="43" t="inlineStr">
        <f aca="false">+D78</f>
        <is>
          <t/>
        </is>
      </c>
      <c r="D113" s="10" t="n">
        <f aca="false">+I78</f>
        <v>0</v>
      </c>
      <c r="E113" s="43" t="n">
        <f aca="false">+IF(D113&gt;0,C113+(SUMPRODUCT($G113:$L113,$G$128:$L$128)/$M113),0)</f>
        <v>0</v>
      </c>
      <c r="G113" s="41" t="n">
        <f aca="false">+G$104/$M$104*$D113</f>
        <v>0</v>
      </c>
      <c r="H113" s="41" t="n">
        <f aca="false">+H$104/$M$104*$D113</f>
        <v>0</v>
      </c>
      <c r="I113" s="41" t="n">
        <f aca="false">+I$104/$M$104*$D113</f>
        <v>0</v>
      </c>
      <c r="J113" s="41" t="n">
        <f aca="false">+J$104/$M$104*$D113</f>
        <v>0</v>
      </c>
      <c r="K113" s="41" t="n">
        <f aca="false">+K$104/$M$104*$D113</f>
        <v>0</v>
      </c>
      <c r="L113" s="41" t="n">
        <f aca="false">+L$104/$M$104*$D113</f>
        <v>0</v>
      </c>
      <c r="M113" s="10" t="n">
        <f aca="false">SUM(G113:L113)</f>
        <v>0</v>
      </c>
    </row>
    <row collapsed="false" customFormat="false" customHeight="false" hidden="false" ht="14" outlineLevel="1" r="114">
      <c r="B114" s="8" t="n">
        <f aca="false">+B79</f>
        <v>1104141</v>
      </c>
      <c r="C114" s="43" t="inlineStr">
        <f aca="false">+D79</f>
        <is>
          <t/>
        </is>
      </c>
      <c r="D114" s="10" t="n">
        <f aca="false">+I79</f>
        <v>285000</v>
      </c>
      <c r="E114" s="43" t="inlineStr">
        <f aca="false">+IF(D114&gt;0,C114+(SUMPRODUCT($G114:$L114,$G$128:$L$128)/$M114),0)</f>
        <is>
          <t/>
        </is>
      </c>
      <c r="G114" s="41" t="n">
        <f aca="false">+G$104/$M$104*$D114</f>
        <v>6319.36190439419</v>
      </c>
      <c r="H114" s="41" t="n">
        <f aca="false">+H$104/$M$104*$D114</f>
        <v>44692.2483718377</v>
      </c>
      <c r="I114" s="41" t="n">
        <f aca="false">+I$104/$M$104*$D114</f>
        <v>76115.8690123752</v>
      </c>
      <c r="J114" s="41" t="n">
        <f aca="false">+J$104/$M$104*$D114</f>
        <v>20834.2159828611</v>
      </c>
      <c r="K114" s="41" t="n">
        <f aca="false">+K$104/$M$104*$D114</f>
        <v>40877.3344993003</v>
      </c>
      <c r="L114" s="41" t="n">
        <f aca="false">+L$104/$M$104*$D114</f>
        <v>96160.9702292315</v>
      </c>
      <c r="M114" s="10" t="n">
        <f aca="false">SUM(G114:L114)</f>
        <v>285000</v>
      </c>
    </row>
    <row collapsed="false" customFormat="false" customHeight="false" hidden="false" ht="14" outlineLevel="1" r="115">
      <c r="B115" s="8" t="n">
        <f aca="false">+B80</f>
        <v>1104159</v>
      </c>
      <c r="C115" s="43" t="inlineStr">
        <f aca="false">+D80</f>
        <is>
          <t/>
        </is>
      </c>
      <c r="D115" s="10" t="n">
        <f aca="false">+I80</f>
        <v>0</v>
      </c>
      <c r="E115" s="43" t="n">
        <f aca="false">+IF(D115&gt;0,C115+(SUMPRODUCT($G115:$L115,$G$128:$L$128)/$M115),0)</f>
        <v>0</v>
      </c>
      <c r="G115" s="41" t="n">
        <f aca="false">+G$104/$M$104*$D115</f>
        <v>0</v>
      </c>
      <c r="H115" s="41" t="n">
        <f aca="false">+H$104/$M$104*$D115</f>
        <v>0</v>
      </c>
      <c r="I115" s="41" t="n">
        <f aca="false">+I$104/$M$104*$D115</f>
        <v>0</v>
      </c>
      <c r="J115" s="41" t="n">
        <f aca="false">+J$104/$M$104*$D115</f>
        <v>0</v>
      </c>
      <c r="K115" s="41" t="n">
        <f aca="false">+K$104/$M$104*$D115</f>
        <v>0</v>
      </c>
      <c r="L115" s="41" t="n">
        <f aca="false">+L$104/$M$104*$D115</f>
        <v>0</v>
      </c>
      <c r="M115" s="10" t="n">
        <f aca="false">SUM(G115:L115)</f>
        <v>0</v>
      </c>
    </row>
    <row collapsed="false" customFormat="false" customHeight="false" hidden="false" ht="14" outlineLevel="1" r="116">
      <c r="B116" s="8" t="n">
        <f aca="false">+B81</f>
        <v>1104161</v>
      </c>
      <c r="C116" s="43" t="inlineStr">
        <f aca="false">+D81</f>
        <is>
          <t/>
        </is>
      </c>
      <c r="D116" s="10" t="n">
        <f aca="false">+I81</f>
        <v>0</v>
      </c>
      <c r="E116" s="43" t="n">
        <f aca="false">+IF(D116&gt;0,C116+(SUMPRODUCT($G116:$L116,$G$128:$L$128)/$M116),0)</f>
        <v>0</v>
      </c>
      <c r="G116" s="41" t="n">
        <f aca="false">+G$104/$M$104*$D116</f>
        <v>0</v>
      </c>
      <c r="H116" s="41" t="n">
        <f aca="false">+H$104/$M$104*$D116</f>
        <v>0</v>
      </c>
      <c r="I116" s="41" t="n">
        <f aca="false">+I$104/$M$104*$D116</f>
        <v>0</v>
      </c>
      <c r="J116" s="41" t="n">
        <f aca="false">+J$104/$M$104*$D116</f>
        <v>0</v>
      </c>
      <c r="K116" s="41" t="n">
        <f aca="false">+K$104/$M$104*$D116</f>
        <v>0</v>
      </c>
      <c r="L116" s="41" t="n">
        <f aca="false">+L$104/$M$104*$D116</f>
        <v>0</v>
      </c>
      <c r="M116" s="10" t="n">
        <f aca="false">SUM(G116:L116)</f>
        <v>0</v>
      </c>
    </row>
    <row collapsed="false" customFormat="false" customHeight="false" hidden="false" ht="14" outlineLevel="1" r="117">
      <c r="B117" s="8" t="n">
        <f aca="false">+B82</f>
        <v>1104145</v>
      </c>
      <c r="C117" s="43" t="inlineStr">
        <f aca="false">+D82</f>
        <is>
          <t/>
        </is>
      </c>
      <c r="D117" s="10" t="n">
        <f aca="false">+I82</f>
        <v>0</v>
      </c>
      <c r="E117" s="43" t="n">
        <f aca="false">+IF(D117&gt;0,C117+(SUMPRODUCT($G117:$L117,$G$128:$L$128)/$M117),0)</f>
        <v>0</v>
      </c>
      <c r="G117" s="41" t="n">
        <f aca="false">+G$104/$M$104*$D117</f>
        <v>0</v>
      </c>
      <c r="H117" s="41" t="n">
        <f aca="false">+H$104/$M$104*$D117</f>
        <v>0</v>
      </c>
      <c r="I117" s="41" t="n">
        <f aca="false">+I$104/$M$104*$D117</f>
        <v>0</v>
      </c>
      <c r="J117" s="41" t="n">
        <f aca="false">+J$104/$M$104*$D117</f>
        <v>0</v>
      </c>
      <c r="K117" s="41" t="n">
        <f aca="false">+K$104/$M$104*$D117</f>
        <v>0</v>
      </c>
      <c r="L117" s="41" t="n">
        <f aca="false">+L$104/$M$104*$D117</f>
        <v>0</v>
      </c>
      <c r="M117" s="10" t="n">
        <f aca="false">SUM(G117:L117)</f>
        <v>0</v>
      </c>
    </row>
    <row collapsed="false" customFormat="false" customHeight="false" hidden="false" ht="14" outlineLevel="1" r="118">
      <c r="B118" s="8" t="n">
        <f aca="false">+B83</f>
        <v>1104133</v>
      </c>
      <c r="C118" s="43" t="inlineStr">
        <f aca="false">+D83</f>
        <is>
          <t/>
        </is>
      </c>
      <c r="D118" s="10" t="n">
        <f aca="false">+I83</f>
        <v>0</v>
      </c>
      <c r="E118" s="43" t="n">
        <f aca="false">+IF(D118&gt;0,C118+(SUMPRODUCT($G118:$L118,$G$128:$L$128)/$M118),0)</f>
        <v>0</v>
      </c>
      <c r="G118" s="41" t="n">
        <f aca="false">+G$104/$M$104*$D118</f>
        <v>0</v>
      </c>
      <c r="H118" s="41" t="n">
        <f aca="false">+H$104/$M$104*$D118</f>
        <v>0</v>
      </c>
      <c r="I118" s="41" t="n">
        <f aca="false">+I$104/$M$104*$D118</f>
        <v>0</v>
      </c>
      <c r="J118" s="41" t="n">
        <f aca="false">+J$104/$M$104*$D118</f>
        <v>0</v>
      </c>
      <c r="K118" s="41" t="n">
        <f aca="false">+K$104/$M$104*$D118</f>
        <v>0</v>
      </c>
      <c r="L118" s="41" t="n">
        <f aca="false">+L$104/$M$104*$D118</f>
        <v>0</v>
      </c>
      <c r="M118" s="10" t="n">
        <f aca="false">SUM(G118:L118)</f>
        <v>0</v>
      </c>
    </row>
    <row collapsed="false" customFormat="false" customHeight="false" hidden="false" ht="14" outlineLevel="1" r="119">
      <c r="B119" s="8" t="n">
        <f aca="false">+B84</f>
        <v>1104149</v>
      </c>
      <c r="C119" s="43" t="inlineStr">
        <f aca="false">+D84</f>
        <is>
          <t/>
        </is>
      </c>
      <c r="D119" s="10" t="n">
        <f aca="false">+I84</f>
        <v>0</v>
      </c>
      <c r="E119" s="43" t="n">
        <f aca="false">+IF(D119&gt;0,C119+(SUMPRODUCT($G119:$L119,$G$128:$L$128)/$M119),0)</f>
        <v>0</v>
      </c>
      <c r="G119" s="41" t="n">
        <f aca="false">+G$104/$M$104*$D119</f>
        <v>0</v>
      </c>
      <c r="H119" s="41" t="n">
        <f aca="false">+H$104/$M$104*$D119</f>
        <v>0</v>
      </c>
      <c r="I119" s="41" t="n">
        <f aca="false">+I$104/$M$104*$D119</f>
        <v>0</v>
      </c>
      <c r="J119" s="41" t="n">
        <f aca="false">+J$104/$M$104*$D119</f>
        <v>0</v>
      </c>
      <c r="K119" s="41" t="n">
        <f aca="false">+K$104/$M$104*$D119</f>
        <v>0</v>
      </c>
      <c r="L119" s="41" t="n">
        <f aca="false">+L$104/$M$104*$D119</f>
        <v>0</v>
      </c>
      <c r="M119" s="10" t="n">
        <f aca="false">SUM(G119:L119)</f>
        <v>0</v>
      </c>
    </row>
    <row collapsed="false" customFormat="false" customHeight="false" hidden="false" ht="14" outlineLevel="1" r="120">
      <c r="B120" s="8" t="n">
        <f aca="false">+B85</f>
        <v>1104151</v>
      </c>
      <c r="C120" s="43" t="inlineStr">
        <f aca="false">+D85</f>
        <is>
          <t/>
        </is>
      </c>
      <c r="D120" s="10" t="n">
        <f aca="false">+I85</f>
        <v>0</v>
      </c>
      <c r="E120" s="43" t="n">
        <f aca="false">+IF(D120&gt;0,C120+(SUMPRODUCT($G120:$L120,$G$128:$L$128)/$M120),0)</f>
        <v>0</v>
      </c>
      <c r="G120" s="41" t="n">
        <f aca="false">+G$104/$M$104*$D120</f>
        <v>0</v>
      </c>
      <c r="H120" s="41" t="n">
        <f aca="false">+H$104/$M$104*$D120</f>
        <v>0</v>
      </c>
      <c r="I120" s="41" t="n">
        <f aca="false">+I$104/$M$104*$D120</f>
        <v>0</v>
      </c>
      <c r="J120" s="41" t="n">
        <f aca="false">+J$104/$M$104*$D120</f>
        <v>0</v>
      </c>
      <c r="K120" s="41" t="n">
        <f aca="false">+K$104/$M$104*$D120</f>
        <v>0</v>
      </c>
      <c r="L120" s="41" t="n">
        <f aca="false">+L$104/$M$104*$D120</f>
        <v>0</v>
      </c>
      <c r="M120" s="10" t="n">
        <f aca="false">SUM(G120:L120)</f>
        <v>0</v>
      </c>
    </row>
    <row collapsed="false" customFormat="false" customHeight="false" hidden="false" ht="14" outlineLevel="1" r="121">
      <c r="B121" s="8" t="n">
        <f aca="false">+B86</f>
        <v>1104131</v>
      </c>
      <c r="C121" s="43" t="inlineStr">
        <f aca="false">+D86</f>
        <is>
          <t/>
        </is>
      </c>
      <c r="D121" s="10" t="n">
        <f aca="false">+I86</f>
        <v>0</v>
      </c>
      <c r="E121" s="43" t="n">
        <f aca="false">+IF(D121&gt;0,C121+(SUMPRODUCT($G121:$L121,$G$128:$L$128)/$M121),0)</f>
        <v>0</v>
      </c>
      <c r="G121" s="41" t="n">
        <f aca="false">+G$104/$M$104*$D121</f>
        <v>0</v>
      </c>
      <c r="H121" s="41" t="n">
        <f aca="false">+H$104/$M$104*$D121</f>
        <v>0</v>
      </c>
      <c r="I121" s="41" t="n">
        <f aca="false">+I$104/$M$104*$D121</f>
        <v>0</v>
      </c>
      <c r="J121" s="41" t="n">
        <f aca="false">+J$104/$M$104*$D121</f>
        <v>0</v>
      </c>
      <c r="K121" s="41" t="n">
        <f aca="false">+K$104/$M$104*$D121</f>
        <v>0</v>
      </c>
      <c r="L121" s="41" t="n">
        <f aca="false">+L$104/$M$104*$D121</f>
        <v>0</v>
      </c>
      <c r="M121" s="10" t="n">
        <f aca="false">SUM(G121:L121)</f>
        <v>0</v>
      </c>
    </row>
    <row collapsed="false" customFormat="false" customHeight="false" hidden="false" ht="14" outlineLevel="1" r="122">
      <c r="B122" s="8" t="n">
        <f aca="false">+B87</f>
        <v>1104155</v>
      </c>
      <c r="C122" s="43" t="inlineStr">
        <f aca="false">+D87</f>
        <is>
          <t/>
        </is>
      </c>
      <c r="D122" s="10" t="n">
        <f aca="false">+I87</f>
        <v>0</v>
      </c>
      <c r="E122" s="43" t="n">
        <f aca="false">+IF(D122&gt;0,C122+(SUMPRODUCT($G122:$L122,$G$128:$L$128)/$M122),0)</f>
        <v>0</v>
      </c>
      <c r="G122" s="41" t="n">
        <f aca="false">+G$104/$M$104*$D122</f>
        <v>0</v>
      </c>
      <c r="H122" s="41" t="n">
        <f aca="false">+H$104/$M$104*$D122</f>
        <v>0</v>
      </c>
      <c r="I122" s="41" t="n">
        <f aca="false">+I$104/$M$104*$D122</f>
        <v>0</v>
      </c>
      <c r="J122" s="41" t="n">
        <f aca="false">+J$104/$M$104*$D122</f>
        <v>0</v>
      </c>
      <c r="K122" s="41" t="n">
        <f aca="false">+K$104/$M$104*$D122</f>
        <v>0</v>
      </c>
      <c r="L122" s="41" t="n">
        <f aca="false">+L$104/$M$104*$D122</f>
        <v>0</v>
      </c>
      <c r="M122" s="10" t="n">
        <f aca="false">SUM(G122:L122)</f>
        <v>0</v>
      </c>
    </row>
    <row collapsed="false" customFormat="false" customHeight="false" hidden="false" ht="14" outlineLevel="1" r="123">
      <c r="B123" s="8" t="n">
        <f aca="false">+B88</f>
        <v>1104156</v>
      </c>
      <c r="C123" s="43" t="inlineStr">
        <f aca="false">+D88</f>
        <is>
          <t/>
        </is>
      </c>
      <c r="D123" s="10" t="n">
        <f aca="false">+I88</f>
        <v>0</v>
      </c>
      <c r="E123" s="43" t="n">
        <f aca="false">+IF(D123&gt;0,C123+(SUMPRODUCT($G123:$L123,$G$128:$L$128)/$M123),0)</f>
        <v>0</v>
      </c>
      <c r="G123" s="41" t="n">
        <f aca="false">+G$104/$M$104*$D123</f>
        <v>0</v>
      </c>
      <c r="H123" s="41" t="n">
        <f aca="false">+H$104/$M$104*$D123</f>
        <v>0</v>
      </c>
      <c r="I123" s="41" t="n">
        <f aca="false">+I$104/$M$104*$D123</f>
        <v>0</v>
      </c>
      <c r="J123" s="41" t="n">
        <f aca="false">+J$104/$M$104*$D123</f>
        <v>0</v>
      </c>
      <c r="K123" s="41" t="n">
        <f aca="false">+K$104/$M$104*$D123</f>
        <v>0</v>
      </c>
      <c r="L123" s="41" t="n">
        <f aca="false">+L$104/$M$104*$D123</f>
        <v>0</v>
      </c>
      <c r="M123" s="10" t="n">
        <f aca="false">SUM(G123:L123)</f>
        <v>0</v>
      </c>
    </row>
    <row collapsed="false" customFormat="false" customHeight="false" hidden="false" ht="14" outlineLevel="1" r="124">
      <c r="B124" s="8" t="n">
        <f aca="false">+B89</f>
        <v>1104157</v>
      </c>
      <c r="C124" s="43" t="inlineStr">
        <f aca="false">+D89</f>
        <is>
          <t/>
        </is>
      </c>
      <c r="D124" s="10" t="n">
        <f aca="false">+I89</f>
        <v>0</v>
      </c>
      <c r="E124" s="43" t="n">
        <f aca="false">+IF(D124&gt;0,C124+(SUMPRODUCT($G124:$L124,$G$128:$L$128)/$M124),0)</f>
        <v>0</v>
      </c>
      <c r="G124" s="41" t="n">
        <f aca="false">+G$104/$M$104*$D124</f>
        <v>0</v>
      </c>
      <c r="H124" s="41" t="n">
        <f aca="false">+H$104/$M$104*$D124</f>
        <v>0</v>
      </c>
      <c r="I124" s="41" t="n">
        <f aca="false">+I$104/$M$104*$D124</f>
        <v>0</v>
      </c>
      <c r="J124" s="41" t="n">
        <f aca="false">+J$104/$M$104*$D124</f>
        <v>0</v>
      </c>
      <c r="K124" s="41" t="n">
        <f aca="false">+K$104/$M$104*$D124</f>
        <v>0</v>
      </c>
      <c r="L124" s="41" t="n">
        <f aca="false">+L$104/$M$104*$D124</f>
        <v>0</v>
      </c>
      <c r="M124" s="10" t="n">
        <f aca="false">SUM(G124:L124)</f>
        <v>0</v>
      </c>
    </row>
    <row collapsed="false" customFormat="false" customHeight="false" hidden="false" ht="14" outlineLevel="1" r="125">
      <c r="B125" s="8" t="n">
        <f aca="false">+B90</f>
        <v>1104158</v>
      </c>
      <c r="C125" s="43" t="inlineStr">
        <f aca="false">+D90</f>
        <is>
          <t/>
        </is>
      </c>
      <c r="D125" s="10" t="n">
        <f aca="false">+I90</f>
        <v>0</v>
      </c>
      <c r="E125" s="43" t="n">
        <f aca="false">+IF(D125&gt;0,C125+(SUMPRODUCT($G125:$L125,$G$128:$L$128)/$M125),0)</f>
        <v>0</v>
      </c>
      <c r="G125" s="41" t="n">
        <f aca="false">+G$104/$M$104*$D125</f>
        <v>0</v>
      </c>
      <c r="H125" s="41" t="n">
        <f aca="false">+H$104/$M$104*$D125</f>
        <v>0</v>
      </c>
      <c r="I125" s="41" t="n">
        <f aca="false">+I$104/$M$104*$D125</f>
        <v>0</v>
      </c>
      <c r="J125" s="41" t="n">
        <f aca="false">+J$104/$M$104*$D125</f>
        <v>0</v>
      </c>
      <c r="K125" s="41" t="n">
        <f aca="false">+K$104/$M$104*$D125</f>
        <v>0</v>
      </c>
      <c r="L125" s="41" t="n">
        <f aca="false">+L$104/$M$104*$D125</f>
        <v>0</v>
      </c>
      <c r="M125" s="10" t="n">
        <f aca="false">SUM(G125:L125)</f>
        <v>0</v>
      </c>
    </row>
    <row collapsed="false" customFormat="false" customHeight="false" hidden="false" ht="14" outlineLevel="1" r="126">
      <c r="D126" s="10" t="n">
        <f aca="false">SUM(D106:D125)</f>
        <v>1020000</v>
      </c>
      <c r="E126" s="43" t="n">
        <f aca="false">+SUMPRODUCT(D106:D125,E106:E125)/D126</f>
        <v>0.0403081877204807</v>
      </c>
      <c r="G126" s="10" t="n">
        <f aca="false">SUM(G106:G125)</f>
        <v>22616.6636578318</v>
      </c>
      <c r="H126" s="10" t="n">
        <f aca="false">SUM(H106:H125)</f>
        <v>159951.204699209</v>
      </c>
      <c r="I126" s="10" t="n">
        <f aca="false">SUM(I106:I125)</f>
        <v>272414.689096922</v>
      </c>
      <c r="J126" s="10" t="n">
        <f aca="false">SUM(J106:J125)</f>
        <v>74564.5624649767</v>
      </c>
      <c r="K126" s="10" t="n">
        <f aca="false">SUM(K106:K125)</f>
        <v>146297.828734338</v>
      </c>
      <c r="L126" s="10" t="n">
        <f aca="false">SUM(L106:L125)</f>
        <v>344155.051346723</v>
      </c>
      <c r="M126" s="10" t="n">
        <f aca="false">SUM(M106:M125)</f>
        <v>1020000</v>
      </c>
    </row>
    <row collapsed="false" customFormat="false" customHeight="false" hidden="false" ht="14" outlineLevel="1" r="127">
      <c r="E127" s="44" t="inlineStr">
        <f aca="false">+E126-M135</f>
        <is>
          <t/>
        </is>
      </c>
      <c r="G127" s="15" t="n">
        <f aca="false">+SUMPRODUCT($C$106:$C$125,G$106:G$125)/G$126</f>
        <v>0.0241911764705882</v>
      </c>
      <c r="H127" s="15" t="n">
        <f aca="false">+SUMPRODUCT($C$106:$C$125,H$106:H$125)/H$126</f>
        <v>0.0241911764705882</v>
      </c>
      <c r="I127" s="15" t="n">
        <f aca="false">+SUMPRODUCT($C$106:$C$125,I$106:I$125)/I$126</f>
        <v>0.0241911764705882</v>
      </c>
      <c r="J127" s="15" t="n">
        <f aca="false">+SUMPRODUCT($C$106:$C$125,J$106:J$125)/J$126</f>
        <v>0.0241911764705882</v>
      </c>
      <c r="K127" s="15" t="n">
        <f aca="false">+SUMPRODUCT($C$106:$C$125,K$106:K$125)/K$126</f>
        <v>0.0241911764705882</v>
      </c>
      <c r="L127" s="15" t="n">
        <f aca="false">+SUMPRODUCT($C$106:$C$125,L$106:L$125)/L$126</f>
        <v>0.0241911764705882</v>
      </c>
      <c r="M127" s="15" t="n">
        <f aca="false">+SUMPRODUCT($C$106:$C$125,M$106:M$125)/M$126</f>
        <v>0.0241911764705882</v>
      </c>
    </row>
    <row collapsed="false" customFormat="false" customHeight="false" hidden="false" ht="14" outlineLevel="1" r="128">
      <c r="E128" s="14"/>
      <c r="G128" s="45" t="inlineStr">
        <f aca="false">+G135-G127</f>
        <is>
          <t/>
        </is>
      </c>
      <c r="H128" s="45" t="inlineStr">
        <f aca="false">+H135-H127</f>
        <is>
          <t/>
        </is>
      </c>
      <c r="I128" s="45" t="inlineStr">
        <f aca="false">+I135-I127</f>
        <is>
          <t/>
        </is>
      </c>
      <c r="J128" s="45" t="inlineStr">
        <f aca="false">+J135-J127</f>
        <is>
          <t/>
        </is>
      </c>
      <c r="K128" s="45" t="inlineStr">
        <f aca="false">+K135-K127</f>
        <is>
          <t/>
        </is>
      </c>
      <c r="L128" s="45" t="inlineStr">
        <f aca="false">+L135-L127</f>
        <is>
          <t/>
        </is>
      </c>
      <c r="M128" s="45" t="inlineStr">
        <f aca="false">+M135-M127</f>
        <is>
          <t/>
        </is>
      </c>
    </row>
    <row collapsed="false" customFormat="false" customHeight="false" hidden="false" ht="14" outlineLevel="1" r="129">
      <c r="B129" s="0" t="s">
        <v>60</v>
      </c>
      <c r="D129" s="43" t="inlineStr">
        <f aca="false">+MAX(F8:F27)</f>
        <is>
          <t/>
        </is>
      </c>
      <c r="E129" s="14"/>
      <c r="G129" s="15"/>
      <c r="H129" s="15"/>
      <c r="I129" s="15"/>
      <c r="J129" s="15"/>
      <c r="K129" s="15"/>
      <c r="L129" s="15"/>
      <c r="M129" s="15"/>
    </row>
    <row collapsed="false" customFormat="false" customHeight="false" hidden="false" ht="14" outlineLevel="1" r="130">
      <c r="B130" s="0" t="s">
        <v>61</v>
      </c>
      <c r="D130" s="46" t="inlineStr">
        <f aca="false">+M67</f>
        <is>
          <t/>
        </is>
      </c>
      <c r="E130" s="14"/>
      <c r="G130" s="15"/>
      <c r="H130" s="15"/>
      <c r="I130" s="15"/>
      <c r="J130" s="15"/>
      <c r="K130" s="15"/>
      <c r="L130" s="15"/>
      <c r="M130" s="15"/>
    </row>
    <row collapsed="false" customFormat="false" customHeight="false" hidden="false" ht="14" outlineLevel="1" r="131">
      <c r="B131" s="0" t="s">
        <v>62</v>
      </c>
      <c r="D131" s="47" t="inlineStr">
        <f aca="false">+D129-D130</f>
        <is>
          <t/>
        </is>
      </c>
      <c r="E131" s="14"/>
      <c r="G131" s="15"/>
      <c r="H131" s="15"/>
      <c r="I131" s="15"/>
      <c r="J131" s="15"/>
      <c r="K131" s="15"/>
      <c r="L131" s="15"/>
      <c r="M131" s="15"/>
    </row>
    <row collapsed="false" customFormat="false" customHeight="false" hidden="false" ht="14" outlineLevel="1" r="132">
      <c r="B132" s="0" t="s">
        <v>63</v>
      </c>
      <c r="E132" s="48"/>
      <c r="G132" s="15" t="n">
        <f aca="false">+(1-G66)*$D$131</f>
        <v>0.00284910911464655</v>
      </c>
      <c r="H132" s="15" t="n">
        <f aca="false">+(1-H66)*$D$131</f>
        <v>0.0170946546878793</v>
      </c>
      <c r="I132" s="15" t="n">
        <f aca="false">+(1-I66)*$D$131</f>
        <v>0.0227928729171724</v>
      </c>
      <c r="J132" s="15" t="n">
        <f aca="false">+(1-J66)*$D$131</f>
        <v>0.00569821822929309</v>
      </c>
      <c r="K132" s="15" t="n">
        <f aca="false">+(1-K66)*$D$131</f>
        <v>0.0113964364585862</v>
      </c>
      <c r="L132" s="15" t="n">
        <f aca="false">+(1-L66)*$D$131</f>
        <v>0.0284910911464655</v>
      </c>
    </row>
    <row collapsed="false" customFormat="false" customHeight="false" hidden="false" ht="14" outlineLevel="1" r="133">
      <c r="E133" s="14"/>
      <c r="G133" s="15" t="inlineStr">
        <f aca="false">+IF(G65&gt;0,IF(G127&lt;G67,G127+G132,G127),G127+G132)</f>
        <is>
          <t/>
        </is>
      </c>
      <c r="H133" s="15" t="inlineStr">
        <f aca="false">+IF(H65&gt;0,IF(H127&lt;H67,H127+H132,H127),H127+H132)</f>
        <is>
          <t/>
        </is>
      </c>
      <c r="I133" s="15" t="inlineStr">
        <f aca="false">+IF(I65&gt;0,IF(I127&lt;I67,I127+I132,I127),I127+I132)</f>
        <is>
          <t/>
        </is>
      </c>
      <c r="J133" s="15" t="inlineStr">
        <f aca="false">+IF(J65&gt;0,IF(J127&lt;J67,J127+J132,J127),J127+J132)</f>
        <is>
          <t/>
        </is>
      </c>
      <c r="K133" s="15" t="inlineStr">
        <f aca="false">+IF(K65&gt;0,IF(K127&lt;K67,K127+K132,K127),K127+K132)</f>
        <is>
          <t/>
        </is>
      </c>
      <c r="L133" s="15" t="inlineStr">
        <f aca="false">+IF(L65&gt;0,IF(L127&lt;L67,L127+L132,L127),L127+L132)</f>
        <is>
          <t/>
        </is>
      </c>
    </row>
    <row collapsed="false" customFormat="false" customHeight="false" hidden="false" ht="14" outlineLevel="0" r="134">
      <c r="D134" s="16" t="s">
        <v>64</v>
      </c>
      <c r="E134" s="17"/>
      <c r="F134" s="17"/>
      <c r="G134" s="18" t="n">
        <f aca="false">+G126</f>
        <v>22616.6636578318</v>
      </c>
      <c r="H134" s="18" t="n">
        <f aca="false">+H126</f>
        <v>159951.204699209</v>
      </c>
      <c r="I134" s="18" t="n">
        <f aca="false">+I126</f>
        <v>272414.689096922</v>
      </c>
      <c r="J134" s="18" t="n">
        <f aca="false">+J126</f>
        <v>74564.5624649767</v>
      </c>
      <c r="K134" s="18" t="n">
        <f aca="false">+K126</f>
        <v>146297.828734338</v>
      </c>
      <c r="L134" s="18" t="n">
        <f aca="false">+L126</f>
        <v>344155.051346723</v>
      </c>
      <c r="M134" s="19" t="n">
        <f aca="false">+M126</f>
        <v>1020000</v>
      </c>
    </row>
    <row collapsed="false" customFormat="false" customHeight="false" hidden="false" ht="14" outlineLevel="0" r="135">
      <c r="D135" s="20" t="s">
        <v>40</v>
      </c>
      <c r="E135" s="21"/>
      <c r="F135" s="21"/>
      <c r="G135" s="49" t="inlineStr">
        <f aca="false">+G133</f>
        <is>
          <t/>
        </is>
      </c>
      <c r="H135" s="49" t="inlineStr">
        <f aca="false">+H133</f>
        <is>
          <t/>
        </is>
      </c>
      <c r="I135" s="49" t="inlineStr">
        <f aca="false">+I133</f>
        <is>
          <t/>
        </is>
      </c>
      <c r="J135" s="49" t="inlineStr">
        <f aca="false">+J133</f>
        <is>
          <t/>
        </is>
      </c>
      <c r="K135" s="49" t="inlineStr">
        <f aca="false">+K133</f>
        <is>
          <t/>
        </is>
      </c>
      <c r="L135" s="49" t="inlineStr">
        <f aca="false">+L133</f>
        <is>
          <t/>
        </is>
      </c>
      <c r="M135" s="23" t="n">
        <f aca="false">+SUMPRODUCT(G134:L134,G135:L135/M134)</f>
        <v>0.0403081877204807</v>
      </c>
    </row>
    <row collapsed="false" customFormat="false" customHeight="false" hidden="false" ht="14" outlineLevel="0" r="136">
      <c r="E136" s="14"/>
    </row>
    <row collapsed="false" customFormat="false" customHeight="false" hidden="false" ht="14" outlineLevel="0" r="137">
      <c r="E137" s="14"/>
    </row>
    <row collapsed="false" customFormat="false" customHeight="false" hidden="false" ht="14" outlineLevel="0" r="138">
      <c r="D138" s="27" t="s">
        <v>48</v>
      </c>
      <c r="E138" s="28"/>
      <c r="F138" s="28"/>
      <c r="G138" s="29" t="n">
        <f aca="false">+G65+G126</f>
        <v>309469.163657832</v>
      </c>
      <c r="H138" s="29" t="n">
        <f aca="false">+H65+H126</f>
        <v>310225.204699209</v>
      </c>
      <c r="I138" s="29" t="n">
        <f aca="false">+I65+I126</f>
        <v>368389.689096922</v>
      </c>
      <c r="J138" s="29" t="n">
        <f aca="false">+J65+J126</f>
        <v>494884.562464977</v>
      </c>
      <c r="K138" s="29" t="n">
        <f aca="false">+K65+K126</f>
        <v>455552.828734338</v>
      </c>
      <c r="L138" s="29" t="n">
        <f aca="false">+L65+L126</f>
        <v>344155.051346723</v>
      </c>
      <c r="M138" s="30" t="n">
        <f aca="false">+M65+M126</f>
        <v>2282676.5</v>
      </c>
    </row>
    <row collapsed="false" customFormat="false" customHeight="false" hidden="false" ht="14" outlineLevel="0" r="139">
      <c r="D139" s="35" t="s">
        <v>40</v>
      </c>
      <c r="E139" s="36"/>
      <c r="F139" s="36"/>
      <c r="G139" s="37" t="n">
        <f aca="false">+IF(ISERR(G67),G133,((G126*G133)+(G65*G67))/G138)</f>
        <v>0.0218511632040965</v>
      </c>
      <c r="H139" s="37" t="n">
        <f aca="false">+IF(ISERR(H67),H133,((H126*H133)+(H65*H67))/H138)</f>
        <v>0.0233719656228185</v>
      </c>
      <c r="I139" s="37" t="n">
        <f aca="false">+IF(ISERR(I67),I133,((I126*I133)+(I65*I67))/I138)</f>
        <v>0.042559267185017</v>
      </c>
      <c r="J139" s="37" t="n">
        <f aca="false">+IF(ISERR(J67),J133,((J126*J133)+(J65*J67))/J138)</f>
        <v>0.0448465992303212</v>
      </c>
      <c r="K139" s="37" t="n">
        <f aca="false">+IF(ISERR(K67),K133,((K126*K133)+(K65*K67))/K138)</f>
        <v>0.0238916809547974</v>
      </c>
      <c r="L139" s="37" t="inlineStr">
        <f aca="false">+IF(ISERR(L67),L133,((L126*L133)+(L65*L67))/L138)</f>
        <is>
          <t/>
        </is>
      </c>
      <c r="M139" s="38" t="n">
        <f aca="false">+SUMPRODUCT(G138:L138,G139:L139)/M138</f>
        <v>0.0354408126709546</v>
      </c>
    </row>
    <row collapsed="false" customFormat="false" customHeight="false" hidden="false" ht="14" outlineLevel="0" r="140">
      <c r="E140" s="14"/>
    </row>
    <row collapsed="false" customFormat="false" customHeight="false" hidden="false" ht="14" outlineLevel="0" r="141">
      <c r="D141" s="0" t="s">
        <v>41</v>
      </c>
      <c r="G141" s="10" t="n">
        <f aca="false">+G4-G138</f>
        <v>9255.83634216816</v>
      </c>
      <c r="H141" s="10" t="n">
        <f aca="false">+H4-H138</f>
        <v>65459.7953007913</v>
      </c>
      <c r="I141" s="10" t="n">
        <f aca="false">+I4-I138</f>
        <v>111485.310903078</v>
      </c>
      <c r="J141" s="10" t="n">
        <f aca="false">+J4-J138</f>
        <v>30515.4375350233</v>
      </c>
      <c r="K141" s="10" t="n">
        <f aca="false">+K4-K138</f>
        <v>59872.1712656621</v>
      </c>
      <c r="L141" s="10" t="n">
        <f aca="false">+L4-L138</f>
        <v>140844.948653277</v>
      </c>
      <c r="M141" s="10" t="n">
        <f aca="false">+M4-M138</f>
        <v>417433.5</v>
      </c>
    </row>
    <row collapsed="false" customFormat="false" customHeight="false" hidden="false" ht="14" outlineLevel="0" r="142">
      <c r="D142" s="0" t="s">
        <v>42</v>
      </c>
      <c r="G142" s="24" t="str">
        <f aca="false">+IF(G141=0,"NA",IF(G141&lt;0,"OVER","UNDER"))</f>
        <v>UNDER</v>
      </c>
      <c r="H142" s="24" t="str">
        <f aca="false">+IF(H141=0,"NA",IF(H141&lt;0,"OVER","UNDER"))</f>
        <v>UNDER</v>
      </c>
      <c r="I142" s="24" t="str">
        <f aca="false">+IF(I141=0,"NA",IF(I141&lt;0,"OVER","UNDER"))</f>
        <v>UNDER</v>
      </c>
      <c r="J142" s="24" t="str">
        <f aca="false">+IF(J141=0,"NA",IF(J141&lt;0,"OVER","UNDER"))</f>
        <v>UNDER</v>
      </c>
      <c r="K142" s="24" t="str">
        <f aca="false">+IF(K141=0,"NA",IF(K141&lt;0,"OVER","UNDER"))</f>
        <v>UNDER</v>
      </c>
      <c r="L142" s="24" t="str">
        <f aca="false">+IF(L141=0,"NA",IF(L141&lt;0,"OVER","UNDER"))</f>
        <v>UNDER</v>
      </c>
      <c r="M142" s="24" t="str">
        <f aca="false">+IF(M141=0,"NA",IF(M141&lt;0,"OVER","UNDER"))</f>
        <v>UNDER</v>
      </c>
    </row>
    <row collapsed="false" customFormat="false" customHeight="false" hidden="false" ht="14" outlineLevel="0" r="143">
      <c r="D143" s="26"/>
      <c r="E143" s="26"/>
      <c r="F143" s="26"/>
      <c r="G143" s="15"/>
      <c r="H143" s="15"/>
      <c r="I143" s="15"/>
      <c r="J143" s="15"/>
      <c r="K143" s="15"/>
      <c r="L143" s="15"/>
      <c r="M143" s="15"/>
    </row>
    <row collapsed="false" customFormat="false" customHeight="false" hidden="false" ht="14" outlineLevel="0" r="144">
      <c r="A144" s="0" t="s">
        <v>65</v>
      </c>
      <c r="E144" s="14"/>
      <c r="M144" s="10"/>
    </row>
    <row collapsed="false" customFormat="false" customHeight="false" hidden="true" ht="28.35" outlineLevel="1" r="145">
      <c r="B145" s="11" t="s">
        <v>35</v>
      </c>
      <c r="C145" s="12" t="s">
        <v>66</v>
      </c>
      <c r="D145" s="11" t="s">
        <v>67</v>
      </c>
      <c r="E145" s="11" t="s">
        <v>68</v>
      </c>
    </row>
    <row collapsed="false" customFormat="false" customHeight="false" hidden="true" ht="14" outlineLevel="1" r="146">
      <c r="B146" s="8" t="n">
        <f aca="false">+'bid input'!B2</f>
        <v>1104134</v>
      </c>
      <c r="C146" s="14" t="str">
        <f aca="false">+IF('bid input'!R2=1,"Y","N")</f>
        <v>Y</v>
      </c>
      <c r="D146" s="10" t="n">
        <f aca="false">+IF(C146="Y",+'bid input'!M2,0)</f>
        <v>187500</v>
      </c>
      <c r="E146" s="14" t="n">
        <f aca="false">+D146*$D$168</f>
        <v>55333.1786850477</v>
      </c>
      <c r="G146" s="41" t="n">
        <f aca="false">+$E146/$E$166*G$141</f>
        <v>1226.91361905729</v>
      </c>
      <c r="H146" s="41" t="n">
        <f aca="false">+$E146/$E$166*H$141</f>
        <v>8677.067245598</v>
      </c>
      <c r="I146" s="41" t="n">
        <f aca="false">+$E146/$E$166*I$141</f>
        <v>14778.0104590507</v>
      </c>
      <c r="J146" s="41" t="n">
        <f aca="false">+$E146/$E$166*J$141</f>
        <v>4044.99437102642</v>
      </c>
      <c r="K146" s="41" t="n">
        <f aca="false">+$E146/$E$166*K$141</f>
        <v>7936.39597901141</v>
      </c>
      <c r="L146" s="41" t="n">
        <f aca="false">+$E146/$E$166*L$141</f>
        <v>18669.7970113039</v>
      </c>
      <c r="M146" s="10" t="n">
        <f aca="false">SUM(G146:L146)</f>
        <v>55333.1786850477</v>
      </c>
    </row>
    <row collapsed="false" customFormat="false" customHeight="false" hidden="true" ht="14" outlineLevel="1" r="147">
      <c r="B147" s="8" t="n">
        <f aca="false">+'bid input'!B3</f>
        <v>1104143</v>
      </c>
      <c r="C147" s="14" t="str">
        <f aca="false">+IF('bid input'!R3=1,"Y","N")</f>
        <v>N</v>
      </c>
      <c r="D147" s="10" t="n">
        <f aca="false">+IF(C147="Y",+'bid input'!M3,0)</f>
        <v>0</v>
      </c>
      <c r="E147" s="14" t="n">
        <f aca="false">+D147*$D$168</f>
        <v>0</v>
      </c>
      <c r="G147" s="41" t="n">
        <f aca="false">+$E147/$E$166*G$141</f>
        <v>0</v>
      </c>
      <c r="H147" s="41" t="n">
        <f aca="false">+$E147/$E$166*H$141</f>
        <v>0</v>
      </c>
      <c r="I147" s="41" t="n">
        <f aca="false">+$E147/$E$166*I$141</f>
        <v>0</v>
      </c>
      <c r="J147" s="41" t="n">
        <f aca="false">+$E147/$E$166*J$141</f>
        <v>0</v>
      </c>
      <c r="K147" s="41" t="n">
        <f aca="false">+$E147/$E$166*K$141</f>
        <v>0</v>
      </c>
      <c r="L147" s="41" t="n">
        <f aca="false">+$E147/$E$166*L$141</f>
        <v>0</v>
      </c>
      <c r="M147" s="10" t="n">
        <f aca="false">SUM(G147:L147)</f>
        <v>0</v>
      </c>
    </row>
    <row collapsed="false" customFormat="false" customHeight="false" hidden="true" ht="14" outlineLevel="1" r="148">
      <c r="B148" s="8" t="n">
        <f aca="false">+'bid input'!B4</f>
        <v>1104154</v>
      </c>
      <c r="C148" s="14" t="str">
        <f aca="false">+IF('bid input'!R4=1,"Y","N")</f>
        <v>N</v>
      </c>
      <c r="D148" s="10" t="n">
        <f aca="false">+IF(C148="Y",+'bid input'!M4,0)</f>
        <v>0</v>
      </c>
      <c r="E148" s="14" t="n">
        <f aca="false">+D148*$D$168</f>
        <v>0</v>
      </c>
      <c r="G148" s="41" t="n">
        <f aca="false">+$E148/$E$166*G$141</f>
        <v>0</v>
      </c>
      <c r="H148" s="41" t="n">
        <f aca="false">+$E148/$E$166*H$141</f>
        <v>0</v>
      </c>
      <c r="I148" s="41" t="n">
        <f aca="false">+$E148/$E$166*I$141</f>
        <v>0</v>
      </c>
      <c r="J148" s="41" t="n">
        <f aca="false">+$E148/$E$166*J$141</f>
        <v>0</v>
      </c>
      <c r="K148" s="41" t="n">
        <f aca="false">+$E148/$E$166*K$141</f>
        <v>0</v>
      </c>
      <c r="L148" s="41" t="n">
        <f aca="false">+$E148/$E$166*L$141</f>
        <v>0</v>
      </c>
      <c r="M148" s="10" t="n">
        <f aca="false">SUM(G148:L148)</f>
        <v>0</v>
      </c>
    </row>
    <row collapsed="false" customFormat="false" customHeight="false" hidden="true" ht="14" outlineLevel="1" r="149">
      <c r="B149" s="8" t="n">
        <f aca="false">+'bid input'!B5</f>
        <v>1104152</v>
      </c>
      <c r="C149" s="14" t="str">
        <f aca="false">+IF('bid input'!R5=1,"Y","N")</f>
        <v>N</v>
      </c>
      <c r="D149" s="10" t="n">
        <f aca="false">+IF(C149="Y",+'bid input'!M5,0)</f>
        <v>0</v>
      </c>
      <c r="E149" s="14" t="n">
        <f aca="false">+D149*$D$168</f>
        <v>0</v>
      </c>
      <c r="G149" s="41" t="n">
        <f aca="false">+$E149/$E$166*G$141</f>
        <v>0</v>
      </c>
      <c r="H149" s="41" t="n">
        <f aca="false">+$E149/$E$166*H$141</f>
        <v>0</v>
      </c>
      <c r="I149" s="41" t="n">
        <f aca="false">+$E149/$E$166*I$141</f>
        <v>0</v>
      </c>
      <c r="J149" s="41" t="n">
        <f aca="false">+$E149/$E$166*J$141</f>
        <v>0</v>
      </c>
      <c r="K149" s="41" t="n">
        <f aca="false">+$E149/$E$166*K$141</f>
        <v>0</v>
      </c>
      <c r="L149" s="41" t="n">
        <f aca="false">+$E149/$E$166*L$141</f>
        <v>0</v>
      </c>
      <c r="M149" s="10" t="n">
        <f aca="false">SUM(G149:L149)</f>
        <v>0</v>
      </c>
    </row>
    <row collapsed="false" customFormat="false" customHeight="false" hidden="true" ht="14" outlineLevel="1" r="150">
      <c r="B150" s="8" t="n">
        <f aca="false">+'bid input'!B6</f>
        <v>1104136</v>
      </c>
      <c r="C150" s="14" t="str">
        <f aca="false">+IF('bid input'!R6=1,"Y","N")</f>
        <v>N</v>
      </c>
      <c r="D150" s="10" t="n">
        <f aca="false">+IF(C150="Y",+'bid input'!M6,0)</f>
        <v>0</v>
      </c>
      <c r="E150" s="14" t="n">
        <f aca="false">+D150*$D$168</f>
        <v>0</v>
      </c>
      <c r="G150" s="41" t="n">
        <f aca="false">+$E150/$E$166*G$141</f>
        <v>0</v>
      </c>
      <c r="H150" s="41" t="n">
        <f aca="false">+$E150/$E$166*H$141</f>
        <v>0</v>
      </c>
      <c r="I150" s="41" t="n">
        <f aca="false">+$E150/$E$166*I$141</f>
        <v>0</v>
      </c>
      <c r="J150" s="41" t="n">
        <f aca="false">+$E150/$E$166*J$141</f>
        <v>0</v>
      </c>
      <c r="K150" s="41" t="n">
        <f aca="false">+$E150/$E$166*K$141</f>
        <v>0</v>
      </c>
      <c r="L150" s="41" t="n">
        <f aca="false">+$E150/$E$166*L$141</f>
        <v>0</v>
      </c>
      <c r="M150" s="10" t="n">
        <f aca="false">SUM(G150:L150)</f>
        <v>0</v>
      </c>
    </row>
    <row collapsed="false" customFormat="false" customHeight="false" hidden="true" ht="14" outlineLevel="1" r="151">
      <c r="B151" s="8" t="n">
        <f aca="false">+'bid input'!B7</f>
        <v>1104138</v>
      </c>
      <c r="C151" s="14" t="str">
        <f aca="false">+IF('bid input'!R7=1,"Y","N")</f>
        <v>N</v>
      </c>
      <c r="D151" s="10" t="n">
        <f aca="false">+IF(C151="Y",+'bid input'!M7,0)</f>
        <v>0</v>
      </c>
      <c r="E151" s="14" t="n">
        <f aca="false">+D151*$D$168</f>
        <v>0</v>
      </c>
      <c r="G151" s="41" t="n">
        <f aca="false">+$E151/$E$166*G$141</f>
        <v>0</v>
      </c>
      <c r="H151" s="41" t="n">
        <f aca="false">+$E151/$E$166*H$141</f>
        <v>0</v>
      </c>
      <c r="I151" s="41" t="n">
        <f aca="false">+$E151/$E$166*I$141</f>
        <v>0</v>
      </c>
      <c r="J151" s="41" t="n">
        <f aca="false">+$E151/$E$166*J$141</f>
        <v>0</v>
      </c>
      <c r="K151" s="41" t="n">
        <f aca="false">+$E151/$E$166*K$141</f>
        <v>0</v>
      </c>
      <c r="L151" s="41" t="n">
        <f aca="false">+$E151/$E$166*L$141</f>
        <v>0</v>
      </c>
      <c r="M151" s="10" t="n">
        <f aca="false">SUM(G151:L151)</f>
        <v>0</v>
      </c>
    </row>
    <row collapsed="false" customFormat="false" customHeight="false" hidden="true" ht="14" outlineLevel="1" r="152">
      <c r="B152" s="8" t="n">
        <f aca="false">+'bid input'!B8</f>
        <v>1104139</v>
      </c>
      <c r="C152" s="14" t="str">
        <f aca="false">+IF('bid input'!R8=1,"Y","N")</f>
        <v>N</v>
      </c>
      <c r="D152" s="10" t="n">
        <f aca="false">+IF(C152="Y",+'bid input'!M8,0)</f>
        <v>0</v>
      </c>
      <c r="E152" s="14" t="n">
        <f aca="false">+D152*$D$168</f>
        <v>0</v>
      </c>
      <c r="G152" s="41" t="n">
        <f aca="false">+$E152/$E$166*G$141</f>
        <v>0</v>
      </c>
      <c r="H152" s="41" t="n">
        <f aca="false">+$E152/$E$166*H$141</f>
        <v>0</v>
      </c>
      <c r="I152" s="41" t="n">
        <f aca="false">+$E152/$E$166*I$141</f>
        <v>0</v>
      </c>
      <c r="J152" s="41" t="n">
        <f aca="false">+$E152/$E$166*J$141</f>
        <v>0</v>
      </c>
      <c r="K152" s="41" t="n">
        <f aca="false">+$E152/$E$166*K$141</f>
        <v>0</v>
      </c>
      <c r="L152" s="41" t="n">
        <f aca="false">+$E152/$E$166*L$141</f>
        <v>0</v>
      </c>
      <c r="M152" s="10" t="n">
        <f aca="false">SUM(G152:L152)</f>
        <v>0</v>
      </c>
    </row>
    <row collapsed="false" customFormat="false" customHeight="false" hidden="true" ht="14" outlineLevel="1" r="153">
      <c r="B153" s="8" t="n">
        <f aca="false">+'bid input'!B9</f>
        <v>1104140</v>
      </c>
      <c r="C153" s="14" t="str">
        <f aca="false">+IF('bid input'!R9=1,"Y","N")</f>
        <v>N</v>
      </c>
      <c r="D153" s="10" t="n">
        <f aca="false">+IF(C153="Y",+'bid input'!M9,0)</f>
        <v>0</v>
      </c>
      <c r="E153" s="14" t="n">
        <f aca="false">+D153*$D$168</f>
        <v>0</v>
      </c>
      <c r="G153" s="41" t="n">
        <f aca="false">+$E153/$E$166*G$141</f>
        <v>0</v>
      </c>
      <c r="H153" s="41" t="n">
        <f aca="false">+$E153/$E$166*H$141</f>
        <v>0</v>
      </c>
      <c r="I153" s="41" t="n">
        <f aca="false">+$E153/$E$166*I$141</f>
        <v>0</v>
      </c>
      <c r="J153" s="41" t="n">
        <f aca="false">+$E153/$E$166*J$141</f>
        <v>0</v>
      </c>
      <c r="K153" s="41" t="n">
        <f aca="false">+$E153/$E$166*K$141</f>
        <v>0</v>
      </c>
      <c r="L153" s="41" t="n">
        <f aca="false">+$E153/$E$166*L$141</f>
        <v>0</v>
      </c>
      <c r="M153" s="10" t="n">
        <f aca="false">SUM(G153:L153)</f>
        <v>0</v>
      </c>
    </row>
    <row collapsed="false" customFormat="false" customHeight="false" hidden="true" ht="14" outlineLevel="1" r="154">
      <c r="B154" s="8" t="n">
        <f aca="false">+'bid input'!B10</f>
        <v>1104141</v>
      </c>
      <c r="C154" s="14" t="str">
        <f aca="false">+IF('bid input'!R10=1,"Y","N")</f>
        <v>N</v>
      </c>
      <c r="D154" s="10" t="n">
        <f aca="false">+IF(C154="Y",+'bid input'!M10,0)</f>
        <v>0</v>
      </c>
      <c r="E154" s="14" t="n">
        <f aca="false">+D154*$D$168</f>
        <v>0</v>
      </c>
      <c r="G154" s="41" t="n">
        <f aca="false">+$E154/$E$166*G$141</f>
        <v>0</v>
      </c>
      <c r="H154" s="41" t="n">
        <f aca="false">+$E154/$E$166*H$141</f>
        <v>0</v>
      </c>
      <c r="I154" s="41" t="n">
        <f aca="false">+$E154/$E$166*I$141</f>
        <v>0</v>
      </c>
      <c r="J154" s="41" t="n">
        <f aca="false">+$E154/$E$166*J$141</f>
        <v>0</v>
      </c>
      <c r="K154" s="41" t="n">
        <f aca="false">+$E154/$E$166*K$141</f>
        <v>0</v>
      </c>
      <c r="L154" s="41" t="n">
        <f aca="false">+$E154/$E$166*L$141</f>
        <v>0</v>
      </c>
      <c r="M154" s="10" t="n">
        <f aca="false">SUM(G154:L154)</f>
        <v>0</v>
      </c>
    </row>
    <row collapsed="false" customFormat="false" customHeight="false" hidden="true" ht="14" outlineLevel="1" r="155">
      <c r="B155" s="8" t="n">
        <f aca="false">+'bid input'!B11</f>
        <v>1104159</v>
      </c>
      <c r="C155" s="14" t="str">
        <f aca="false">+IF('bid input'!R11=1,"Y","N")</f>
        <v>N</v>
      </c>
      <c r="D155" s="10" t="n">
        <f aca="false">+IF(C155="Y",+'bid input'!M11,0)</f>
        <v>0</v>
      </c>
      <c r="E155" s="14" t="n">
        <f aca="false">+D155*$D$168</f>
        <v>0</v>
      </c>
      <c r="G155" s="41" t="n">
        <f aca="false">+$E155/$E$166*G$141</f>
        <v>0</v>
      </c>
      <c r="H155" s="41" t="n">
        <f aca="false">+$E155/$E$166*H$141</f>
        <v>0</v>
      </c>
      <c r="I155" s="41" t="n">
        <f aca="false">+$E155/$E$166*I$141</f>
        <v>0</v>
      </c>
      <c r="J155" s="41" t="n">
        <f aca="false">+$E155/$E$166*J$141</f>
        <v>0</v>
      </c>
      <c r="K155" s="41" t="n">
        <f aca="false">+$E155/$E$166*K$141</f>
        <v>0</v>
      </c>
      <c r="L155" s="41" t="n">
        <f aca="false">+$E155/$E$166*L$141</f>
        <v>0</v>
      </c>
      <c r="M155" s="10" t="n">
        <f aca="false">SUM(G155:L155)</f>
        <v>0</v>
      </c>
    </row>
    <row collapsed="false" customFormat="false" customHeight="false" hidden="true" ht="14" outlineLevel="1" r="156">
      <c r="B156" s="8" t="n">
        <f aca="false">+'bid input'!B12</f>
        <v>1104161</v>
      </c>
      <c r="C156" s="14" t="str">
        <f aca="false">+IF('bid input'!R12=1,"Y","N")</f>
        <v>N</v>
      </c>
      <c r="D156" s="10" t="n">
        <f aca="false">+IF(C156="Y",+'bid input'!M12,0)</f>
        <v>0</v>
      </c>
      <c r="E156" s="14" t="n">
        <f aca="false">+D156*$D$168</f>
        <v>0</v>
      </c>
      <c r="G156" s="41" t="n">
        <f aca="false">+$E156/$E$166*G$141</f>
        <v>0</v>
      </c>
      <c r="H156" s="41" t="n">
        <f aca="false">+$E156/$E$166*H$141</f>
        <v>0</v>
      </c>
      <c r="I156" s="41" t="n">
        <f aca="false">+$E156/$E$166*I$141</f>
        <v>0</v>
      </c>
      <c r="J156" s="41" t="n">
        <f aca="false">+$E156/$E$166*J$141</f>
        <v>0</v>
      </c>
      <c r="K156" s="41" t="n">
        <f aca="false">+$E156/$E$166*K$141</f>
        <v>0</v>
      </c>
      <c r="L156" s="41" t="n">
        <f aca="false">+$E156/$E$166*L$141</f>
        <v>0</v>
      </c>
      <c r="M156" s="10" t="n">
        <f aca="false">SUM(G156:L156)</f>
        <v>0</v>
      </c>
    </row>
    <row collapsed="false" customFormat="false" customHeight="false" hidden="true" ht="14" outlineLevel="1" r="157">
      <c r="B157" s="8" t="n">
        <f aca="false">+'bid input'!B13</f>
        <v>1104145</v>
      </c>
      <c r="C157" s="14" t="str">
        <f aca="false">+IF('bid input'!R13=1,"Y","N")</f>
        <v>N</v>
      </c>
      <c r="D157" s="10" t="n">
        <f aca="false">+IF(C157="Y",+'bid input'!M13,0)</f>
        <v>0</v>
      </c>
      <c r="E157" s="14" t="n">
        <f aca="false">+D157*$D$168</f>
        <v>0</v>
      </c>
      <c r="G157" s="41" t="n">
        <f aca="false">+$E157/$E$166*G$141</f>
        <v>0</v>
      </c>
      <c r="H157" s="41" t="n">
        <f aca="false">+$E157/$E$166*H$141</f>
        <v>0</v>
      </c>
      <c r="I157" s="41" t="n">
        <f aca="false">+$E157/$E$166*I$141</f>
        <v>0</v>
      </c>
      <c r="J157" s="41" t="n">
        <f aca="false">+$E157/$E$166*J$141</f>
        <v>0</v>
      </c>
      <c r="K157" s="41" t="n">
        <f aca="false">+$E157/$E$166*K$141</f>
        <v>0</v>
      </c>
      <c r="L157" s="41" t="n">
        <f aca="false">+$E157/$E$166*L$141</f>
        <v>0</v>
      </c>
      <c r="M157" s="10" t="n">
        <f aca="false">SUM(G157:L157)</f>
        <v>0</v>
      </c>
    </row>
    <row collapsed="false" customFormat="false" customHeight="false" hidden="true" ht="14" outlineLevel="1" r="158">
      <c r="B158" s="8" t="n">
        <f aca="false">+'bid input'!B14</f>
        <v>1104133</v>
      </c>
      <c r="C158" s="14" t="str">
        <f aca="false">+IF('bid input'!R14=1,"Y","N")</f>
        <v>N</v>
      </c>
      <c r="D158" s="10" t="n">
        <f aca="false">+IF(C158="Y",+'bid input'!M14,0)</f>
        <v>0</v>
      </c>
      <c r="E158" s="14" t="n">
        <f aca="false">+D158*$D$168</f>
        <v>0</v>
      </c>
      <c r="G158" s="41" t="n">
        <f aca="false">+$E158/$E$166*G$141</f>
        <v>0</v>
      </c>
      <c r="H158" s="41" t="n">
        <f aca="false">+$E158/$E$166*H$141</f>
        <v>0</v>
      </c>
      <c r="I158" s="41" t="n">
        <f aca="false">+$E158/$E$166*I$141</f>
        <v>0</v>
      </c>
      <c r="J158" s="41" t="n">
        <f aca="false">+$E158/$E$166*J$141</f>
        <v>0</v>
      </c>
      <c r="K158" s="41" t="n">
        <f aca="false">+$E158/$E$166*K$141</f>
        <v>0</v>
      </c>
      <c r="L158" s="41" t="n">
        <f aca="false">+$E158/$E$166*L$141</f>
        <v>0</v>
      </c>
      <c r="M158" s="10" t="n">
        <f aca="false">SUM(G158:L158)</f>
        <v>0</v>
      </c>
    </row>
    <row collapsed="false" customFormat="false" customHeight="false" hidden="true" ht="14" outlineLevel="1" r="159">
      <c r="B159" s="8" t="n">
        <f aca="false">+'bid input'!B15</f>
        <v>1104149</v>
      </c>
      <c r="C159" s="14" t="str">
        <f aca="false">+IF('bid input'!R15=1,"Y","N")</f>
        <v>N</v>
      </c>
      <c r="D159" s="10" t="n">
        <f aca="false">+IF(C159="Y",+'bid input'!M15,0)</f>
        <v>0</v>
      </c>
      <c r="E159" s="14" t="n">
        <f aca="false">+D159*$D$168</f>
        <v>0</v>
      </c>
      <c r="G159" s="41" t="n">
        <f aca="false">+$E159/$E$166*G$141</f>
        <v>0</v>
      </c>
      <c r="H159" s="41" t="n">
        <f aca="false">+$E159/$E$166*H$141</f>
        <v>0</v>
      </c>
      <c r="I159" s="41" t="n">
        <f aca="false">+$E159/$E$166*I$141</f>
        <v>0</v>
      </c>
      <c r="J159" s="41" t="n">
        <f aca="false">+$E159/$E$166*J$141</f>
        <v>0</v>
      </c>
      <c r="K159" s="41" t="n">
        <f aca="false">+$E159/$E$166*K$141</f>
        <v>0</v>
      </c>
      <c r="L159" s="41" t="n">
        <f aca="false">+$E159/$E$166*L$141</f>
        <v>0</v>
      </c>
      <c r="M159" s="10" t="n">
        <f aca="false">SUM(G159:L159)</f>
        <v>0</v>
      </c>
    </row>
    <row collapsed="false" customFormat="false" customHeight="false" hidden="true" ht="14" outlineLevel="1" r="160">
      <c r="B160" s="8" t="n">
        <f aca="false">+'bid input'!B16</f>
        <v>1104151</v>
      </c>
      <c r="C160" s="14" t="str">
        <f aca="false">+IF('bid input'!R16=1,"Y","N")</f>
        <v>N</v>
      </c>
      <c r="D160" s="10" t="n">
        <f aca="false">+IF(C160="Y",+'bid input'!M16,0)</f>
        <v>0</v>
      </c>
      <c r="E160" s="14" t="n">
        <f aca="false">+D160*$D$168</f>
        <v>0</v>
      </c>
      <c r="G160" s="41" t="n">
        <f aca="false">+$E160/$E$166*G$141</f>
        <v>0</v>
      </c>
      <c r="H160" s="41" t="n">
        <f aca="false">+$E160/$E$166*H$141</f>
        <v>0</v>
      </c>
      <c r="I160" s="41" t="n">
        <f aca="false">+$E160/$E$166*I$141</f>
        <v>0</v>
      </c>
      <c r="J160" s="41" t="n">
        <f aca="false">+$E160/$E$166*J$141</f>
        <v>0</v>
      </c>
      <c r="K160" s="41" t="n">
        <f aca="false">+$E160/$E$166*K$141</f>
        <v>0</v>
      </c>
      <c r="L160" s="41" t="n">
        <f aca="false">+$E160/$E$166*L$141</f>
        <v>0</v>
      </c>
      <c r="M160" s="10" t="n">
        <f aca="false">SUM(G160:L160)</f>
        <v>0</v>
      </c>
    </row>
    <row collapsed="false" customFormat="false" customHeight="false" hidden="true" ht="14" outlineLevel="1" r="161">
      <c r="B161" s="8" t="n">
        <f aca="false">+'bid input'!B17</f>
        <v>1104131</v>
      </c>
      <c r="C161" s="14" t="str">
        <f aca="false">+IF('bid input'!R17=1,"Y","N")</f>
        <v>Y</v>
      </c>
      <c r="D161" s="10" t="n">
        <f aca="false">+IF(C161="Y",+'bid input'!M17,0)</f>
        <v>598000</v>
      </c>
      <c r="E161" s="14" t="n">
        <f aca="false">+D161*$D$168</f>
        <v>176475.951219512</v>
      </c>
      <c r="G161" s="41" t="n">
        <f aca="false">+$E161/$E$166*G$141</f>
        <v>3913.03650238003</v>
      </c>
      <c r="H161" s="41" t="n">
        <f aca="false">+$E161/$E$166*H$141</f>
        <v>27674.0598019606</v>
      </c>
      <c r="I161" s="41" t="n">
        <f aca="false">+$E161/$E$166*I$141</f>
        <v>47132.001357399</v>
      </c>
      <c r="J161" s="41" t="n">
        <f aca="false">+$E161/$E$166*J$141</f>
        <v>12900.8353806603</v>
      </c>
      <c r="K161" s="41" t="n">
        <f aca="false">+$E161/$E$166*K$141</f>
        <v>25311.8122423937</v>
      </c>
      <c r="L161" s="41" t="n">
        <f aca="false">+$E161/$E$166*L$141</f>
        <v>59544.2059347186</v>
      </c>
      <c r="M161" s="10" t="n">
        <f aca="false">SUM(G161:L161)</f>
        <v>176475.951219512</v>
      </c>
    </row>
    <row collapsed="false" customFormat="false" customHeight="false" hidden="true" ht="14" outlineLevel="1" r="162">
      <c r="B162" s="8" t="n">
        <f aca="false">+'bid input'!B18</f>
        <v>1104155</v>
      </c>
      <c r="C162" s="14" t="str">
        <f aca="false">+IF('bid input'!R18=1,"Y","N")</f>
        <v>N</v>
      </c>
      <c r="D162" s="10" t="n">
        <f aca="false">+IF(C162="Y",+'bid input'!M18,0)</f>
        <v>0</v>
      </c>
      <c r="E162" s="14" t="n">
        <f aca="false">+D162*$D$168</f>
        <v>0</v>
      </c>
      <c r="G162" s="41" t="n">
        <f aca="false">+$E162/$E$166*G$141</f>
        <v>0</v>
      </c>
      <c r="H162" s="41" t="n">
        <f aca="false">+$E162/$E$166*H$141</f>
        <v>0</v>
      </c>
      <c r="I162" s="41" t="n">
        <f aca="false">+$E162/$E$166*I$141</f>
        <v>0</v>
      </c>
      <c r="J162" s="41" t="n">
        <f aca="false">+$E162/$E$166*J$141</f>
        <v>0</v>
      </c>
      <c r="K162" s="41" t="n">
        <f aca="false">+$E162/$E$166*K$141</f>
        <v>0</v>
      </c>
      <c r="L162" s="41" t="n">
        <f aca="false">+$E162/$E$166*L$141</f>
        <v>0</v>
      </c>
      <c r="M162" s="10" t="n">
        <f aca="false">SUM(G162:L162)</f>
        <v>0</v>
      </c>
    </row>
    <row collapsed="false" customFormat="false" customHeight="false" hidden="true" ht="14" outlineLevel="1" r="163">
      <c r="B163" s="8" t="n">
        <f aca="false">+'bid input'!B19</f>
        <v>1104156</v>
      </c>
      <c r="C163" s="14" t="str">
        <f aca="false">+IF('bid input'!R19=1,"Y","N")</f>
        <v>N</v>
      </c>
      <c r="D163" s="10" t="n">
        <f aca="false">+IF(C163="Y",+'bid input'!M19,0)</f>
        <v>0</v>
      </c>
      <c r="E163" s="14" t="n">
        <f aca="false">+D163*$D$168</f>
        <v>0</v>
      </c>
      <c r="G163" s="41" t="n">
        <f aca="false">+$E163/$E$166*G$141</f>
        <v>0</v>
      </c>
      <c r="H163" s="41" t="n">
        <f aca="false">+$E163/$E$166*H$141</f>
        <v>0</v>
      </c>
      <c r="I163" s="41" t="n">
        <f aca="false">+$E163/$E$166*I$141</f>
        <v>0</v>
      </c>
      <c r="J163" s="41" t="n">
        <f aca="false">+$E163/$E$166*J$141</f>
        <v>0</v>
      </c>
      <c r="K163" s="41" t="n">
        <f aca="false">+$E163/$E$166*K$141</f>
        <v>0</v>
      </c>
      <c r="L163" s="41" t="n">
        <f aca="false">+$E163/$E$166*L$141</f>
        <v>0</v>
      </c>
      <c r="M163" s="10" t="n">
        <f aca="false">SUM(G163:L163)</f>
        <v>0</v>
      </c>
    </row>
    <row collapsed="false" customFormat="false" customHeight="false" hidden="true" ht="14" outlineLevel="1" r="164">
      <c r="B164" s="8" t="n">
        <f aca="false">+'bid input'!B20</f>
        <v>1104157</v>
      </c>
      <c r="C164" s="14" t="str">
        <f aca="false">+IF('bid input'!R20=1,"Y","N")</f>
        <v>Y</v>
      </c>
      <c r="D164" s="10" t="n">
        <f aca="false">+IF(C164="Y",+'bid input'!M20,0)</f>
        <v>629000</v>
      </c>
      <c r="E164" s="14" t="n">
        <f aca="false">+D164*$D$168</f>
        <v>185624.37009544</v>
      </c>
      <c r="G164" s="41" t="n">
        <f aca="false">+$E164/$E$166*G$141</f>
        <v>4115.88622073084</v>
      </c>
      <c r="H164" s="41" t="n">
        <f aca="false">+$E164/$E$166*H$141</f>
        <v>29108.6682532328</v>
      </c>
      <c r="I164" s="41" t="n">
        <f aca="false">+$E164/$E$166*I$141</f>
        <v>49575.2990866287</v>
      </c>
      <c r="J164" s="41" t="n">
        <f aca="false">+$E164/$E$166*J$141</f>
        <v>13569.6077833366</v>
      </c>
      <c r="K164" s="41" t="n">
        <f aca="false">+$E164/$E$166*K$141</f>
        <v>26623.9630442569</v>
      </c>
      <c r="L164" s="41" t="n">
        <f aca="false">+$E164/$E$166*L$141</f>
        <v>62630.9457072542</v>
      </c>
      <c r="M164" s="10" t="n">
        <f aca="false">SUM(G164:L164)</f>
        <v>185624.37009544</v>
      </c>
    </row>
    <row collapsed="false" customFormat="false" customHeight="false" hidden="true" ht="14" outlineLevel="1" r="165">
      <c r="B165" s="8" t="n">
        <f aca="false">+'bid input'!B21</f>
        <v>1104158</v>
      </c>
      <c r="C165" s="14" t="str">
        <f aca="false">+IF('bid input'!R21=1,"Y","N")</f>
        <v>N</v>
      </c>
      <c r="D165" s="10" t="n">
        <f aca="false">+IF(C165="Y",+'bid input'!M21,0)</f>
        <v>0</v>
      </c>
      <c r="E165" s="14" t="n">
        <f aca="false">+D165*$D$168</f>
        <v>0</v>
      </c>
      <c r="G165" s="41" t="n">
        <f aca="false">+$E165/$E$166*G$141</f>
        <v>0</v>
      </c>
      <c r="H165" s="41" t="n">
        <f aca="false">+$E165/$E$166*H$141</f>
        <v>0</v>
      </c>
      <c r="I165" s="41" t="n">
        <f aca="false">+$E165/$E$166*I$141</f>
        <v>0</v>
      </c>
      <c r="J165" s="41" t="n">
        <f aca="false">+$E165/$E$166*J$141</f>
        <v>0</v>
      </c>
      <c r="K165" s="41" t="n">
        <f aca="false">+$E165/$E$166*K$141</f>
        <v>0</v>
      </c>
      <c r="L165" s="41" t="n">
        <f aca="false">+$E165/$E$166*L$141</f>
        <v>0</v>
      </c>
      <c r="M165" s="10" t="n">
        <f aca="false">SUM(G165:L165)</f>
        <v>0</v>
      </c>
    </row>
    <row collapsed="false" customFormat="false" customHeight="false" hidden="true" ht="14" outlineLevel="1" r="166">
      <c r="B166" s="0" t="s">
        <v>69</v>
      </c>
      <c r="C166" s="8" t="n">
        <f aca="false">+COUNTIF(C146:C165,"Y")</f>
        <v>3</v>
      </c>
      <c r="D166" s="10" t="n">
        <f aca="false">SUM(D146:D165)</f>
        <v>1414500</v>
      </c>
      <c r="E166" s="10" t="n">
        <f aca="false">SUM(E146:E165)</f>
        <v>417433.5</v>
      </c>
      <c r="H166" s="10"/>
      <c r="I166" s="10"/>
      <c r="J166" s="10"/>
      <c r="K166" s="10"/>
      <c r="L166" s="10"/>
      <c r="M166" s="10"/>
    </row>
    <row collapsed="false" customFormat="false" customHeight="false" hidden="true" ht="14" outlineLevel="1" r="167">
      <c r="B167" s="0" t="s">
        <v>70</v>
      </c>
      <c r="D167" s="10" t="n">
        <f aca="false">+M141</f>
        <v>417433.5</v>
      </c>
      <c r="E167" s="14"/>
    </row>
    <row collapsed="false" customFormat="false" customHeight="false" hidden="true" ht="14" outlineLevel="1" r="168">
      <c r="B168" s="0" t="s">
        <v>71</v>
      </c>
      <c r="D168" s="50" t="n">
        <f aca="false">+D167/D166</f>
        <v>0.295110286320254</v>
      </c>
      <c r="E168" s="14"/>
    </row>
    <row collapsed="false" customFormat="false" customHeight="false" hidden="true" ht="14" outlineLevel="1" r="169">
      <c r="E169" s="14"/>
      <c r="H169" s="43"/>
      <c r="I169" s="43"/>
      <c r="J169" s="43"/>
      <c r="K169" s="43"/>
      <c r="L169" s="43"/>
      <c r="M169" s="43"/>
    </row>
    <row collapsed="false" customFormat="false" customHeight="false" hidden="false" ht="14" outlineLevel="0" r="170">
      <c r="D170" s="16" t="s">
        <v>64</v>
      </c>
      <c r="E170" s="17"/>
      <c r="F170" s="17"/>
      <c r="G170" s="18" t="n">
        <f aca="false">SUM(G146:G165)</f>
        <v>9255.83634216816</v>
      </c>
      <c r="H170" s="18" t="n">
        <f aca="false">SUM(H146:H165)</f>
        <v>65459.7953007913</v>
      </c>
      <c r="I170" s="18" t="n">
        <f aca="false">SUM(I146:I165)</f>
        <v>111485.310903078</v>
      </c>
      <c r="J170" s="18" t="n">
        <f aca="false">SUM(J146:J165)</f>
        <v>30515.4375350233</v>
      </c>
      <c r="K170" s="18" t="n">
        <f aca="false">SUM(K146:K165)</f>
        <v>59872.1712656621</v>
      </c>
      <c r="L170" s="18" t="n">
        <f aca="false">SUM(L146:L165)</f>
        <v>140844.948653277</v>
      </c>
      <c r="M170" s="19" t="n">
        <f aca="false">SUM(G170:L170)</f>
        <v>417433.5</v>
      </c>
    </row>
    <row collapsed="false" customFormat="false" customHeight="false" hidden="false" ht="14" outlineLevel="0" r="171">
      <c r="D171" s="20" t="s">
        <v>40</v>
      </c>
      <c r="E171" s="21"/>
      <c r="F171" s="21"/>
      <c r="G171" s="49" t="inlineStr">
        <f aca="false">+IF(ISERROR(G67),G133,MAX(G67,G133))</f>
        <is>
          <t/>
        </is>
      </c>
      <c r="H171" s="49" t="inlineStr">
        <f aca="false">+IF(ISERROR(H67),H133,MAX(H67,H133))</f>
        <is>
          <t/>
        </is>
      </c>
      <c r="I171" s="49" t="inlineStr">
        <f aca="false">+IF(ISERROR(I67),I133,MAX(I67,I133))</f>
        <is>
          <t/>
        </is>
      </c>
      <c r="J171" s="49" t="inlineStr">
        <f aca="false">+IF(ISERROR(J67),J133,MAX(J67,J133))</f>
        <is>
          <t/>
        </is>
      </c>
      <c r="K171" s="49" t="inlineStr">
        <f aca="false">+IF(ISERROR(K67),K133,MAX(K67,K133))</f>
        <is>
          <t/>
        </is>
      </c>
      <c r="L171" s="49" t="inlineStr">
        <f aca="false">+IF(ISERROR(L67),L133,MAX(L67,L133))</f>
        <is>
          <t/>
        </is>
      </c>
      <c r="M171" s="51" t="inlineStr">
        <f aca="false">+IF(ISERROR(M67),M135,MAX(M67,M135))</f>
        <is>
          <t/>
        </is>
      </c>
      <c r="N171" s="52" t="n">
        <f aca="false">+SUMPRODUCT(G170:L170,G171:L171)/M170</f>
        <v>0.0415955672096442</v>
      </c>
    </row>
    <row collapsed="false" customFormat="false" customHeight="false" hidden="false" ht="14" outlineLevel="0" r="172">
      <c r="E172" s="14"/>
    </row>
    <row collapsed="false" customFormat="false" customHeight="false" hidden="false" ht="14" outlineLevel="0" r="173">
      <c r="D173" s="27" t="s">
        <v>48</v>
      </c>
      <c r="E173" s="28"/>
      <c r="F173" s="28"/>
      <c r="G173" s="29" t="n">
        <f aca="false">+G138+G170</f>
        <v>318725</v>
      </c>
      <c r="H173" s="29" t="n">
        <f aca="false">+H138+H170</f>
        <v>375685</v>
      </c>
      <c r="I173" s="29" t="n">
        <f aca="false">+I138+I170</f>
        <v>479875</v>
      </c>
      <c r="J173" s="29" t="n">
        <f aca="false">+J138+J170</f>
        <v>525400</v>
      </c>
      <c r="K173" s="29" t="n">
        <f aca="false">+K138+K170</f>
        <v>515425</v>
      </c>
      <c r="L173" s="29" t="n">
        <f aca="false">+L138+L170</f>
        <v>485000</v>
      </c>
      <c r="M173" s="30" t="n">
        <f aca="false">+M138+M170</f>
        <v>2700110</v>
      </c>
    </row>
    <row collapsed="false" customFormat="false" customHeight="false" hidden="false" ht="14" outlineLevel="0" r="174">
      <c r="D174" s="35" t="s">
        <v>40</v>
      </c>
      <c r="E174" s="36"/>
      <c r="F174" s="36"/>
      <c r="G174" s="37" t="n">
        <f aca="false">+IF(ISERR(G139),G171,((G170*G171)+(G138*G139))/G173)</f>
        <v>0.0219191176470588</v>
      </c>
      <c r="H174" s="37" t="n">
        <f aca="false">+IF(ISERR(H139),H171,((H170*H171)+(H138*H139))/H173)</f>
        <v>0.0235147058823529</v>
      </c>
      <c r="I174" s="37" t="n">
        <f aca="false">+IF(ISERR(I139),I171,((I170*I171)+(I138*I139))/I173)</f>
        <v>0.0435872395102085</v>
      </c>
      <c r="J174" s="37" t="n">
        <f aca="false">+IF(ISERR(J139),J171,((J170*J171)+(J138*J139))/J173)</f>
        <v>0.0450007097850271</v>
      </c>
      <c r="K174" s="37" t="n">
        <f aca="false">+IF(ISERR(K139),K171,((K170*K171)+(K138*K139))/K173)</f>
        <v>0.0239264705882353</v>
      </c>
      <c r="L174" s="37" t="n">
        <f aca="false">+IF(ISERR(L139),L171,((L170*L171)+(L138*L139))/L173)</f>
        <v>0.0526822676170537</v>
      </c>
      <c r="M174" s="38" t="n">
        <f aca="false">+IF(ISERR(M139),M171,((M170*M171)+(M138*M139))/M173)</f>
        <v>0.0361933025334922</v>
      </c>
    </row>
    <row collapsed="false" customFormat="false" customHeight="false" hidden="false" ht="14" outlineLevel="0" r="175">
      <c r="E175" s="14"/>
    </row>
    <row collapsed="false" customFormat="false" customHeight="false" hidden="false" ht="14" outlineLevel="0" r="176">
      <c r="D176" s="0" t="s">
        <v>41</v>
      </c>
      <c r="G176" s="10" t="n">
        <f aca="false">+G4-G173</f>
        <v>0</v>
      </c>
      <c r="H176" s="10" t="n">
        <f aca="false">+H4-H173</f>
        <v>0</v>
      </c>
      <c r="I176" s="10" t="n">
        <f aca="false">+I4-I173</f>
        <v>0</v>
      </c>
      <c r="J176" s="10" t="n">
        <f aca="false">+J4-J173</f>
        <v>0</v>
      </c>
      <c r="K176" s="10" t="n">
        <f aca="false">+K4-K173</f>
        <v>0</v>
      </c>
      <c r="L176" s="10" t="n">
        <f aca="false">+L4-L173</f>
        <v>0</v>
      </c>
      <c r="M176" s="10" t="n">
        <f aca="false">+M4-M173</f>
        <v>0</v>
      </c>
    </row>
    <row collapsed="false" customFormat="false" customHeight="false" hidden="false" ht="14" outlineLevel="0" r="177">
      <c r="D177" s="0" t="s">
        <v>42</v>
      </c>
      <c r="G177" s="24" t="str">
        <f aca="false">+IF(G176=0,"NA",IF(G176&lt;0,"OVER","UNDER"))</f>
        <v>NA</v>
      </c>
      <c r="H177" s="24" t="str">
        <f aca="false">+IF(H176=0,"NA",IF(H176&lt;0,"OVER","UNDER"))</f>
        <v>NA</v>
      </c>
      <c r="I177" s="24" t="str">
        <f aca="false">+IF(I176=0,"NA",IF(I176&lt;0,"OVER","UNDER"))</f>
        <v>NA</v>
      </c>
      <c r="J177" s="24" t="str">
        <f aca="false">+IF(J176=0,"NA",IF(J176&lt;0,"OVER","UNDER"))</f>
        <v>NA</v>
      </c>
      <c r="K177" s="24" t="str">
        <f aca="false">+IF(K176=0,"NA",IF(K176&lt;0,"OVER","UNDER"))</f>
        <v>NA</v>
      </c>
      <c r="L177" s="24" t="str">
        <f aca="false">+IF(L176=0,"NA",IF(L176&lt;0,"OVER","UNDER"))</f>
        <v>NA</v>
      </c>
      <c r="M177" s="24" t="str">
        <f aca="false">+IF(M176=0,"NA",IF(M176&lt;0,"OVER","UNDER"))</f>
        <v>NA</v>
      </c>
    </row>
    <row collapsed="false" customFormat="false" customHeight="false" hidden="false" ht="14" outlineLevel="0" r="178">
      <c r="E178" s="14"/>
    </row>
    <row collapsed="false" customFormat="false" customHeight="false" hidden="false" ht="14" outlineLevel="0" r="179">
      <c r="A179" s="0" t="s">
        <v>72</v>
      </c>
      <c r="E179" s="14"/>
    </row>
    <row collapsed="false" customFormat="false" customHeight="false" hidden="false" ht="14" outlineLevel="1" r="180">
      <c r="E180" s="14"/>
    </row>
    <row collapsed="false" customFormat="false" customHeight="false" hidden="false" ht="14" outlineLevel="1" r="181">
      <c r="B181" s="11" t="s">
        <v>35</v>
      </c>
      <c r="C181" s="11" t="s">
        <v>38</v>
      </c>
      <c r="D181" s="11" t="s">
        <v>73</v>
      </c>
      <c r="E181" s="14"/>
    </row>
    <row collapsed="false" customFormat="false" customHeight="false" hidden="false" ht="14" outlineLevel="1" r="182">
      <c r="B182" s="8" t="n">
        <f aca="false">+'bid input'!B2</f>
        <v>1104134</v>
      </c>
      <c r="C182" s="43" t="inlineStr">
        <f aca="false">+IF(M8&gt;0,F8,0)+IF(M37&gt;0,SUMPRODUCT(G$36:L$36,G37:L37)/M37,0)+E106+IF(M146&gt;0,M$171,0)</f>
        <is>
          <t/>
        </is>
      </c>
      <c r="D182" s="10" t="n">
        <f aca="false">+M182</f>
        <v>55333.1786850477</v>
      </c>
      <c r="E182" s="14"/>
      <c r="G182" s="10" t="n">
        <f aca="false">+G146+G106+G37+G8</f>
        <v>1226.91361905729</v>
      </c>
      <c r="H182" s="10" t="n">
        <f aca="false">+H146+H106+H37+H8</f>
        <v>8677.067245598</v>
      </c>
      <c r="I182" s="10" t="n">
        <f aca="false">+I146+I106+I37+I8</f>
        <v>14778.0104590507</v>
      </c>
      <c r="J182" s="10" t="n">
        <f aca="false">+J146+J106+J37+J8</f>
        <v>4044.99437102642</v>
      </c>
      <c r="K182" s="10" t="n">
        <f aca="false">+K146+K106+K37+K8</f>
        <v>7936.39597901141</v>
      </c>
      <c r="L182" s="10" t="n">
        <f aca="false">+L146+L106+L37+L8</f>
        <v>18669.7970113039</v>
      </c>
      <c r="M182" s="10" t="n">
        <f aca="false">SUM(G182:L182)</f>
        <v>55333.1786850477</v>
      </c>
    </row>
    <row collapsed="false" customFormat="false" customHeight="false" hidden="false" ht="14" outlineLevel="1" r="183">
      <c r="B183" s="8" t="n">
        <f aca="false">+'bid input'!B3</f>
        <v>1104143</v>
      </c>
      <c r="C183" s="43" t="n">
        <f aca="false">+IF(M9&gt;0,F9,0)+IF(M38&gt;0,SUMPRODUCT(G$36:L$36,G38:L38)/M38,0)+E107+IF(M147&gt;0,M$171,0)</f>
        <v>0.0225</v>
      </c>
      <c r="D183" s="10" t="n">
        <f aca="false">+M183</f>
        <v>138882</v>
      </c>
      <c r="E183" s="14"/>
      <c r="G183" s="10" t="n">
        <f aca="false">+G147+G107+G38+G9</f>
        <v>63745</v>
      </c>
      <c r="H183" s="10" t="n">
        <f aca="false">+H147+H107+H38+H9</f>
        <v>75137</v>
      </c>
      <c r="I183" s="10" t="n">
        <f aca="false">+I147+I107+I38+I9</f>
        <v>0</v>
      </c>
      <c r="J183" s="10" t="n">
        <f aca="false">+J147+J107+J38+J9</f>
        <v>0</v>
      </c>
      <c r="K183" s="10" t="n">
        <f aca="false">+K147+K107+K38+K9</f>
        <v>0</v>
      </c>
      <c r="L183" s="10" t="n">
        <f aca="false">+L147+L107+L38+L9</f>
        <v>0</v>
      </c>
      <c r="M183" s="10" t="n">
        <f aca="false">SUM(G183:L183)</f>
        <v>138882</v>
      </c>
    </row>
    <row collapsed="false" customFormat="false" customHeight="false" hidden="false" ht="14" outlineLevel="1" r="184">
      <c r="B184" s="8" t="n">
        <f aca="false">+'bid input'!B4</f>
        <v>1104154</v>
      </c>
      <c r="C184" s="43" t="n">
        <f aca="false">+IF(M10&gt;0,F10,0)+IF(M39&gt;0,SUMPRODUCT(G$36:L$36,G39:L39)/M39,0)+E108+IF(M148&gt;0,M$171,0)</f>
        <v>0.0461170112498925</v>
      </c>
      <c r="D184" s="10" t="n">
        <f aca="false">+M184</f>
        <v>185000</v>
      </c>
      <c r="E184" s="14"/>
      <c r="G184" s="10" t="n">
        <f aca="false">+G148+G108+G39+G10</f>
        <v>4102.04193794009</v>
      </c>
      <c r="H184" s="10" t="n">
        <f aca="false">+H148+H108+H39+H10</f>
        <v>29010.7577150526</v>
      </c>
      <c r="I184" s="10" t="n">
        <f aca="false">+I148+I108+I39+I10</f>
        <v>49408.5465518927</v>
      </c>
      <c r="J184" s="10" t="n">
        <f aca="false">+J148+J108+J39+J10</f>
        <v>13523.9647608046</v>
      </c>
      <c r="K184" s="10" t="n">
        <f aca="false">+K148+K108+K39+K10</f>
        <v>26534.4101135809</v>
      </c>
      <c r="L184" s="10" t="n">
        <f aca="false">+L148+L108+L39+L10</f>
        <v>62420.2789207292</v>
      </c>
      <c r="M184" s="10" t="n">
        <f aca="false">SUM(G184:L184)</f>
        <v>185000</v>
      </c>
    </row>
    <row collapsed="false" customFormat="false" customHeight="false" hidden="false" ht="14" outlineLevel="1" r="185">
      <c r="B185" s="8" t="n">
        <f aca="false">+'bid input'!B5</f>
        <v>1104152</v>
      </c>
      <c r="C185" s="43" t="n">
        <f aca="false">+IF(M11&gt;0,F11,0)+IF(M40&gt;0,SUMPRODUCT(G$36:L$36,G40:L40)/M40,0)+E109+IF(M149&gt;0,M$171,0)</f>
        <v>0.03</v>
      </c>
      <c r="D185" s="10" t="n">
        <f aca="false">+M185</f>
        <v>201055</v>
      </c>
      <c r="E185" s="14"/>
      <c r="G185" s="10" t="n">
        <f aca="false">+G149+G109+G40+G11</f>
        <v>0</v>
      </c>
      <c r="H185" s="10" t="n">
        <f aca="false">+H149+H109+H40+H11</f>
        <v>0</v>
      </c>
      <c r="I185" s="10" t="n">
        <f aca="false">+I149+I109+I40+I11</f>
        <v>95975</v>
      </c>
      <c r="J185" s="10" t="n">
        <f aca="false">+J149+J109+J40+J11</f>
        <v>105080</v>
      </c>
      <c r="K185" s="10" t="n">
        <f aca="false">+K149+K109+K40+K11</f>
        <v>0</v>
      </c>
      <c r="L185" s="10" t="n">
        <f aca="false">+L149+L109+L40+L11</f>
        <v>0</v>
      </c>
      <c r="M185" s="10" t="n">
        <f aca="false">SUM(G185:L185)</f>
        <v>201055</v>
      </c>
    </row>
    <row collapsed="false" customFormat="false" customHeight="false" hidden="false" ht="14" outlineLevel="1" r="186">
      <c r="B186" s="8" t="n">
        <f aca="false">+'bid input'!B6</f>
        <v>1104136</v>
      </c>
      <c r="C186" s="43" t="n">
        <f aca="false">+IF(M12&gt;0,F12,0)+IF(M41&gt;0,SUMPRODUCT(G$36:L$36,G41:L41)/M41,0)+E110+IF(M150&gt;0,M$171,0)</f>
        <v>0.06</v>
      </c>
      <c r="D186" s="10" t="n">
        <f aca="false">+M186</f>
        <v>105080</v>
      </c>
      <c r="E186" s="14"/>
      <c r="G186" s="10" t="n">
        <f aca="false">+G150+G110+G41+G12</f>
        <v>0</v>
      </c>
      <c r="H186" s="10" t="n">
        <f aca="false">+H150+H110+H41+H12</f>
        <v>0</v>
      </c>
      <c r="I186" s="10" t="n">
        <f aca="false">+I150+I110+I41+I12</f>
        <v>0</v>
      </c>
      <c r="J186" s="10" t="n">
        <f aca="false">+J150+J110+J41+J12</f>
        <v>105080</v>
      </c>
      <c r="K186" s="10" t="n">
        <f aca="false">+K150+K110+K41+K12</f>
        <v>0</v>
      </c>
      <c r="L186" s="10" t="n">
        <f aca="false">+L150+L110+L41+L12</f>
        <v>0</v>
      </c>
      <c r="M186" s="10" t="n">
        <f aca="false">SUM(G186:L186)</f>
        <v>105080</v>
      </c>
    </row>
    <row collapsed="false" customFormat="false" customHeight="false" hidden="false" ht="14" outlineLevel="1" r="187">
      <c r="B187" s="8" t="n">
        <f aca="false">+'bid input'!B7</f>
        <v>1104138</v>
      </c>
      <c r="C187" s="43" t="n">
        <f aca="false">+IF(M13&gt;0,F13,0)+IF(M42&gt;0,SUMPRODUCT(G$36:L$36,G42:L42)/M42,0)+E111+IF(M151&gt;0,M$171,0)</f>
        <v>0.0373670112498925</v>
      </c>
      <c r="D187" s="10" t="n">
        <f aca="false">+M187</f>
        <v>300000</v>
      </c>
      <c r="E187" s="14"/>
      <c r="G187" s="10" t="n">
        <f aca="false">+G151+G111+G42+G13</f>
        <v>6651.9598993623</v>
      </c>
      <c r="H187" s="10" t="n">
        <f aca="false">+H151+H111+H42+H13</f>
        <v>47044.4719703555</v>
      </c>
      <c r="I187" s="10" t="n">
        <f aca="false">+I151+I111+I42+I13</f>
        <v>80121.9673814476</v>
      </c>
      <c r="J187" s="10" t="n">
        <f aca="false">+J151+J111+J42+J13</f>
        <v>21930.7536661696</v>
      </c>
      <c r="K187" s="10" t="n">
        <f aca="false">+K151+K111+K42+K13</f>
        <v>43028.7731571582</v>
      </c>
      <c r="L187" s="10" t="n">
        <f aca="false">+L151+L111+L42+L13</f>
        <v>101222.073925507</v>
      </c>
      <c r="M187" s="10" t="n">
        <f aca="false">SUM(G187:L187)</f>
        <v>300000</v>
      </c>
    </row>
    <row collapsed="false" customFormat="false" customHeight="false" hidden="false" ht="14" outlineLevel="1" r="188">
      <c r="B188" s="8" t="n">
        <f aca="false">+'bid input'!B8</f>
        <v>1104139</v>
      </c>
      <c r="C188" s="43" t="n">
        <f aca="false">+IF(M14&gt;0,F14,0)+IF(M43&gt;0,SUMPRODUCT(G$36:L$36,G43:L43)/M43,0)+E112+IF(M152&gt;0,M$171,0)</f>
        <v>0.0386170112498925</v>
      </c>
      <c r="D188" s="10" t="n">
        <f aca="false">+M188</f>
        <v>250000</v>
      </c>
      <c r="E188" s="14"/>
      <c r="G188" s="10" t="n">
        <f aca="false">+G152+G112+G43+G14</f>
        <v>5543.29991613525</v>
      </c>
      <c r="H188" s="10" t="n">
        <f aca="false">+H152+H112+H43+H14</f>
        <v>39203.7266419629</v>
      </c>
      <c r="I188" s="10" t="n">
        <f aca="false">+I152+I112+I43+I14</f>
        <v>66768.3061512063</v>
      </c>
      <c r="J188" s="10" t="n">
        <f aca="false">+J152+J112+J43+J14</f>
        <v>18275.6280551413</v>
      </c>
      <c r="K188" s="10" t="n">
        <f aca="false">+K152+K112+K43+K14</f>
        <v>35857.3109642985</v>
      </c>
      <c r="L188" s="10" t="n">
        <f aca="false">+L152+L112+L43+L14</f>
        <v>84351.7282712557</v>
      </c>
      <c r="M188" s="10" t="n">
        <f aca="false">SUM(G188:L188)</f>
        <v>250000</v>
      </c>
    </row>
    <row collapsed="false" customFormat="false" customHeight="false" hidden="false" ht="14" outlineLevel="1" r="189">
      <c r="B189" s="8" t="n">
        <f aca="false">+'bid input'!B9</f>
        <v>1104140</v>
      </c>
      <c r="C189" s="43" t="n">
        <f aca="false">+IF(M15&gt;0,F15,0)+IF(M44&gt;0,SUMPRODUCT(G$36:L$36,G44:L44)/M44,0)+E113+IF(M153&gt;0,M$171,0)</f>
        <v>0.025</v>
      </c>
      <c r="D189" s="10" t="n">
        <f aca="false">+M189</f>
        <v>103085</v>
      </c>
      <c r="E189" s="14"/>
      <c r="G189" s="10" t="n">
        <f aca="false">+G153+G113+G44+G15</f>
        <v>0</v>
      </c>
      <c r="H189" s="10" t="n">
        <f aca="false">+H153+H113+H44+H15</f>
        <v>0</v>
      </c>
      <c r="I189" s="10" t="n">
        <f aca="false">+I153+I113+I44+I15</f>
        <v>0</v>
      </c>
      <c r="J189" s="10" t="n">
        <f aca="false">+J153+J113+J44+J15</f>
        <v>0</v>
      </c>
      <c r="K189" s="10" t="n">
        <f aca="false">+K153+K113+K44+K15</f>
        <v>103085</v>
      </c>
      <c r="L189" s="10" t="n">
        <f aca="false">+L153+L113+L44+L15</f>
        <v>0</v>
      </c>
      <c r="M189" s="10" t="n">
        <f aca="false">SUM(G189:L189)</f>
        <v>103085</v>
      </c>
    </row>
    <row collapsed="false" customFormat="false" customHeight="false" hidden="false" ht="14" outlineLevel="1" r="190">
      <c r="B190" s="8" t="n">
        <f aca="false">+'bid input'!B10</f>
        <v>1104141</v>
      </c>
      <c r="C190" s="43" t="n">
        <f aca="false">+IF(M16&gt;0,F16,0)+IF(M45&gt;0,SUMPRODUCT(G$36:L$36,G45:L45)/M45,0)+E114+IF(M154&gt;0,M$171,0)</f>
        <v>0.0411170112498925</v>
      </c>
      <c r="D190" s="10" t="n">
        <f aca="false">+M190</f>
        <v>285000</v>
      </c>
      <c r="G190" s="10" t="n">
        <f aca="false">+G154+G114+G45+G16</f>
        <v>6319.36190439419</v>
      </c>
      <c r="H190" s="10" t="n">
        <f aca="false">+H154+H114+H45+H16</f>
        <v>44692.2483718377</v>
      </c>
      <c r="I190" s="10" t="n">
        <f aca="false">+I154+I114+I45+I16</f>
        <v>76115.8690123752</v>
      </c>
      <c r="J190" s="10" t="n">
        <f aca="false">+J154+J114+J45+J16</f>
        <v>20834.2159828611</v>
      </c>
      <c r="K190" s="10" t="n">
        <f aca="false">+K154+K114+K45+K16</f>
        <v>40877.3344993003</v>
      </c>
      <c r="L190" s="10" t="n">
        <f aca="false">+L154+L114+L45+L16</f>
        <v>96160.9702292315</v>
      </c>
      <c r="M190" s="10" t="n">
        <f aca="false">SUM(G190:L190)</f>
        <v>285000</v>
      </c>
    </row>
    <row collapsed="false" customFormat="false" customHeight="false" hidden="false" ht="14" outlineLevel="1" r="191">
      <c r="B191" s="8" t="n">
        <f aca="false">+'bid input'!B11</f>
        <v>1104159</v>
      </c>
      <c r="C191" s="43" t="n">
        <f aca="false">+IF(M17&gt;0,F17,0)+IF(M46&gt;0,SUMPRODUCT(G$36:L$36,G46:L46)/M46,0)+E115+IF(M155&gt;0,M$171,0)</f>
        <v>0.0225</v>
      </c>
      <c r="D191" s="10" t="n">
        <f aca="false">+M191</f>
        <v>63745</v>
      </c>
      <c r="G191" s="10" t="n">
        <f aca="false">+G155+G115+G46+G17</f>
        <v>63745</v>
      </c>
      <c r="H191" s="10" t="n">
        <f aca="false">+H155+H115+H46+H17</f>
        <v>0</v>
      </c>
      <c r="I191" s="10" t="n">
        <f aca="false">+I155+I115+I46+I17</f>
        <v>0</v>
      </c>
      <c r="J191" s="10" t="n">
        <f aca="false">+J155+J115+J46+J17</f>
        <v>0</v>
      </c>
      <c r="K191" s="10" t="n">
        <f aca="false">+K155+K115+K46+K17</f>
        <v>0</v>
      </c>
      <c r="L191" s="10" t="n">
        <f aca="false">+L155+L115+L46+L17</f>
        <v>0</v>
      </c>
      <c r="M191" s="10" t="n">
        <f aca="false">SUM(G191:L191)</f>
        <v>63745</v>
      </c>
    </row>
    <row collapsed="false" customFormat="false" customHeight="false" hidden="false" ht="14" outlineLevel="1" r="192">
      <c r="B192" s="8" t="n">
        <f aca="false">+'bid input'!B12</f>
        <v>1104161</v>
      </c>
      <c r="C192" s="43" t="n">
        <f aca="false">+IF(M18&gt;0,F18,0)+IF(M47&gt;0,SUMPRODUCT(G$36:L$36,G47:L47)/M47,0)+E116+IF(M156&gt;0,M$171,0)</f>
        <v>0.06</v>
      </c>
      <c r="D192" s="10" t="n">
        <f aca="false">+M192</f>
        <v>105080</v>
      </c>
      <c r="G192" s="10" t="n">
        <f aca="false">+G156+G116+G47+G18</f>
        <v>0</v>
      </c>
      <c r="H192" s="10" t="n">
        <f aca="false">+H156+H116+H47+H18</f>
        <v>0</v>
      </c>
      <c r="I192" s="10" t="n">
        <f aca="false">+I156+I116+I47+I18</f>
        <v>0</v>
      </c>
      <c r="J192" s="10" t="n">
        <f aca="false">+J156+J116+J47+J18</f>
        <v>105080</v>
      </c>
      <c r="K192" s="10" t="n">
        <f aca="false">+K156+K116+K47+K18</f>
        <v>0</v>
      </c>
      <c r="L192" s="10" t="n">
        <f aca="false">+L156+L116+L47+L18</f>
        <v>0</v>
      </c>
      <c r="M192" s="10" t="n">
        <f aca="false">SUM(G192:L192)</f>
        <v>105080</v>
      </c>
    </row>
    <row collapsed="false" customFormat="false" customHeight="false" hidden="false" ht="14" outlineLevel="1" r="193">
      <c r="B193" s="8" t="n">
        <f aca="false">+'bid input'!B13</f>
        <v>1104145</v>
      </c>
      <c r="C193" s="43" t="n">
        <f aca="false">+IF(M19&gt;0,F19,0)+IF(M48&gt;0,SUMPRODUCT(G$36:L$36,G48:L48)/M48,0)+E117+IF(M157&gt;0,M$171,0)</f>
        <v>0.015</v>
      </c>
      <c r="D193" s="10" t="n">
        <f aca="false">+M193</f>
        <v>31872.5</v>
      </c>
      <c r="G193" s="10" t="n">
        <f aca="false">+G157+G117+G48+G19</f>
        <v>31872.5</v>
      </c>
      <c r="H193" s="10" t="n">
        <f aca="false">+H157+H117+H48+H19</f>
        <v>0</v>
      </c>
      <c r="I193" s="10" t="n">
        <f aca="false">+I157+I117+I48+I19</f>
        <v>0</v>
      </c>
      <c r="J193" s="10" t="n">
        <f aca="false">+J157+J117+J48+J19</f>
        <v>0</v>
      </c>
      <c r="K193" s="10" t="n">
        <f aca="false">+K157+K117+K48+K19</f>
        <v>0</v>
      </c>
      <c r="L193" s="10" t="n">
        <f aca="false">+L157+L117+L48+L19</f>
        <v>0</v>
      </c>
      <c r="M193" s="10" t="n">
        <f aca="false">SUM(G193:L193)</f>
        <v>31872.5</v>
      </c>
    </row>
    <row collapsed="false" customFormat="false" customHeight="false" hidden="false" ht="14" outlineLevel="1" r="194">
      <c r="B194" s="8" t="n">
        <f aca="false">+'bid input'!B14</f>
        <v>1104133</v>
      </c>
      <c r="C194" s="43" t="n">
        <f aca="false">+IF(M20&gt;0,F20,0)+IF(M49&gt;0,SUMPRODUCT(G$36:L$36,G49:L49)/M49,0)+E118+IF(M158&gt;0,M$171,0)</f>
        <v>0.04</v>
      </c>
      <c r="D194" s="10" t="n">
        <f aca="false">+M194</f>
        <v>105080</v>
      </c>
      <c r="G194" s="10" t="n">
        <f aca="false">+G158+G118+G49+G20</f>
        <v>0</v>
      </c>
      <c r="H194" s="10" t="n">
        <f aca="false">+H158+H118+H49+H20</f>
        <v>0</v>
      </c>
      <c r="I194" s="10" t="n">
        <f aca="false">+I158+I118+I49+I20</f>
        <v>0</v>
      </c>
      <c r="J194" s="10" t="n">
        <f aca="false">+J158+J118+J49+J20</f>
        <v>105080</v>
      </c>
      <c r="K194" s="10" t="n">
        <f aca="false">+K158+K118+K49+K20</f>
        <v>0</v>
      </c>
      <c r="L194" s="10" t="n">
        <f aca="false">+L158+L118+L49+L20</f>
        <v>0</v>
      </c>
      <c r="M194" s="10" t="n">
        <f aca="false">SUM(G194:L194)</f>
        <v>105080</v>
      </c>
    </row>
    <row collapsed="false" customFormat="false" customHeight="false" hidden="false" ht="14" outlineLevel="1" r="195">
      <c r="B195" s="8" t="n">
        <f aca="false">+'bid input'!B15</f>
        <v>1104149</v>
      </c>
      <c r="C195" s="43" t="n">
        <f aca="false">+IF(M21&gt;0,F21,0)+IF(M50&gt;0,SUMPRODUCT(G$36:L$36,G50:L50)/M50,0)+E119+IF(M159&gt;0,M$171,0)</f>
        <v>0.025</v>
      </c>
      <c r="D195" s="10" t="n">
        <f aca="false">+M195</f>
        <v>103085</v>
      </c>
      <c r="G195" s="10" t="n">
        <f aca="false">+G159+G119+G50+G21</f>
        <v>0</v>
      </c>
      <c r="H195" s="10" t="n">
        <f aca="false">+H159+H119+H50+H21</f>
        <v>0</v>
      </c>
      <c r="I195" s="10" t="n">
        <f aca="false">+I159+I119+I50+I21</f>
        <v>0</v>
      </c>
      <c r="J195" s="10" t="n">
        <f aca="false">+J159+J119+J50+J21</f>
        <v>0</v>
      </c>
      <c r="K195" s="10" t="n">
        <f aca="false">+K159+K119+K50+K21</f>
        <v>103085</v>
      </c>
      <c r="L195" s="10" t="n">
        <f aca="false">+L159+L119+L50+L21</f>
        <v>0</v>
      </c>
      <c r="M195" s="10" t="n">
        <f aca="false">SUM(G195:L195)</f>
        <v>103085</v>
      </c>
    </row>
    <row collapsed="false" customFormat="false" customHeight="false" hidden="false" ht="14" outlineLevel="1" r="196">
      <c r="B196" s="8" t="n">
        <f aca="false">+'bid input'!B16</f>
        <v>1104151</v>
      </c>
      <c r="C196" s="43" t="n">
        <f aca="false">+IF(M22&gt;0,F22,0)+IF(M51&gt;0,SUMPRODUCT(G$36:L$36,G51:L51)/M51,0)+E120+IF(M160&gt;0,M$171,0)</f>
        <v>0.0225</v>
      </c>
      <c r="D196" s="10" t="n">
        <f aca="false">+M196</f>
        <v>63745</v>
      </c>
      <c r="G196" s="10" t="n">
        <f aca="false">+G160+G120+G51+G22</f>
        <v>63745</v>
      </c>
      <c r="H196" s="10" t="n">
        <f aca="false">+H160+H120+H51+H22</f>
        <v>0</v>
      </c>
      <c r="I196" s="10" t="n">
        <f aca="false">+I160+I120+I51+I22</f>
        <v>0</v>
      </c>
      <c r="J196" s="10" t="n">
        <f aca="false">+J160+J120+J51+J22</f>
        <v>0</v>
      </c>
      <c r="K196" s="10" t="n">
        <f aca="false">+K160+K120+K51+K22</f>
        <v>0</v>
      </c>
      <c r="L196" s="10" t="n">
        <f aca="false">+L160+L120+L51+L22</f>
        <v>0</v>
      </c>
      <c r="M196" s="10" t="n">
        <f aca="false">SUM(G196:L196)</f>
        <v>63745</v>
      </c>
    </row>
    <row collapsed="false" customFormat="false" customHeight="false" hidden="false" ht="14" outlineLevel="1" r="197">
      <c r="B197" s="8" t="n">
        <f aca="false">+'bid input'!B17</f>
        <v>1104131</v>
      </c>
      <c r="C197" s="43" t="inlineStr">
        <f aca="false">+IF(M23&gt;0,F23,0)+IF(M52&gt;0,SUMPRODUCT(G$36:L$36,G52:L52)/M52,0)+E121+IF(M161&gt;0,M$171,0)</f>
        <is>
          <t/>
        </is>
      </c>
      <c r="D197" s="10" t="n">
        <f aca="false">+M197</f>
        <v>176475.951219512</v>
      </c>
      <c r="G197" s="10" t="n">
        <f aca="false">+G161+G121+G52+G23</f>
        <v>3913.03650238003</v>
      </c>
      <c r="H197" s="10" t="n">
        <f aca="false">+H161+H121+H52+H23</f>
        <v>27674.0598019606</v>
      </c>
      <c r="I197" s="10" t="n">
        <f aca="false">+I161+I121+I52+I23</f>
        <v>47132.001357399</v>
      </c>
      <c r="J197" s="10" t="n">
        <f aca="false">+J161+J121+J52+J23</f>
        <v>12900.8353806603</v>
      </c>
      <c r="K197" s="10" t="n">
        <f aca="false">+K161+K121+K52+K23</f>
        <v>25311.8122423937</v>
      </c>
      <c r="L197" s="10" t="n">
        <f aca="false">+L161+L121+L52+L23</f>
        <v>59544.2059347186</v>
      </c>
      <c r="M197" s="10" t="n">
        <f aca="false">SUM(G197:L197)</f>
        <v>176475.951219512</v>
      </c>
    </row>
    <row collapsed="false" customFormat="false" customHeight="false" hidden="false" ht="14" outlineLevel="1" r="198">
      <c r="B198" s="8" t="n">
        <f aca="false">+'bid input'!B18</f>
        <v>1104155</v>
      </c>
      <c r="C198" s="43" t="n">
        <f aca="false">+IF(M24&gt;0,F24,0)+IF(M53&gt;0,SUMPRODUCT(G$36:L$36,G53:L53)/M53,0)+E122+IF(M162&gt;0,M$171,0)</f>
        <v>0.02125</v>
      </c>
      <c r="D198" s="10" t="n">
        <f aca="false">+M198</f>
        <v>103085</v>
      </c>
      <c r="G198" s="10" t="n">
        <f aca="false">+G162+G122+G53+G24</f>
        <v>0</v>
      </c>
      <c r="H198" s="10" t="n">
        <f aca="false">+H162+H122+H53+H24</f>
        <v>0</v>
      </c>
      <c r="I198" s="10" t="n">
        <f aca="false">+I162+I122+I53+I24</f>
        <v>0</v>
      </c>
      <c r="J198" s="10" t="n">
        <f aca="false">+J162+J122+J53+J24</f>
        <v>0</v>
      </c>
      <c r="K198" s="10" t="n">
        <f aca="false">+K162+K122+K53+K24</f>
        <v>103085</v>
      </c>
      <c r="L198" s="10" t="n">
        <f aca="false">+L162+L122+L53+L24</f>
        <v>0</v>
      </c>
      <c r="M198" s="10" t="n">
        <f aca="false">SUM(G198:L198)</f>
        <v>103085</v>
      </c>
    </row>
    <row collapsed="false" customFormat="false" customHeight="false" hidden="false" ht="14" outlineLevel="1" r="199">
      <c r="B199" s="8" t="n">
        <f aca="false">+'bid input'!B19</f>
        <v>1104156</v>
      </c>
      <c r="C199" s="43" t="n">
        <f aca="false">+IF(M25&gt;0,F25,0)+IF(M54&gt;0,SUMPRODUCT(G$36:L$36,G54:L54)/M54,0)+E123+IF(M163&gt;0,M$171,0)</f>
        <v>0.0225</v>
      </c>
      <c r="D199" s="10" t="n">
        <f aca="false">+M199</f>
        <v>75137</v>
      </c>
      <c r="G199" s="10" t="n">
        <f aca="false">+G163+G123+G54+G25</f>
        <v>0</v>
      </c>
      <c r="H199" s="10" t="n">
        <f aca="false">+H163+H123+H54+H25</f>
        <v>75137</v>
      </c>
      <c r="I199" s="10" t="n">
        <f aca="false">+I163+I123+I54+I25</f>
        <v>0</v>
      </c>
      <c r="J199" s="10" t="n">
        <f aca="false">+J163+J123+J54+J25</f>
        <v>0</v>
      </c>
      <c r="K199" s="10" t="n">
        <f aca="false">+K163+K123+K54+K25</f>
        <v>0</v>
      </c>
      <c r="L199" s="10" t="n">
        <f aca="false">+L163+L123+L54+L25</f>
        <v>0</v>
      </c>
      <c r="M199" s="10" t="n">
        <f aca="false">SUM(G199:L199)</f>
        <v>75137</v>
      </c>
    </row>
    <row collapsed="false" customFormat="false" customHeight="false" hidden="false" ht="14" outlineLevel="1" r="200">
      <c r="B200" s="8" t="n">
        <f aca="false">+'bid input'!B20</f>
        <v>1104157</v>
      </c>
      <c r="C200" s="43" t="inlineStr">
        <f aca="false">+IF(M26&gt;0,F26,0)+IF(M55&gt;0,SUMPRODUCT(G$36:L$36,G55:L55)/M55,0)+E124+IF(M164&gt;0,M$171,0)</f>
        <is>
          <t/>
        </is>
      </c>
      <c r="D200" s="10" t="n">
        <f aca="false">+M200</f>
        <v>185624.37009544</v>
      </c>
      <c r="G200" s="10" t="n">
        <f aca="false">+G164+G124+G55+G26</f>
        <v>4115.88622073084</v>
      </c>
      <c r="H200" s="10" t="n">
        <f aca="false">+H164+H124+H55+H26</f>
        <v>29108.6682532328</v>
      </c>
      <c r="I200" s="10" t="n">
        <f aca="false">+I164+I124+I55+I26</f>
        <v>49575.2990866287</v>
      </c>
      <c r="J200" s="10" t="n">
        <f aca="false">+J164+J124+J55+J26</f>
        <v>13569.6077833366</v>
      </c>
      <c r="K200" s="10" t="n">
        <f aca="false">+K164+K124+K55+K26</f>
        <v>26623.9630442569</v>
      </c>
      <c r="L200" s="10" t="n">
        <f aca="false">+L164+L124+L55+L26</f>
        <v>62630.9457072542</v>
      </c>
      <c r="M200" s="10" t="n">
        <f aca="false">SUM(G200:L200)</f>
        <v>185624.37009544</v>
      </c>
    </row>
    <row collapsed="false" customFormat="false" customHeight="false" hidden="false" ht="14" outlineLevel="1" r="201">
      <c r="B201" s="8" t="n">
        <f aca="false">+'bid input'!B21</f>
        <v>1104158</v>
      </c>
      <c r="C201" s="43" t="n">
        <f aca="false">+IF(M27&gt;0,F27,0)+IF(M56&gt;0,SUMPRODUCT(G$36:L$36,G56:L56)/M56,0)+E125+IF(M165&gt;0,M$171,0)</f>
        <v>0.0225</v>
      </c>
      <c r="D201" s="10" t="n">
        <f aca="false">+M201</f>
        <v>63745</v>
      </c>
      <c r="G201" s="10" t="n">
        <f aca="false">+G165+G125+G56+G27</f>
        <v>63745</v>
      </c>
      <c r="H201" s="10" t="n">
        <f aca="false">+H165+H125+H56+H27</f>
        <v>0</v>
      </c>
      <c r="I201" s="10" t="n">
        <f aca="false">+I165+I125+I56+I27</f>
        <v>0</v>
      </c>
      <c r="J201" s="10" t="n">
        <f aca="false">+J165+J125+J56+J27</f>
        <v>0</v>
      </c>
      <c r="K201" s="10" t="n">
        <f aca="false">+K165+K125+K56+K27</f>
        <v>0</v>
      </c>
      <c r="L201" s="10" t="n">
        <f aca="false">+L165+L125+L56+L27</f>
        <v>0</v>
      </c>
      <c r="M201" s="10" t="n">
        <f aca="false">SUM(G201:L201)</f>
        <v>63745</v>
      </c>
    </row>
    <row collapsed="false" customFormat="false" customHeight="false" hidden="false" ht="14.9" outlineLevel="0" r="202">
      <c r="B202" s="1" t="s">
        <v>74</v>
      </c>
      <c r="C202" s="43" t="n">
        <f aca="false">+SUMPRODUCT(C182:C201,M182:M201)/M202</f>
        <v>0.0361933025334922</v>
      </c>
      <c r="D202" s="10" t="n">
        <f aca="false">SUM(D182:D201)</f>
        <v>2700110</v>
      </c>
      <c r="G202" s="10" t="n">
        <f aca="false">SUM(G182:G201)</f>
        <v>318725</v>
      </c>
      <c r="H202" s="10" t="n">
        <f aca="false">SUM(H182:H201)</f>
        <v>375685</v>
      </c>
      <c r="I202" s="10" t="n">
        <f aca="false">SUM(I182:I201)</f>
        <v>479875</v>
      </c>
      <c r="J202" s="10" t="n">
        <f aca="false">SUM(J182:J201)</f>
        <v>525400</v>
      </c>
      <c r="K202" s="10" t="n">
        <f aca="false">SUM(K182:K201)</f>
        <v>515425</v>
      </c>
      <c r="L202" s="10" t="n">
        <f aca="false">SUM(L182:L201)</f>
        <v>485000</v>
      </c>
      <c r="M202" s="10" t="n">
        <f aca="false">SUM(G202:L202)</f>
        <v>2700110</v>
      </c>
    </row>
    <row collapsed="false" customFormat="false" customHeight="false" hidden="false" ht="14" outlineLevel="0" r="203">
      <c r="C203" s="43"/>
    </row>
    <row collapsed="false" customFormat="false" customHeight="false" hidden="false" ht="14" outlineLevel="0" r="204">
      <c r="B204" s="0" t="s">
        <v>75</v>
      </c>
      <c r="C204" s="15" t="n">
        <v>0.01</v>
      </c>
    </row>
    <row collapsed="false" customFormat="false" customHeight="false" hidden="false" ht="14" outlineLevel="0" r="206">
      <c r="B206" s="0" t="s">
        <v>76</v>
      </c>
      <c r="C206" s="15" t="inlineStr">
        <f aca="false">+C204+C202</f>
        <is>
          <t/>
        </is>
      </c>
      <c r="G206" s="43" t="inlineStr">
        <f aca="false">+G174+$C$204</f>
        <is>
          <t/>
        </is>
      </c>
      <c r="H206" s="43" t="inlineStr">
        <f aca="false">+H174+$C$204</f>
        <is>
          <t/>
        </is>
      </c>
      <c r="I206" s="43" t="inlineStr">
        <f aca="false">+I174+$C$204</f>
        <is>
          <t/>
        </is>
      </c>
      <c r="J206" s="43" t="inlineStr">
        <f aca="false">+J174+$C$204</f>
        <is>
          <t/>
        </is>
      </c>
      <c r="K206" s="43" t="inlineStr">
        <f aca="false">+K174+$C$204</f>
        <is>
          <t/>
        </is>
      </c>
      <c r="L206" s="43" t="inlineStr">
        <f aca="false">+L174+$C$204</f>
        <is>
          <t/>
        </is>
      </c>
      <c r="M206" s="43" t="inlineStr">
        <f aca="false">+M174+$C$204</f>
        <is>
          <t/>
        </is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blackAndWhite="false" cellComments="none" copies="1" draft="false" firstPageNumber="0" fitToHeight="1" fitToWidth="1" horizontalDpi="300" orientation="portrait" pageOrder="downThenOver" paperSize="1" scale="100" useFirstPageNumber="false" usePrinterDefaults="false" verticalDpi="300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LibreOffice/3.4$Linux LibreOffice_project/340m1$Build-502</Application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cp:revision>0</cp:revision>
</cp:coreProperties>
</file>