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1" firstSheet="0" showHorizontalScroll="true" showSheetTabs="true" showVerticalScroll="true" tabRatio="580" windowHeight="8192" windowWidth="16384" xWindow="0" yWindow="0"/>
  </bookViews>
  <sheets>
    <sheet name="bid input" sheetId="1" state="visible" r:id="rId2"/>
    <sheet name="assets available for bid" sheetId="2" state="visible" r:id="rId3"/>
  </sheets>
  <definedNames>
    <definedName function="false" hidden="true" localSheetId="0" name="_xlnm._FilterDatabase" vbProcedure="false">'bid input'!$A$1:$N$21</definedName>
    <definedName function="false" hidden="false" name="IsSC" vbProcedure="false">'assets available for bid'!$E$8:$E$27</definedName>
    <definedName function="false" hidden="false" name="LoanAmount" vbProcedure="false">'assets available for bid'!$G$4:$M$4</definedName>
    <definedName function="false" hidden="false" name="LoanN_SC" vbProcedure="false">'assets available for bid'!$C$8:$C$27</definedName>
    <definedName function="false" hidden="false" name="LoanNumber" vbProcedure="false">'assets available for bid'!$G$2:$L$2</definedName>
    <definedName function="false" hidden="false" name="MO" vbProcedure="false">'assets available for bid'!$G$3:$L$3</definedName>
    <definedName function="false" hidden="false" name="S_MO" vbProcedure="false">'assets available for bid'!$D$8:$D$27</definedName>
    <definedName function="false" hidden="false" name="S_Percent" vbProcedure="false">'assets available for bid'!$N$8:$N$27</definedName>
    <definedName function="false" hidden="false" name="_xlnm._FilterDatabase" vbProcedure="false">'bid input'!$A$1:$N$21</definedName>
    <definedName function="false" hidden="false" name="_xlnm._FilterDatabase_1" vbProcedure="false">'bid input'!$A$1:$N$21</definedName>
    <definedName function="false" hidden="false" name="_xlnm._FilterDatabase_1_1" vbProcedure="false">'bid input'!$A$1:$N$21</definedName>
  </definedNames>
  <calcPr iterateCount="100" refMode="A1" iterate="false" iterateDelta="0.0001"/>
</workbook>
</file>

<file path=xl/comments2.xml><?xml version="1.0" encoding="utf-8"?>
<comments xmlns="http://schemas.openxmlformats.org/spreadsheetml/2006/main" xmlns:xdr="http://schemas.openxmlformats.org/drawingml/2006/spreadsheetDrawing">
  <authors>
    <author/>
  </authors>
  <commentList>
    <comment authorId="0" ref="D54">
      <text>
        <r>
          <rPr>
            <rFont val="Tahoma"/>
            <charset val="1"/>
            <family val="2"/>
            <b val="true"/>
            <color rgb="00000000"/>
            <sz val="8"/>
          </rPr>
          <t xml:space="preserve">duHadway:
</t>
        </r>
        <r>
          <rPr>
            <rFont val="Tahoma"/>
            <charset val="1"/>
            <family val="2"/>
            <color rgb="00000000"/>
            <sz val="8"/>
          </rPr>
          <t xml:space="preserve">Not automated to kill bids based upon rates if over subscribed</t>
        </r>
      </text>
    </comment>
    <comment authorId="0" ref="D104">
      <text>
        <r>
          <rPr>
            <rFont val="Tahoma"/>
            <charset val="1"/>
            <family val="2"/>
            <b val="true"/>
            <color rgb="00000000"/>
            <sz val="8"/>
          </rPr>
          <t xml:space="preserve">duHadway:
</t>
        </r>
        <r>
          <rPr>
            <rFont val="Tahoma"/>
            <charset val="1"/>
            <family val="2"/>
            <color rgb="00000000"/>
            <sz val="8"/>
          </rPr>
          <t xml:space="preserve">Not automated to kill bids if oversubscribed</t>
        </r>
      </text>
    </comment>
    <comment authorId="0" ref="N213">
      <text>
        <r>
          <rPr>
            <rFont val="Calibri"/>
            <charset val="1"/>
            <family val="2"/>
            <color rgb="00000000"/>
            <sz val="11"/>
          </rPr>
          <t xml:space="preserve">This is the previus formula of M171</t>
        </r>
      </text>
    </comment>
  </commentList>
</comments>
</file>

<file path=xl/sharedStrings.xml><?xml version="1.0" encoding="utf-8"?>
<sst xmlns="http://schemas.openxmlformats.org/spreadsheetml/2006/main" count="174" uniqueCount="77">
  <si>
    <t>time</t>
  </si>
  <si>
    <t>bidID</t>
  </si>
  <si>
    <t>Bid Type</t>
  </si>
  <si>
    <t>if general: Aggregate $</t>
  </si>
  <si>
    <t>if general, max % per asset</t>
  </si>
  <si>
    <t>if specified, bid %</t>
  </si>
  <si>
    <t>if specified, loan or MO</t>
  </si>
  <si>
    <t>Loan # if applicable</t>
  </si>
  <si>
    <t>MO if applicable</t>
  </si>
  <si>
    <t>order type</t>
  </si>
  <si>
    <t>if competitive, bid rate</t>
  </si>
  <si>
    <t>order timing</t>
  </si>
  <si>
    <t>Funds available</t>
  </si>
  <si>
    <t>If auto, date/time order placed</t>
  </si>
  <si>
    <t>Specified &amp; Competitive</t>
  </si>
  <si>
    <t>Specified &amp; Noncompetitive</t>
  </si>
  <si>
    <t>General &amp; Competitive</t>
  </si>
  <si>
    <t>General &amp; Noncompetitive</t>
  </si>
  <si>
    <t>General</t>
  </si>
  <si>
    <t>Noncompetitive</t>
  </si>
  <si>
    <t>Auto</t>
  </si>
  <si>
    <t>Specified</t>
  </si>
  <si>
    <t>MO</t>
  </si>
  <si>
    <t>ABC Mortgage</t>
  </si>
  <si>
    <t>Competitive</t>
  </si>
  <si>
    <t>Prime Lending</t>
  </si>
  <si>
    <t>Loan</t>
  </si>
  <si>
    <t>Day Trade</t>
  </si>
  <si>
    <t>Best Loans Inc</t>
  </si>
  <si>
    <t>Allocation process:</t>
  </si>
  <si>
    <t>Loan Number</t>
  </si>
  <si>
    <t>Batch Total</t>
  </si>
  <si>
    <t>Integrity Lending</t>
  </si>
  <si>
    <t>Loan Amount</t>
  </si>
  <si>
    <t>Step 2 of process - Assets are assigned Specified/Competitive bids:</t>
  </si>
  <si>
    <t>Bid ID</t>
  </si>
  <si>
    <t>Loan #</t>
  </si>
  <si>
    <t>Specific &amp; Competitive?</t>
  </si>
  <si>
    <t>Rate</t>
  </si>
  <si>
    <t>Total Specified/Competitive</t>
  </si>
  <si>
    <t>WA Rate</t>
  </si>
  <si>
    <t>Remaining need</t>
  </si>
  <si>
    <t>Over(under)subscribed</t>
  </si>
  <si>
    <t>Step 3 of process - Assets are assigned Specified/Non Competitive bids:</t>
  </si>
  <si>
    <t>Specific &amp; NonCompetitive?</t>
  </si>
  <si>
    <t>Rate &gt;&gt;</t>
  </si>
  <si>
    <t>Total Specified/Noncompetitive</t>
  </si>
  <si>
    <t>Step 4 of process - Market rate is determined:</t>
  </si>
  <si>
    <t>Cummulative</t>
  </si>
  <si>
    <t>Subscription %</t>
  </si>
  <si>
    <t>Step 5 of process - General/Competitive bids are assigned to undersubscribed assets:</t>
  </si>
  <si>
    <t>General &amp; Competitive?</t>
  </si>
  <si>
    <t>Aggregate $</t>
  </si>
  <si>
    <t>rank</t>
  </si>
  <si>
    <t>Allocated &amp; accepted</t>
  </si>
  <si>
    <t>total</t>
  </si>
  <si>
    <t>Amount required to fund all under subscribed:</t>
  </si>
  <si>
    <t>If bids&gt;under subscribed amount, accept lowest rate first:</t>
  </si>
  <si>
    <t>Amount Awarded</t>
  </si>
  <si>
    <t>Rate Awarded</t>
  </si>
  <si>
    <t>Highest daily rate</t>
  </si>
  <si>
    <t>less: Daily market rate</t>
  </si>
  <si>
    <t>Market Rate differential</t>
  </si>
  <si>
    <t>Market Premium, if applicable</t>
  </si>
  <si>
    <t>Total General/Noncompetitive</t>
  </si>
  <si>
    <t>Step 6 of process - General/Noncompetitive bids are assigned to undersubscribed assets:</t>
  </si>
  <si>
    <t>General &amp; Noncompetitive?</t>
  </si>
  <si>
    <t>Amount</t>
  </si>
  <si>
    <t>Allocation</t>
  </si>
  <si>
    <t>Total available</t>
  </si>
  <si>
    <t>Need</t>
  </si>
  <si>
    <t>allocation %</t>
  </si>
  <si>
    <t>Summary of bid allocations:</t>
  </si>
  <si>
    <t>Total</t>
  </si>
  <si>
    <t>Rate to SSI</t>
  </si>
  <si>
    <t>LS Spread</t>
  </si>
  <si>
    <t>Rate to MO</t>
  </si>
</sst>
</file>

<file path=xl/styles.xml><?xml version="1.0" encoding="utf-8"?>
<styleSheet xmlns="http://schemas.openxmlformats.org/spreadsheetml/2006/main">
  <numFmts count="10">
    <numFmt formatCode="GENERAL" numFmtId="164"/>
    <numFmt formatCode="H:MM:SS\ AM/PM;@" numFmtId="165"/>
    <numFmt formatCode="&quot; $&quot;#,##0.00\ ;&quot; $(&quot;#,##0.00\);&quot; $-&quot;#\ ;@\ " numFmtId="166"/>
    <numFmt formatCode="0%" numFmtId="167"/>
    <numFmt formatCode="0.000%" numFmtId="168"/>
    <numFmt formatCode="M/D/YY\ H:MM\ AM/PM;@" numFmtId="169"/>
    <numFmt formatCode="0.00%" numFmtId="170"/>
    <numFmt formatCode="#,##0.00\ ;&quot; (&quot;#,##0.00\);&quot; -&quot;#\ ;@\ " numFmtId="171"/>
    <numFmt formatCode="#,##0\ ;&quot; (&quot;#,##0\);&quot; -&quot;#\ ;@\ " numFmtId="172"/>
    <numFmt formatCode="0.0%" numFmtId="173"/>
  </numFmts>
  <fonts count="11">
    <font>
      <name val="Calibri"/>
      <charset val="1"/>
      <family val="2"/>
      <color rgb="00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001F497D"/>
      <sz val="11"/>
    </font>
    <font>
      <name val="Calibri"/>
      <charset val="1"/>
      <family val="2"/>
      <color rgb="00000000"/>
      <sz val="11"/>
      <u val="single"/>
    </font>
    <font>
      <name val="Calibri"/>
      <charset val="1"/>
      <family val="2"/>
      <sz val="11"/>
    </font>
    <font>
      <name val="Calibri"/>
      <charset val="1"/>
      <family val="2"/>
      <color rgb="00FFFFFF"/>
      <sz val="11"/>
    </font>
    <font>
      <name val="Tahoma"/>
      <charset val="1"/>
      <family val="2"/>
      <b val="true"/>
      <color rgb="00000000"/>
      <sz val="8"/>
    </font>
    <font>
      <name val="Tahoma"/>
      <charset val="1"/>
      <family val="2"/>
      <color rgb="00000000"/>
      <sz val="8"/>
    </font>
    <font>
      <name val="Calibri"/>
      <charset val="1"/>
      <family val="2"/>
      <color rgb="00000000"/>
      <sz val="11"/>
      <u val="double"/>
    </font>
  </fonts>
  <fills count="3">
    <fill>
      <patternFill patternType="none"/>
    </fill>
    <fill>
      <patternFill patternType="gray125"/>
    </fill>
    <fill>
      <patternFill patternType="solid">
        <fgColor rgb="00DCE6F2"/>
        <bgColor rgb="00CCFFFF"/>
      </patternFill>
    </fill>
  </fills>
  <borders count="9">
    <border diagonalDown="false" diagonalUp="false">
      <left/>
      <right/>
      <top/>
      <bottom/>
      <diagonal/>
    </border>
    <border diagonalDown="false" diagonalUp="false">
      <left style="thin"/>
      <right/>
      <top style="thin"/>
      <bottom/>
      <diagonal/>
    </border>
    <border diagonalDown="false" diagonalUp="false">
      <left/>
      <right/>
      <top style="thin"/>
      <bottom/>
      <diagonal/>
    </border>
    <border diagonalDown="false" diagonalUp="false">
      <left/>
      <right style="thin"/>
      <top style="thin"/>
      <bottom/>
      <diagonal/>
    </border>
    <border diagonalDown="false" diagonalUp="false">
      <left style="thin"/>
      <right/>
      <top/>
      <bottom style="thin"/>
      <diagonal/>
    </border>
    <border diagonalDown="false" diagonalUp="false">
      <left/>
      <right/>
      <top/>
      <bottom style="thin"/>
      <diagonal/>
    </border>
    <border diagonalDown="false" diagonalUp="false">
      <left/>
      <right style="thin"/>
      <top/>
      <bottom style="thin"/>
      <diagonal/>
    </border>
    <border diagonalDown="false" diagonalUp="false">
      <left style="thin"/>
      <right/>
      <top/>
      <bottom/>
      <diagonal/>
    </border>
    <border diagonalDown="false" diagonalUp="false">
      <left/>
      <right style="thin"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true" applyBorder="true" applyFont="true" applyProtection="true" borderId="0" fillId="0" fontId="0" numFmtId="171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41"/>
    <xf applyAlignment="true" applyBorder="true" applyFont="true" applyProtection="true" borderId="0" fillId="0" fontId="0" numFmtId="166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42"/>
    <xf applyAlignment="true" applyBorder="true" applyFont="true" applyProtection="true" borderId="0" fillId="0" fontId="0" numFmtId="167">
      <alignment horizontal="general" indent="0" shrinkToFit="false" textRotation="0" vertical="bottom" wrapText="false"/>
      <protection hidden="false" locked="true"/>
    </xf>
  </cellStyleXfs>
  <cellXfs count="54">
    <xf applyAlignment="false" applyBorder="false" applyFont="false" applyProtection="false" borderId="0" fillId="0" fontId="0" numFmtId="164" xfId="0"/>
    <xf applyAlignment="true" applyBorder="false" applyFont="true" applyProtection="false" borderId="0" fillId="0" fontId="0" numFmtId="164" xfId="0">
      <alignment horizontal="general" indent="0" shrinkToFit="false" textRotation="0" vertical="bottom" wrapText="true"/>
    </xf>
    <xf applyAlignment="false" applyBorder="false" applyFont="false" applyProtection="false" borderId="0" fillId="0" fontId="0" numFmtId="165" xfId="0"/>
    <xf applyAlignment="false" applyBorder="false" applyFont="true" applyProtection="false" borderId="0" fillId="0" fontId="4" numFmtId="164" xfId="0"/>
    <xf applyAlignment="true" applyBorder="true" applyFont="true" applyProtection="true" borderId="0" fillId="0" fontId="4" numFmtId="166" xfId="17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4" numFmtId="167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4" numFmtId="168" xfId="19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4" numFmtId="169" xfId="0"/>
    <xf applyAlignment="false" applyBorder="false" applyFont="true" applyProtection="false" borderId="0" fillId="0" fontId="4" numFmtId="166" xfId="0"/>
    <xf applyAlignment="false" applyBorder="false" applyFont="false" applyProtection="false" borderId="0" fillId="0" fontId="0" numFmtId="166" xfId="0"/>
    <xf applyAlignment="true" applyBorder="true" applyFont="true" applyProtection="false" borderId="0" fillId="0" fontId="5" numFmtId="164" xfId="0">
      <alignment horizontal="center" indent="0" shrinkToFit="false" textRotation="0" vertical="bottom" wrapText="false"/>
    </xf>
    <xf applyAlignment="true" applyBorder="true" applyFont="true" applyProtection="false" borderId="0" fillId="0" fontId="5" numFmtId="164" xfId="0">
      <alignment horizontal="center" indent="0" shrinkToFit="false" textRotation="0" vertical="bottom" wrapText="true"/>
    </xf>
    <xf applyAlignment="false" applyBorder="false" applyFont="true" applyProtection="false" borderId="0" fillId="0" fontId="6" numFmtId="164" xfId="0"/>
    <xf applyAlignment="true" applyBorder="false" applyFont="true" applyProtection="false" borderId="0" fillId="0" fontId="6" numFmtId="166" xfId="0">
      <alignment horizontal="center" indent="0" shrinkToFit="false" textRotation="0" vertical="bottom" wrapText="false"/>
    </xf>
    <xf applyAlignment="true" applyBorder="true" applyFont="true" applyProtection="true" borderId="0" fillId="0" fontId="0" numFmtId="168" xfId="19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0" numFmtId="164" xfId="0"/>
    <xf applyAlignment="false" applyBorder="false" applyFont="true" applyProtection="false" borderId="0" fillId="0" fontId="7" numFmtId="170" xfId="0"/>
    <xf applyAlignment="false" applyBorder="false" applyFont="true" applyProtection="false" borderId="0" fillId="0" fontId="0" numFmtId="166" xfId="0"/>
    <xf applyAlignment="false" applyBorder="true" applyFont="true" applyProtection="false" borderId="1" fillId="0" fontId="0" numFmtId="164" xfId="0"/>
    <xf applyAlignment="false" applyBorder="true" applyFont="false" applyProtection="false" borderId="2" fillId="0" fontId="0" numFmtId="164" xfId="0"/>
    <xf applyAlignment="false" applyBorder="true" applyFont="false" applyProtection="false" borderId="2" fillId="0" fontId="0" numFmtId="166" xfId="0"/>
    <xf applyAlignment="false" applyBorder="true" applyFont="false" applyProtection="false" borderId="3" fillId="0" fontId="0" numFmtId="166" xfId="0"/>
    <xf applyAlignment="false" applyBorder="true" applyFont="true" applyProtection="false" borderId="4" fillId="0" fontId="0" numFmtId="164" xfId="0"/>
    <xf applyAlignment="false" applyBorder="true" applyFont="false" applyProtection="false" borderId="5" fillId="0" fontId="0" numFmtId="164" xfId="0"/>
    <xf applyAlignment="true" applyBorder="true" applyFont="true" applyProtection="true" borderId="5" fillId="0" fontId="0" numFmtId="168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6" fillId="0" fontId="0" numFmtId="168" xfId="19">
      <alignment horizontal="general" indent="0" shrinkToFit="false" textRotation="0" vertical="bottom" wrapText="false"/>
      <protection hidden="false" locked="true"/>
    </xf>
    <xf applyAlignment="true" applyBorder="false" applyFont="false" applyProtection="false" borderId="0" fillId="0" fontId="0" numFmtId="164" xfId="0">
      <alignment horizontal="center" indent="0" shrinkToFit="false" textRotation="0" vertical="bottom" wrapText="false"/>
    </xf>
    <xf applyAlignment="false" applyBorder="false" applyFont="true" applyProtection="false" borderId="0" fillId="0" fontId="4" numFmtId="168" xfId="0"/>
    <xf applyAlignment="true" applyBorder="true" applyFont="true" applyProtection="false" borderId="0" fillId="0" fontId="0" numFmtId="164" xfId="0">
      <alignment horizontal="center" indent="0" shrinkToFit="false" textRotation="0" vertical="bottom" wrapText="false"/>
    </xf>
    <xf applyAlignment="true" applyBorder="true" applyFont="true" applyProtection="false" borderId="0" fillId="0" fontId="6" numFmtId="164" xfId="0">
      <alignment horizontal="center" indent="0" shrinkToFit="false" textRotation="0" vertical="bottom" wrapText="true"/>
    </xf>
    <xf applyAlignment="false" applyBorder="true" applyFont="false" applyProtection="false" borderId="0" fillId="0" fontId="0" numFmtId="164" xfId="0"/>
    <xf applyAlignment="false" applyBorder="true" applyFont="true" applyProtection="false" borderId="1" fillId="2" fontId="0" numFmtId="164" xfId="0"/>
    <xf applyAlignment="false" applyBorder="true" applyFont="false" applyProtection="false" borderId="2" fillId="2" fontId="0" numFmtId="164" xfId="0"/>
    <xf applyAlignment="false" applyBorder="true" applyFont="false" applyProtection="false" borderId="2" fillId="2" fontId="0" numFmtId="166" xfId="0"/>
    <xf applyAlignment="false" applyBorder="true" applyFont="false" applyProtection="false" borderId="3" fillId="2" fontId="0" numFmtId="166" xfId="0"/>
    <xf applyAlignment="false" applyBorder="true" applyFont="true" applyProtection="false" borderId="7" fillId="2" fontId="0" numFmtId="164" xfId="0"/>
    <xf applyAlignment="false" applyBorder="true" applyFont="false" applyProtection="false" borderId="0" fillId="2" fontId="0" numFmtId="164" xfId="0"/>
    <xf applyAlignment="true" applyBorder="true" applyFont="true" applyProtection="true" borderId="0" fillId="2" fontId="0" numFmtId="167" xfId="19">
      <alignment horizontal="general" indent="0" shrinkToFit="false" textRotation="0" vertical="bottom" wrapText="false"/>
      <protection hidden="false" locked="true"/>
    </xf>
    <xf applyAlignment="false" applyBorder="true" applyFont="false" applyProtection="false" borderId="8" fillId="2" fontId="0" numFmtId="166" xfId="0"/>
    <xf applyAlignment="false" applyBorder="true" applyFont="true" applyProtection="false" borderId="4" fillId="2" fontId="0" numFmtId="164" xfId="0"/>
    <xf applyAlignment="false" applyBorder="true" applyFont="false" applyProtection="false" borderId="5" fillId="2" fontId="0" numFmtId="164" xfId="0"/>
    <xf applyAlignment="true" applyBorder="true" applyFont="true" applyProtection="true" borderId="5" fillId="2" fontId="0" numFmtId="168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6" fillId="2" fontId="0" numFmtId="168" xfId="19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0" numFmtId="172" xfId="15">
      <alignment horizontal="general" indent="0" shrinkToFit="false" textRotation="0" vertical="bottom" wrapText="false"/>
      <protection hidden="false" locked="true"/>
    </xf>
    <xf applyAlignment="true" applyBorder="true" applyFont="true" applyProtection="true" borderId="0" fillId="0" fontId="0" numFmtId="166" xfId="17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4" numFmtId="170" xfId="0"/>
    <xf applyAlignment="false" applyBorder="false" applyFont="false" applyProtection="false" borderId="0" fillId="0" fontId="0" numFmtId="168" xfId="0"/>
    <xf applyAlignment="true" applyBorder="false" applyFont="true" applyProtection="false" borderId="0" fillId="0" fontId="6" numFmtId="168" xfId="0">
      <alignment horizontal="center" indent="0" shrinkToFit="false" textRotation="0" vertical="bottom" wrapText="false"/>
    </xf>
    <xf applyAlignment="true" applyBorder="true" applyFont="true" applyProtection="true" borderId="0" fillId="0" fontId="7" numFmtId="168" xfId="19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5" numFmtId="168" xfId="0"/>
    <xf applyAlignment="false" applyBorder="false" applyFont="true" applyProtection="false" borderId="0" fillId="0" fontId="10" numFmtId="168" xfId="0"/>
    <xf applyAlignment="true" applyBorder="false" applyFont="true" applyProtection="false" borderId="0" fillId="0" fontId="4" numFmtId="170" xfId="0">
      <alignment horizontal="center" indent="0" shrinkToFit="false" textRotation="0" vertical="bottom" wrapText="false"/>
    </xf>
    <xf applyAlignment="false" applyBorder="true" applyFont="false" applyProtection="false" borderId="5" fillId="0" fontId="0" numFmtId="168" xfId="0"/>
    <xf applyAlignment="true" applyBorder="true" applyFont="true" applyProtection="true" borderId="0" fillId="0" fontId="0" numFmtId="173" xfId="19">
      <alignment horizontal="general" indent="0" shrinkToFit="false" textRotation="0" vertical="bottom" wrapText="false"/>
      <protection hidden="false" locked="tru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DCE6F2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21"/>
  <sheetViews>
    <sheetView colorId="64" defaultGridColor="true" rightToLeft="false" showFormulas="false" showGridLines="true" showOutlineSymbols="true" showRowColHeaders="true" showZeros="true" tabSelected="false" topLeftCell="A1" view="normal" windowProtection="false" workbookViewId="0" zoomScale="100" zoomScaleNormal="100" zoomScalePageLayoutView="100">
      <selection activeCell="C17" activeCellId="0" pane="topLeft" sqref="C17"/>
    </sheetView>
  </sheetViews>
  <cols>
    <col collapsed="false" hidden="false" max="1" min="1" style="0" width="11.5725490196078"/>
    <col collapsed="false" hidden="false" max="3" min="2" style="0" width="8.63921568627451"/>
    <col collapsed="false" hidden="false" max="4" min="4" style="0" width="15.4745098039216"/>
    <col collapsed="false" hidden="false" max="8" min="5" style="0" width="8.63921568627451"/>
    <col collapsed="false" hidden="false" max="9" min="9" style="0" width="15.7607843137255"/>
    <col collapsed="false" hidden="false" max="10" min="10" style="0" width="16.0470588235294"/>
    <col collapsed="false" hidden="false" max="11" min="11" style="0" width="8.63921568627451"/>
    <col collapsed="false" hidden="false" max="12" min="12" style="0" width="9.83921568627451"/>
    <col collapsed="false" hidden="false" max="13" min="13" style="0" width="17.0666666666667"/>
    <col collapsed="false" hidden="false" max="14" min="14" style="0" width="19.0901960784314"/>
    <col collapsed="false" hidden="false" max="1025" min="15" style="0" width="8.63921568627451"/>
  </cols>
  <sheetData>
    <row collapsed="false" customFormat="true" customHeight="false" hidden="false" ht="68.65" outlineLevel="0" r="1" s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collapsed="false" customFormat="false" customHeight="false" hidden="false" ht="14" outlineLevel="0" r="2">
      <c r="A2" s="2" t="n">
        <v>0.625</v>
      </c>
      <c r="B2" s="0" t="n">
        <v>1104134</v>
      </c>
      <c r="C2" s="3" t="s">
        <v>18</v>
      </c>
      <c r="D2" s="4" t="n">
        <v>15000000</v>
      </c>
      <c r="E2" s="5" t="n">
        <v>0.1</v>
      </c>
      <c r="F2" s="5"/>
      <c r="G2" s="3"/>
      <c r="H2" s="3"/>
      <c r="I2" s="3"/>
      <c r="J2" s="3" t="s">
        <v>19</v>
      </c>
      <c r="K2" s="6"/>
      <c r="L2" s="3" t="s">
        <v>20</v>
      </c>
      <c r="M2" s="4" t="n">
        <v>187500</v>
      </c>
      <c r="N2" s="7" t="n">
        <v>40892.5370949074</v>
      </c>
      <c r="O2" s="0" t="n">
        <f aca="false">+IF(AND(C2="Specified",J2="Competitive"),1,0)</f>
        <v>0</v>
      </c>
      <c r="P2" s="0" t="n">
        <f aca="false">+IF(AND(C2="Specified",J2="Noncompetitive"),1,0)</f>
        <v>0</v>
      </c>
      <c r="Q2" s="0" t="n">
        <f aca="false">+IF(AND(C2="General",J2="Competitive"),1,0)</f>
        <v>0</v>
      </c>
      <c r="R2" s="0" t="n">
        <f aca="false">+IF(AND(C2="General",J2="Noncompetitive"),1,0)</f>
        <v>1</v>
      </c>
    </row>
    <row collapsed="false" customFormat="false" customHeight="false" hidden="false" ht="14" outlineLevel="0" r="3">
      <c r="A3" s="2" t="n">
        <v>0.625</v>
      </c>
      <c r="B3" s="0" t="n">
        <v>1104143</v>
      </c>
      <c r="C3" s="3" t="s">
        <v>21</v>
      </c>
      <c r="D3" s="4"/>
      <c r="E3" s="5"/>
      <c r="F3" s="5" t="n">
        <v>0.2</v>
      </c>
      <c r="G3" s="3" t="s">
        <v>22</v>
      </c>
      <c r="H3" s="3"/>
      <c r="I3" s="3" t="s">
        <v>23</v>
      </c>
      <c r="J3" s="3" t="s">
        <v>19</v>
      </c>
      <c r="K3" s="6"/>
      <c r="L3" s="3" t="s">
        <v>20</v>
      </c>
      <c r="M3" s="4" t="n">
        <v>500000</v>
      </c>
      <c r="N3" s="7" t="n">
        <v>40897.3636342593</v>
      </c>
      <c r="O3" s="0" t="n">
        <f aca="false">+IF(AND(C3="Specified",J3="Competitive"),1,0)</f>
        <v>0</v>
      </c>
      <c r="P3" s="0" t="n">
        <f aca="false">+IF(AND(C3="Specified",J3="Noncompetitive"),1,0)</f>
        <v>1</v>
      </c>
      <c r="Q3" s="0" t="n">
        <f aca="false">+IF(AND(C3="General",J3="Competitive"),1,0)</f>
        <v>0</v>
      </c>
      <c r="R3" s="0" t="n">
        <f aca="false">+IF(AND(C3="General",J3="Noncompetitive"),1,0)</f>
        <v>0</v>
      </c>
    </row>
    <row collapsed="false" customFormat="false" customHeight="false" hidden="false" ht="14" outlineLevel="0" r="4">
      <c r="A4" s="2" t="n">
        <v>0.625</v>
      </c>
      <c r="B4" s="0" t="n">
        <v>1104154</v>
      </c>
      <c r="C4" s="3" t="s">
        <v>18</v>
      </c>
      <c r="D4" s="4" t="n">
        <v>20000000</v>
      </c>
      <c r="E4" s="5" t="n">
        <v>0.2</v>
      </c>
      <c r="F4" s="5"/>
      <c r="G4" s="3"/>
      <c r="H4" s="3"/>
      <c r="I4" s="3"/>
      <c r="J4" s="3" t="s">
        <v>24</v>
      </c>
      <c r="K4" s="6" t="n">
        <v>0.03</v>
      </c>
      <c r="L4" s="3" t="s">
        <v>20</v>
      </c>
      <c r="M4" s="4" t="n">
        <v>185000</v>
      </c>
      <c r="N4" s="7" t="n">
        <v>40913.3866666667</v>
      </c>
      <c r="O4" s="0" t="n">
        <f aca="false">+IF(AND(C4="Specified",J4="Competitive"),1,0)</f>
        <v>0</v>
      </c>
      <c r="P4" s="0" t="n">
        <f aca="false">+IF(AND(C4="Specified",J4="Noncompetitive"),1,0)</f>
        <v>0</v>
      </c>
      <c r="Q4" s="0" t="n">
        <f aca="false">+IF(AND(C4="General",J4="Competitive"),1,0)</f>
        <v>1</v>
      </c>
      <c r="R4" s="0" t="n">
        <f aca="false">+IF(AND(C4="General",J4="Noncompetitive"),1,0)</f>
        <v>0</v>
      </c>
    </row>
    <row collapsed="false" customFormat="false" customHeight="false" hidden="false" ht="14" outlineLevel="0" r="5">
      <c r="A5" s="2" t="n">
        <v>0.625</v>
      </c>
      <c r="B5" s="0" t="n">
        <v>1104152</v>
      </c>
      <c r="C5" s="3" t="s">
        <v>21</v>
      </c>
      <c r="D5" s="4"/>
      <c r="E5" s="5"/>
      <c r="F5" s="5" t="n">
        <v>0.2</v>
      </c>
      <c r="G5" s="3" t="s">
        <v>22</v>
      </c>
      <c r="H5" s="3"/>
      <c r="I5" s="3" t="s">
        <v>25</v>
      </c>
      <c r="J5" s="3" t="s">
        <v>24</v>
      </c>
      <c r="K5" s="6" t="n">
        <v>0.03</v>
      </c>
      <c r="L5" s="3" t="s">
        <v>20</v>
      </c>
      <c r="M5" s="4" t="n">
        <v>1500000</v>
      </c>
      <c r="N5" s="7" t="n">
        <v>40913.3856712963</v>
      </c>
      <c r="O5" s="0" t="n">
        <f aca="false">+IF(AND(C5="Specified",J5="Competitive"),1,0)</f>
        <v>1</v>
      </c>
      <c r="P5" s="0" t="n">
        <f aca="false">+IF(AND(C5="Specified",J5="Noncompetitive"),1,0)</f>
        <v>0</v>
      </c>
      <c r="Q5" s="0" t="n">
        <f aca="false">+IF(AND(C5="General",J5="Competitive"),1,0)</f>
        <v>0</v>
      </c>
      <c r="R5" s="0" t="n">
        <f aca="false">+IF(AND(C5="General",J5="Noncompetitive"),1,0)</f>
        <v>0</v>
      </c>
    </row>
    <row collapsed="false" customFormat="false" customHeight="false" hidden="false" ht="14" outlineLevel="0" r="6">
      <c r="A6" s="2" t="n">
        <v>0.712638888888889</v>
      </c>
      <c r="B6" s="0" t="n">
        <v>1104136</v>
      </c>
      <c r="C6" s="3" t="s">
        <v>21</v>
      </c>
      <c r="D6" s="4"/>
      <c r="E6" s="5"/>
      <c r="F6" s="5" t="n">
        <v>0.2</v>
      </c>
      <c r="G6" s="3" t="s">
        <v>26</v>
      </c>
      <c r="H6" s="3" t="n">
        <v>4</v>
      </c>
      <c r="I6" s="3"/>
      <c r="J6" s="3" t="s">
        <v>24</v>
      </c>
      <c r="K6" s="6" t="n">
        <v>0.06</v>
      </c>
      <c r="L6" s="3" t="s">
        <v>27</v>
      </c>
      <c r="M6" s="4" t="n">
        <v>860000</v>
      </c>
      <c r="N6" s="7"/>
      <c r="O6" s="0" t="n">
        <f aca="false">+IF(AND(C6="Specified",J6="Competitive"),1,0)</f>
        <v>1</v>
      </c>
      <c r="P6" s="0" t="n">
        <f aca="false">+IF(AND(C6="Specified",J6="Noncompetitive"),1,0)</f>
        <v>0</v>
      </c>
      <c r="Q6" s="0" t="n">
        <f aca="false">+IF(AND(C6="General",J6="Competitive"),1,0)</f>
        <v>0</v>
      </c>
      <c r="R6" s="0" t="n">
        <f aca="false">+IF(AND(C6="General",J6="Noncompetitive"),1,0)</f>
        <v>0</v>
      </c>
    </row>
    <row collapsed="false" customFormat="false" customHeight="false" hidden="false" ht="14" outlineLevel="0" r="7">
      <c r="A7" s="2" t="n">
        <v>0.772638888888889</v>
      </c>
      <c r="B7" s="0" t="n">
        <v>1104138</v>
      </c>
      <c r="C7" s="3" t="s">
        <v>18</v>
      </c>
      <c r="D7" s="4" t="n">
        <v>1000000</v>
      </c>
      <c r="E7" s="5" t="n">
        <v>0.5</v>
      </c>
      <c r="F7" s="5"/>
      <c r="G7" s="3"/>
      <c r="H7" s="3"/>
      <c r="I7" s="3"/>
      <c r="J7" s="3" t="s">
        <v>24</v>
      </c>
      <c r="K7" s="6" t="n">
        <v>0.02125</v>
      </c>
      <c r="L7" s="3" t="s">
        <v>27</v>
      </c>
      <c r="M7" s="4" t="n">
        <v>300000</v>
      </c>
      <c r="N7" s="7"/>
      <c r="O7" s="0" t="n">
        <f aca="false">+IF(AND(C7="Specified",J7="Competitive"),1,0)</f>
        <v>0</v>
      </c>
      <c r="P7" s="0" t="n">
        <f aca="false">+IF(AND(C7="Specified",J7="Noncompetitive"),1,0)</f>
        <v>0</v>
      </c>
      <c r="Q7" s="0" t="n">
        <f aca="false">+IF(AND(C7="General",J7="Competitive"),1,0)</f>
        <v>1</v>
      </c>
      <c r="R7" s="0" t="n">
        <f aca="false">+IF(AND(C7="General",J7="Noncompetitive"),1,0)</f>
        <v>0</v>
      </c>
    </row>
    <row collapsed="false" customFormat="false" customHeight="false" hidden="false" ht="14" outlineLevel="0" r="8">
      <c r="A8" s="2" t="n">
        <v>0.802638888888889</v>
      </c>
      <c r="B8" s="0" t="n">
        <v>1104139</v>
      </c>
      <c r="C8" s="3" t="s">
        <v>18</v>
      </c>
      <c r="D8" s="4" t="n">
        <v>500000</v>
      </c>
      <c r="E8" s="5" t="n">
        <v>0.3</v>
      </c>
      <c r="F8" s="5"/>
      <c r="G8" s="3"/>
      <c r="H8" s="3"/>
      <c r="I8" s="3"/>
      <c r="J8" s="3" t="s">
        <v>24</v>
      </c>
      <c r="K8" s="6" t="n">
        <v>0.0225</v>
      </c>
      <c r="L8" s="3" t="s">
        <v>27</v>
      </c>
      <c r="M8" s="4" t="n">
        <v>250000</v>
      </c>
      <c r="N8" s="7"/>
      <c r="O8" s="0" t="n">
        <f aca="false">+IF(AND(C8="Specified",J8="Competitive"),1,0)</f>
        <v>0</v>
      </c>
      <c r="P8" s="0" t="n">
        <f aca="false">+IF(AND(C8="Specified",J8="Noncompetitive"),1,0)</f>
        <v>0</v>
      </c>
      <c r="Q8" s="0" t="n">
        <f aca="false">+IF(AND(C8="General",J8="Competitive"),1,0)</f>
        <v>1</v>
      </c>
      <c r="R8" s="0" t="n">
        <f aca="false">+IF(AND(C8="General",J8="Noncompetitive"),1,0)</f>
        <v>0</v>
      </c>
    </row>
    <row collapsed="false" customFormat="false" customHeight="false" hidden="false" ht="14" outlineLevel="0" r="9">
      <c r="A9" s="2" t="n">
        <v>0.832638888888889</v>
      </c>
      <c r="B9" s="0" t="n">
        <v>1104140</v>
      </c>
      <c r="C9" s="3" t="s">
        <v>21</v>
      </c>
      <c r="D9" s="4"/>
      <c r="E9" s="5"/>
      <c r="F9" s="5" t="n">
        <v>0.2</v>
      </c>
      <c r="G9" s="3" t="s">
        <v>26</v>
      </c>
      <c r="H9" s="3" t="n">
        <v>5</v>
      </c>
      <c r="I9" s="3"/>
      <c r="J9" s="3" t="s">
        <v>24</v>
      </c>
      <c r="K9" s="6" t="n">
        <v>0.025</v>
      </c>
      <c r="L9" s="3" t="s">
        <v>27</v>
      </c>
      <c r="M9" s="4" t="n">
        <v>74000</v>
      </c>
      <c r="N9" s="7"/>
      <c r="O9" s="0" t="n">
        <f aca="false">+IF(AND(C9="Specified",J9="Competitive"),1,0)</f>
        <v>1</v>
      </c>
      <c r="P9" s="0" t="n">
        <f aca="false">+IF(AND(C9="Specified",J9="Noncompetitive"),1,0)</f>
        <v>0</v>
      </c>
      <c r="Q9" s="0" t="n">
        <f aca="false">+IF(AND(C9="General",J9="Competitive"),1,0)</f>
        <v>0</v>
      </c>
      <c r="R9" s="0" t="n">
        <f aca="false">+IF(AND(C9="General",J9="Noncompetitive"),1,0)</f>
        <v>0</v>
      </c>
    </row>
    <row collapsed="false" customFormat="false" customHeight="false" hidden="false" ht="14" outlineLevel="0" r="10">
      <c r="A10" s="2" t="n">
        <v>0.862638888888889</v>
      </c>
      <c r="B10" s="0" t="n">
        <v>1104141</v>
      </c>
      <c r="C10" s="3" t="s">
        <v>18</v>
      </c>
      <c r="D10" s="4" t="n">
        <v>500000</v>
      </c>
      <c r="E10" s="5" t="n">
        <v>0.2</v>
      </c>
      <c r="F10" s="5"/>
      <c r="G10" s="3"/>
      <c r="H10" s="3"/>
      <c r="I10" s="3"/>
      <c r="J10" s="3" t="s">
        <v>24</v>
      </c>
      <c r="K10" s="6" t="n">
        <v>0.025</v>
      </c>
      <c r="L10" s="3" t="s">
        <v>27</v>
      </c>
      <c r="M10" s="4" t="n">
        <v>285000</v>
      </c>
      <c r="N10" s="7"/>
      <c r="O10" s="0" t="n">
        <f aca="false">+IF(AND(C10="Specified",J10="Competitive"),1,0)</f>
        <v>0</v>
      </c>
      <c r="P10" s="0" t="n">
        <f aca="false">+IF(AND(C10="Specified",J10="Noncompetitive"),1,0)</f>
        <v>0</v>
      </c>
      <c r="Q10" s="0" t="n">
        <f aca="false">+IF(AND(C10="General",J10="Competitive"),1,0)</f>
        <v>1</v>
      </c>
      <c r="R10" s="0" t="n">
        <f aca="false">+IF(AND(C10="General",J10="Noncompetitive"),1,0)</f>
        <v>0</v>
      </c>
    </row>
    <row collapsed="false" customFormat="false" customHeight="false" hidden="false" ht="14" outlineLevel="0" r="11">
      <c r="A11" s="2" t="n">
        <v>0.902638888888889</v>
      </c>
      <c r="B11" s="0" t="n">
        <v>1104159</v>
      </c>
      <c r="C11" s="3" t="s">
        <v>21</v>
      </c>
      <c r="D11" s="4"/>
      <c r="E11" s="5"/>
      <c r="F11" s="5" t="n">
        <v>0.2</v>
      </c>
      <c r="G11" s="3" t="s">
        <v>26</v>
      </c>
      <c r="H11" s="3" t="n">
        <v>1</v>
      </c>
      <c r="I11" s="3"/>
      <c r="J11" s="3" t="s">
        <v>19</v>
      </c>
      <c r="K11" s="6"/>
      <c r="L11" s="3" t="s">
        <v>27</v>
      </c>
      <c r="M11" s="4" t="n">
        <v>532000</v>
      </c>
      <c r="N11" s="7"/>
      <c r="O11" s="0" t="n">
        <f aca="false">+IF(AND(C11="Specified",J11="Competitive"),1,0)</f>
        <v>0</v>
      </c>
      <c r="P11" s="0" t="n">
        <f aca="false">+IF(AND(C11="Specified",J11="Noncompetitive"),1,0)</f>
        <v>1</v>
      </c>
      <c r="Q11" s="0" t="n">
        <f aca="false">+IF(AND(C11="General",J11="Competitive"),1,0)</f>
        <v>0</v>
      </c>
      <c r="R11" s="0" t="n">
        <f aca="false">+IF(AND(C11="General",J11="Noncompetitive"),1,0)</f>
        <v>0</v>
      </c>
    </row>
    <row collapsed="false" customFormat="false" customHeight="false" hidden="false" ht="14" outlineLevel="0" r="12">
      <c r="A12" s="2" t="n">
        <v>0.962638888888889</v>
      </c>
      <c r="B12" s="0" t="n">
        <v>1104161</v>
      </c>
      <c r="C12" s="3" t="s">
        <v>21</v>
      </c>
      <c r="D12" s="4"/>
      <c r="E12" s="5"/>
      <c r="F12" s="5" t="n">
        <v>0.2</v>
      </c>
      <c r="G12" s="3" t="s">
        <v>26</v>
      </c>
      <c r="H12" s="3" t="n">
        <v>4</v>
      </c>
      <c r="I12" s="3"/>
      <c r="J12" s="3" t="s">
        <v>19</v>
      </c>
      <c r="K12" s="6"/>
      <c r="L12" s="3" t="s">
        <v>27</v>
      </c>
      <c r="M12" s="4" t="n">
        <v>292000</v>
      </c>
      <c r="N12" s="7"/>
      <c r="O12" s="0" t="n">
        <f aca="false">+IF(AND(C12="Specified",J12="Competitive"),1,0)</f>
        <v>0</v>
      </c>
      <c r="P12" s="0" t="n">
        <f aca="false">+IF(AND(C12="Specified",J12="Noncompetitive"),1,0)</f>
        <v>1</v>
      </c>
      <c r="Q12" s="0" t="n">
        <f aca="false">+IF(AND(C12="General",J12="Competitive"),1,0)</f>
        <v>0</v>
      </c>
      <c r="R12" s="0" t="n">
        <f aca="false">+IF(AND(C12="General",J12="Noncompetitive"),1,0)</f>
        <v>0</v>
      </c>
    </row>
    <row collapsed="false" customFormat="false" customHeight="false" hidden="false" ht="14" outlineLevel="0" r="13">
      <c r="A13" s="2" t="n">
        <v>0.982638888888889</v>
      </c>
      <c r="B13" s="0" t="n">
        <v>1104145</v>
      </c>
      <c r="C13" s="3" t="s">
        <v>21</v>
      </c>
      <c r="D13" s="4"/>
      <c r="E13" s="5"/>
      <c r="F13" s="5" t="n">
        <v>0.1</v>
      </c>
      <c r="G13" s="3" t="s">
        <v>26</v>
      </c>
      <c r="H13" s="3" t="n">
        <v>1</v>
      </c>
      <c r="I13" s="3"/>
      <c r="J13" s="3" t="s">
        <v>24</v>
      </c>
      <c r="K13" s="6" t="n">
        <v>0.015</v>
      </c>
      <c r="L13" s="3" t="s">
        <v>27</v>
      </c>
      <c r="M13" s="4" t="n">
        <v>752000</v>
      </c>
      <c r="N13" s="7"/>
      <c r="O13" s="0" t="n">
        <f aca="false">+IF(AND(C13="Specified",J13="Competitive"),1,0)</f>
        <v>1</v>
      </c>
      <c r="P13" s="0" t="n">
        <f aca="false">+IF(AND(C13="Specified",J13="Noncompetitive"),1,0)</f>
        <v>0</v>
      </c>
      <c r="Q13" s="0" t="n">
        <f aca="false">+IF(AND(C13="General",J13="Competitive"),1,0)</f>
        <v>0</v>
      </c>
      <c r="R13" s="0" t="n">
        <f aca="false">+IF(AND(C13="General",J13="Noncompetitive"),1,0)</f>
        <v>0</v>
      </c>
    </row>
    <row collapsed="false" customFormat="false" customHeight="false" hidden="false" ht="14" outlineLevel="0" r="14">
      <c r="A14" s="2" t="n">
        <v>1.09930555555556</v>
      </c>
      <c r="B14" s="0" t="n">
        <v>1104133</v>
      </c>
      <c r="C14" s="3" t="s">
        <v>21</v>
      </c>
      <c r="D14" s="4"/>
      <c r="E14" s="5"/>
      <c r="F14" s="5" t="n">
        <v>0.2</v>
      </c>
      <c r="G14" s="3" t="s">
        <v>26</v>
      </c>
      <c r="H14" s="3" t="n">
        <v>4</v>
      </c>
      <c r="I14" s="3"/>
      <c r="J14" s="3" t="s">
        <v>24</v>
      </c>
      <c r="K14" s="6" t="n">
        <v>0.04</v>
      </c>
      <c r="L14" s="3" t="s">
        <v>27</v>
      </c>
      <c r="M14" s="4" t="n">
        <v>418000</v>
      </c>
      <c r="N14" s="7"/>
      <c r="O14" s="0" t="n">
        <f aca="false">+IF(AND(C14="Specified",J14="Competitive"),1,0)</f>
        <v>1</v>
      </c>
      <c r="P14" s="0" t="n">
        <f aca="false">+IF(AND(C14="Specified",J14="Noncompetitive"),1,0)</f>
        <v>0</v>
      </c>
      <c r="Q14" s="0" t="n">
        <f aca="false">+IF(AND(C14="General",J14="Competitive"),1,0)</f>
        <v>0</v>
      </c>
      <c r="R14" s="0" t="n">
        <f aca="false">+IF(AND(C14="General",J14="Noncompetitive"),1,0)</f>
        <v>0</v>
      </c>
    </row>
    <row collapsed="false" customFormat="false" customHeight="false" hidden="false" ht="14" outlineLevel="0" r="15">
      <c r="A15" s="2" t="n">
        <v>1.10263888888889</v>
      </c>
      <c r="B15" s="0" t="n">
        <v>1104149</v>
      </c>
      <c r="C15" s="3" t="s">
        <v>21</v>
      </c>
      <c r="D15" s="4"/>
      <c r="E15" s="5"/>
      <c r="F15" s="5" t="n">
        <v>0.2</v>
      </c>
      <c r="G15" s="3" t="s">
        <v>26</v>
      </c>
      <c r="H15" s="3" t="n">
        <v>5</v>
      </c>
      <c r="I15" s="3"/>
      <c r="J15" s="3" t="s">
        <v>19</v>
      </c>
      <c r="K15" s="6"/>
      <c r="L15" s="3" t="s">
        <v>27</v>
      </c>
      <c r="M15" s="4" t="n">
        <v>47000</v>
      </c>
      <c r="N15" s="7"/>
      <c r="O15" s="0" t="n">
        <f aca="false">+IF(AND(C15="Specified",J15="Competitive"),1,0)</f>
        <v>0</v>
      </c>
      <c r="P15" s="0" t="n">
        <f aca="false">+IF(AND(C15="Specified",J15="Noncompetitive"),1,0)</f>
        <v>1</v>
      </c>
      <c r="Q15" s="0" t="n">
        <f aca="false">+IF(AND(C15="General",J15="Competitive"),1,0)</f>
        <v>0</v>
      </c>
      <c r="R15" s="0" t="n">
        <f aca="false">+IF(AND(C15="General",J15="Noncompetitive"),1,0)</f>
        <v>0</v>
      </c>
    </row>
    <row collapsed="false" customFormat="false" customHeight="false" hidden="false" ht="14" outlineLevel="0" r="16">
      <c r="A16" s="2" t="n">
        <v>1.16263888888889</v>
      </c>
      <c r="B16" s="0" t="n">
        <v>1104151</v>
      </c>
      <c r="C16" s="3" t="s">
        <v>21</v>
      </c>
      <c r="D16" s="4"/>
      <c r="E16" s="5"/>
      <c r="F16" s="5" t="n">
        <v>0.2</v>
      </c>
      <c r="G16" s="3" t="s">
        <v>26</v>
      </c>
      <c r="H16" s="3" t="n">
        <v>1</v>
      </c>
      <c r="I16" s="3"/>
      <c r="J16" s="3" t="s">
        <v>19</v>
      </c>
      <c r="K16" s="6"/>
      <c r="L16" s="3" t="s">
        <v>27</v>
      </c>
      <c r="M16" s="4" t="n">
        <v>283000</v>
      </c>
      <c r="N16" s="7"/>
      <c r="O16" s="0" t="n">
        <f aca="false">+IF(AND(C16="Specified",J16="Competitive"),1,0)</f>
        <v>0</v>
      </c>
      <c r="P16" s="0" t="n">
        <f aca="false">+IF(AND(C16="Specified",J16="Noncompetitive"),1,0)</f>
        <v>1</v>
      </c>
      <c r="Q16" s="0" t="n">
        <f aca="false">+IF(AND(C16="General",J16="Competitive"),1,0)</f>
        <v>0</v>
      </c>
      <c r="R16" s="0" t="n">
        <f aca="false">+IF(AND(C16="General",J16="Noncompetitive"),1,0)</f>
        <v>0</v>
      </c>
    </row>
    <row collapsed="false" customFormat="false" customHeight="false" hidden="false" ht="14" outlineLevel="0" r="17">
      <c r="A17" s="2" t="n">
        <v>1.19263888888889</v>
      </c>
      <c r="B17" s="0" t="n">
        <v>1104131</v>
      </c>
      <c r="C17" s="3" t="s">
        <v>18</v>
      </c>
      <c r="D17" s="4" t="n">
        <v>1000000</v>
      </c>
      <c r="E17" s="5" t="n">
        <v>0.5</v>
      </c>
      <c r="F17" s="5"/>
      <c r="G17" s="3"/>
      <c r="H17" s="3"/>
      <c r="I17" s="3"/>
      <c r="J17" s="3" t="s">
        <v>19</v>
      </c>
      <c r="K17" s="6"/>
      <c r="L17" s="3" t="s">
        <v>27</v>
      </c>
      <c r="M17" s="4" t="n">
        <v>598000</v>
      </c>
      <c r="N17" s="7"/>
      <c r="O17" s="0" t="n">
        <f aca="false">+IF(AND(C17="Specified",J17="Competitive"),1,0)</f>
        <v>0</v>
      </c>
      <c r="P17" s="0" t="n">
        <f aca="false">+IF(AND(C17="Specified",J17="Noncompetitive"),1,0)</f>
        <v>0</v>
      </c>
      <c r="Q17" s="0" t="n">
        <f aca="false">+IF(AND(C17="General",J17="Competitive"),1,0)</f>
        <v>0</v>
      </c>
      <c r="R17" s="0" t="n">
        <f aca="false">+IF(AND(C17="General",J17="Noncompetitive"),1,0)</f>
        <v>1</v>
      </c>
    </row>
    <row collapsed="false" customFormat="false" customHeight="false" hidden="false" ht="14" outlineLevel="0" r="18">
      <c r="A18" s="2" t="n">
        <v>1.28263888888889</v>
      </c>
      <c r="B18" s="0" t="n">
        <v>1104155</v>
      </c>
      <c r="C18" s="3" t="s">
        <v>21</v>
      </c>
      <c r="D18" s="4"/>
      <c r="E18" s="5"/>
      <c r="F18" s="5" t="n">
        <v>0.2</v>
      </c>
      <c r="G18" s="3" t="s">
        <v>22</v>
      </c>
      <c r="H18" s="3"/>
      <c r="I18" s="3" t="s">
        <v>28</v>
      </c>
      <c r="J18" s="3" t="s">
        <v>24</v>
      </c>
      <c r="K18" s="6" t="n">
        <v>0.02125</v>
      </c>
      <c r="L18" s="3" t="s">
        <v>27</v>
      </c>
      <c r="M18" s="4" t="n">
        <v>639000</v>
      </c>
      <c r="N18" s="7"/>
      <c r="O18" s="0" t="n">
        <f aca="false">+IF(AND(C18="Specified",J18="Competitive"),1,0)</f>
        <v>1</v>
      </c>
      <c r="P18" s="0" t="n">
        <f aca="false">+IF(AND(C18="Specified",J18="Noncompetitive"),1,0)</f>
        <v>0</v>
      </c>
      <c r="Q18" s="0" t="n">
        <f aca="false">+IF(AND(C18="General",J18="Competitive"),1,0)</f>
        <v>0</v>
      </c>
      <c r="R18" s="0" t="n">
        <f aca="false">+IF(AND(C18="General",J18="Noncompetitive"),1,0)</f>
        <v>0</v>
      </c>
    </row>
    <row collapsed="false" customFormat="false" customHeight="false" hidden="false" ht="14" outlineLevel="0" r="19">
      <c r="A19" s="2" t="n">
        <v>1.31263888888889</v>
      </c>
      <c r="B19" s="0" t="n">
        <v>1104156</v>
      </c>
      <c r="C19" s="3" t="s">
        <v>21</v>
      </c>
      <c r="D19" s="4"/>
      <c r="E19" s="5"/>
      <c r="F19" s="5" t="n">
        <v>0.2</v>
      </c>
      <c r="G19" s="3" t="s">
        <v>26</v>
      </c>
      <c r="H19" s="3" t="n">
        <v>2</v>
      </c>
      <c r="I19" s="3"/>
      <c r="J19" s="3" t="s">
        <v>19</v>
      </c>
      <c r="K19" s="6"/>
      <c r="L19" s="3" t="s">
        <v>27</v>
      </c>
      <c r="M19" s="4" t="n">
        <v>274000</v>
      </c>
      <c r="N19" s="7"/>
      <c r="O19" s="0" t="n">
        <f aca="false">+IF(AND(C19="Specified",J19="Competitive"),1,0)</f>
        <v>0</v>
      </c>
      <c r="P19" s="0" t="n">
        <f aca="false">+IF(AND(C19="Specified",J19="Noncompetitive"),1,0)</f>
        <v>1</v>
      </c>
      <c r="Q19" s="0" t="n">
        <f aca="false">+IF(AND(C19="General",J19="Competitive"),1,0)</f>
        <v>0</v>
      </c>
      <c r="R19" s="0" t="n">
        <f aca="false">+IF(AND(C19="General",J19="Noncompetitive"),1,0)</f>
        <v>0</v>
      </c>
    </row>
    <row collapsed="false" customFormat="false" customHeight="false" hidden="false" ht="14" outlineLevel="0" r="20">
      <c r="A20" s="2" t="n">
        <v>1.34263888888889</v>
      </c>
      <c r="B20" s="0" t="n">
        <v>1104157</v>
      </c>
      <c r="C20" s="3" t="s">
        <v>18</v>
      </c>
      <c r="D20" s="4" t="n">
        <v>1000000</v>
      </c>
      <c r="E20" s="5" t="n">
        <v>0.3</v>
      </c>
      <c r="F20" s="5"/>
      <c r="G20" s="3"/>
      <c r="H20" s="3"/>
      <c r="I20" s="3"/>
      <c r="J20" s="3" t="s">
        <v>19</v>
      </c>
      <c r="K20" s="6"/>
      <c r="L20" s="3" t="s">
        <v>27</v>
      </c>
      <c r="M20" s="4" t="n">
        <v>629000</v>
      </c>
      <c r="N20" s="7"/>
      <c r="O20" s="0" t="n">
        <f aca="false">+IF(AND(C20="Specified",J20="Competitive"),1,0)</f>
        <v>0</v>
      </c>
      <c r="P20" s="0" t="n">
        <f aca="false">+IF(AND(C20="Specified",J20="Noncompetitive"),1,0)</f>
        <v>0</v>
      </c>
      <c r="Q20" s="0" t="n">
        <f aca="false">+IF(AND(C20="General",J20="Competitive"),1,0)</f>
        <v>0</v>
      </c>
      <c r="R20" s="0" t="n">
        <f aca="false">+IF(AND(C20="General",J20="Noncompetitive"),1,0)</f>
        <v>1</v>
      </c>
    </row>
    <row collapsed="false" customFormat="false" customHeight="false" hidden="false" ht="14" outlineLevel="0" r="21">
      <c r="A21" s="2" t="n">
        <v>1.37263888888889</v>
      </c>
      <c r="B21" s="0" t="n">
        <v>1104158</v>
      </c>
      <c r="C21" s="3" t="s">
        <v>21</v>
      </c>
      <c r="D21" s="4"/>
      <c r="E21" s="5"/>
      <c r="F21" s="5" t="n">
        <v>0.2</v>
      </c>
      <c r="G21" s="3" t="s">
        <v>26</v>
      </c>
      <c r="H21" s="3" t="n">
        <v>1</v>
      </c>
      <c r="I21" s="3"/>
      <c r="J21" s="3" t="s">
        <v>24</v>
      </c>
      <c r="K21" s="6" t="n">
        <v>0.0225</v>
      </c>
      <c r="L21" s="3" t="s">
        <v>27</v>
      </c>
      <c r="M21" s="4" t="n">
        <v>562000</v>
      </c>
      <c r="N21" s="7"/>
      <c r="O21" s="0" t="n">
        <f aca="false">+IF(AND(C21="Specified",J21="Competitive"),1,0)</f>
        <v>1</v>
      </c>
      <c r="P21" s="0" t="n">
        <f aca="false">+IF(AND(C21="Specified",J21="Noncompetitive"),1,0)</f>
        <v>0</v>
      </c>
      <c r="Q21" s="0" t="n">
        <f aca="false">+IF(AND(C21="General",J21="Competitive"),1,0)</f>
        <v>0</v>
      </c>
      <c r="R21" s="0" t="n">
        <f aca="false">+IF(AND(C21="General",J21="Noncompetitive"),1,0)</f>
        <v>0</v>
      </c>
    </row>
  </sheetData>
  <autoFilter ref="A1:N21"/>
  <dataValidations count="4">
    <dataValidation allowBlank="true" operator="equal" showDropDown="false" showErrorMessage="true" showInputMessage="true" sqref="C2:C21" type="list">
      <formula1>"General,Specified"</formula1>
      <formula2>0</formula2>
    </dataValidation>
    <dataValidation allowBlank="true" operator="equal" showDropDown="false" showErrorMessage="true" showInputMessage="true" sqref="G2:G21" type="list">
      <formula1>"Loan,MO"</formula1>
      <formula2>0</formula2>
    </dataValidation>
    <dataValidation allowBlank="true" operator="equal" showDropDown="false" showErrorMessage="true" showInputMessage="true" sqref="J2:J21" type="list">
      <formula1>"Competitive,Noncompetitive"</formula1>
      <formula2>0</formula2>
    </dataValidation>
    <dataValidation allowBlank="true" operator="equal" showDropDown="false" showErrorMessage="true" showInputMessage="true" sqref="L2:L21" type="list">
      <formula1>"Day Trade,Auto"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blackAndWhite="false" cellComments="none" copies="1" draft="false" firstPageNumber="0" fitToHeight="1" fitToWidth="1" horizontalDpi="300" orientation="portrait" pageOrder="downThenOver" paperSize="1" scale="100" useFirstPageNumber="false" usePrinterDefaults="false" verticalDpi="300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48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C232" activeCellId="0" pane="topLeft" sqref="C232"/>
    </sheetView>
  </sheetViews>
  <cols>
    <col collapsed="false" hidden="false" max="1" min="1" style="0" width="8.63921568627451"/>
    <col collapsed="false" hidden="false" max="2" min="2" style="0" width="13.0078431372549"/>
    <col collapsed="false" hidden="false" max="3" min="3" style="0" width="15.043137254902"/>
    <col collapsed="false" hidden="false" max="4" min="4" style="0" width="16.2"/>
    <col collapsed="false" hidden="false" max="5" min="5" style="0" width="17.2156862745098"/>
    <col collapsed="false" hidden="false" max="6" min="6" style="0" width="14.3137254901961"/>
    <col collapsed="false" hidden="false" max="7" min="7" style="0" width="13.7411764705882"/>
    <col collapsed="false" hidden="false" max="8" min="8" style="0" width="15.1803921568627"/>
    <col collapsed="false" hidden="false" max="9" min="9" style="0" width="14.4627450980392"/>
    <col collapsed="false" hidden="false" max="10" min="10" style="0" width="14.0274509803922"/>
    <col collapsed="false" hidden="false" max="11" min="11" style="0" width="13.5960784313726"/>
    <col collapsed="false" hidden="false" max="12" min="12" style="0" width="16.3333333333333"/>
    <col collapsed="false" hidden="false" max="13" min="13" style="0" width="14.4627450980392"/>
    <col collapsed="false" hidden="false" max="1025" min="14" style="0" width="8.63921568627451"/>
  </cols>
  <sheetData>
    <row collapsed="false" customFormat="false" customHeight="false" hidden="false" ht="14" outlineLevel="0" r="1">
      <c r="F1" s="0" t="s">
        <v>29</v>
      </c>
    </row>
    <row collapsed="false" customFormat="false" customHeight="false" hidden="false" ht="14" outlineLevel="0" r="2">
      <c r="E2" s="0" t="s">
        <v>30</v>
      </c>
      <c r="G2" s="0" t="n">
        <v>1</v>
      </c>
      <c r="H2" s="0" t="n">
        <v>2</v>
      </c>
      <c r="I2" s="0" t="n">
        <v>3</v>
      </c>
      <c r="J2" s="0" t="n">
        <v>4</v>
      </c>
      <c r="K2" s="0" t="n">
        <v>5</v>
      </c>
      <c r="L2" s="0" t="n">
        <v>6</v>
      </c>
      <c r="M2" s="0" t="s">
        <v>31</v>
      </c>
    </row>
    <row collapsed="false" customFormat="false" customHeight="false" hidden="false" ht="14" outlineLevel="0" r="3">
      <c r="D3" s="3"/>
      <c r="E3" s="0" t="s">
        <v>22</v>
      </c>
      <c r="G3" s="3" t="s">
        <v>23</v>
      </c>
      <c r="H3" s="3" t="s">
        <v>23</v>
      </c>
      <c r="I3" s="3" t="s">
        <v>25</v>
      </c>
      <c r="J3" s="3" t="s">
        <v>25</v>
      </c>
      <c r="K3" s="3" t="s">
        <v>28</v>
      </c>
      <c r="L3" s="3" t="s">
        <v>32</v>
      </c>
    </row>
    <row collapsed="false" customFormat="false" customHeight="false" hidden="false" ht="14" outlineLevel="0" r="4">
      <c r="D4" s="3"/>
      <c r="E4" s="0" t="s">
        <v>33</v>
      </c>
      <c r="G4" s="8" t="n">
        <v>318725</v>
      </c>
      <c r="H4" s="8" t="n">
        <v>375685</v>
      </c>
      <c r="I4" s="8" t="n">
        <v>479875</v>
      </c>
      <c r="J4" s="8" t="n">
        <v>525400</v>
      </c>
      <c r="K4" s="8" t="n">
        <v>515425</v>
      </c>
      <c r="L4" s="8" t="n">
        <v>485000</v>
      </c>
      <c r="M4" s="9" t="n">
        <f aca="false">SUM(G4:L4)</f>
        <v>2700110</v>
      </c>
    </row>
    <row collapsed="false" customFormat="false" customHeight="false" hidden="false" ht="14" outlineLevel="0" r="5">
      <c r="D5" s="3"/>
      <c r="G5" s="8"/>
      <c r="H5" s="8"/>
      <c r="I5" s="8"/>
      <c r="J5" s="8"/>
      <c r="K5" s="8"/>
      <c r="L5" s="8"/>
      <c r="M5" s="9"/>
    </row>
    <row collapsed="false" customFormat="false" customHeight="false" hidden="false" ht="14" outlineLevel="0" r="6">
      <c r="A6" s="0" t="s">
        <v>34</v>
      </c>
      <c r="D6" s="3"/>
      <c r="E6" s="8"/>
      <c r="J6" s="9"/>
    </row>
    <row collapsed="false" customFormat="false" customHeight="false" hidden="true" ht="28.35" outlineLevel="1" r="7">
      <c r="B7" s="10" t="s">
        <v>35</v>
      </c>
      <c r="C7" s="10" t="s">
        <v>36</v>
      </c>
      <c r="D7" s="10" t="s">
        <v>22</v>
      </c>
      <c r="E7" s="11" t="s">
        <v>37</v>
      </c>
      <c r="F7" s="10" t="s">
        <v>38</v>
      </c>
      <c r="K7" s="9"/>
    </row>
    <row collapsed="false" customFormat="false" customHeight="false" hidden="true" ht="14" outlineLevel="1" r="8">
      <c r="B8" s="0" t="n">
        <f aca="false">+'bid input'!B2</f>
        <v>1104134</v>
      </c>
      <c r="C8" s="12" t="n">
        <f aca="false">+'bid input'!H2</f>
        <v>0</v>
      </c>
      <c r="D8" s="0" t="n">
        <f aca="false">+'bid input'!I2</f>
        <v>0</v>
      </c>
      <c r="E8" s="13" t="str">
        <f aca="false">+IF('bid input'!O2=1,"Y","N")</f>
        <v>N</v>
      </c>
      <c r="F8" s="14" t="inlineStr">
        <f aca="false">+'bid input'!K2</f>
        <is>
          <t/>
        </is>
      </c>
      <c r="G8" s="15" t="n">
        <f aca="false">+IF(AND(IsSC="Y",LoanN_SC=LoanNumber,LoanN_SC&gt;0),S_Percent,IF(AND(IsSC="Y",S_MO=MO,LoanN_SC=0),S_Percent,0))*LoanAmount</f>
        <v>0</v>
      </c>
      <c r="H8" s="15" t="n">
        <f aca="false">+IF(AND(IsSC="Y",LoanN_SC=LoanNumber,LoanN_SC&gt;0),S_Percent,IF(AND(IsSC="Y",S_MO=MO,LoanN_SC=0),S_Percent,0))*LoanAmount</f>
        <v>0</v>
      </c>
      <c r="I8" s="15" t="n">
        <f aca="false">+IF(AND(IsSC="Y",LoanN_SC=LoanNumber,LoanN_SC&gt;0),S_Percent,IF(AND(IsSC="Y",S_MO=MO,LoanN_SC=0),S_Percent,0))*LoanAmount</f>
        <v>0</v>
      </c>
      <c r="J8" s="15" t="n">
        <f aca="false">+IF(AND(IsSC="Y",LoanN_SC=LoanNumber,LoanN_SC&gt;0),S_Percent,IF(AND(IsSC="Y",S_MO=MO,LoanN_SC=0),S_Percent,0))*LoanAmount</f>
        <v>0</v>
      </c>
      <c r="K8" s="15" t="n">
        <f aca="false">+IF(AND(IsSC="Y",LoanN_SC=LoanNumber,LoanN_SC&gt;0),S_Percent,IF(AND(IsSC="Y",S_MO=MO,LoanN_SC=0),S_Percent,0))*LoanAmount</f>
        <v>0</v>
      </c>
      <c r="L8" s="15" t="n">
        <f aca="false">+IF(AND(IsSC="Y",LoanN_SC=LoanNumber,LoanN_SC&gt;0),S_Percent,IF(AND(IsSC="Y",S_MO=MO,LoanN_SC=0),S_Percent,0))*LoanAmount</f>
        <v>0</v>
      </c>
      <c r="M8" s="9" t="n">
        <f aca="false">SUM(G8:L8)</f>
        <v>0</v>
      </c>
      <c r="N8" s="16" t="inlineStr">
        <f aca="false">'bid input'!F2</f>
        <is>
          <t/>
        </is>
      </c>
    </row>
    <row collapsed="false" customFormat="false" customHeight="false" hidden="true" ht="14" outlineLevel="1" r="9">
      <c r="B9" s="0" t="n">
        <f aca="false">+'bid input'!B3</f>
        <v>1104143</v>
      </c>
      <c r="C9" s="12" t="n">
        <f aca="false">+'bid input'!H3</f>
        <v>0</v>
      </c>
      <c r="D9" s="0" t="str">
        <f aca="false">+'bid input'!I3</f>
        <v>ABC Mortgage</v>
      </c>
      <c r="E9" s="13" t="str">
        <f aca="false">+IF('bid input'!O3=1,"Y","N")</f>
        <v>N</v>
      </c>
      <c r="F9" s="14" t="inlineStr">
        <f aca="false">+'bid input'!K3</f>
        <is>
          <t/>
        </is>
      </c>
      <c r="G9" s="15" t="n">
        <f aca="false">+IF(AND(IsSC="Y",LoanN_SC=LoanNumber,LoanN_SC&gt;0),S_Percent,IF(AND(IsSC="Y",S_MO=MO,LoanN_SC=0),S_Percent,0))*LoanAmount</f>
        <v>0</v>
      </c>
      <c r="H9" s="15" t="n">
        <f aca="false">+IF(AND(IsSC="Y",LoanN_SC=LoanNumber,LoanN_SC&gt;0),S_Percent,IF(AND(IsSC="Y",S_MO=MO,LoanN_SC=0),S_Percent,0))*LoanAmount</f>
        <v>0</v>
      </c>
      <c r="I9" s="15" t="n">
        <f aca="false">+IF(AND(IsSC="Y",LoanN_SC=LoanNumber,LoanN_SC&gt;0),S_Percent,IF(AND(IsSC="Y",S_MO=MO,LoanN_SC=0),S_Percent,0))*LoanAmount</f>
        <v>0</v>
      </c>
      <c r="J9" s="15" t="n">
        <f aca="false">+IF(AND(IsSC="Y",LoanN_SC=LoanNumber,LoanN_SC&gt;0),S_Percent,IF(AND(IsSC="Y",S_MO=MO,LoanN_SC=0),S_Percent,0))*LoanAmount</f>
        <v>0</v>
      </c>
      <c r="K9" s="15" t="n">
        <f aca="false">+IF(AND(IsSC="Y",LoanN_SC=LoanNumber,LoanN_SC&gt;0),S_Percent,IF(AND(IsSC="Y",S_MO=MO,LoanN_SC=0),S_Percent,0))*LoanAmount</f>
        <v>0</v>
      </c>
      <c r="L9" s="15" t="n">
        <f aca="false">+IF(AND(IsSC="Y",LoanN_SC=LoanNumber,LoanN_SC&gt;0),S_Percent,IF(AND(IsSC="Y",S_MO=MO,LoanN_SC=0),S_Percent,0))*LoanAmount</f>
        <v>0</v>
      </c>
      <c r="M9" s="9" t="n">
        <f aca="false">SUM(G9:L9)</f>
        <v>0</v>
      </c>
      <c r="N9" s="16" t="inlineStr">
        <f aca="false">'bid input'!F3</f>
        <is>
          <t/>
        </is>
      </c>
    </row>
    <row collapsed="false" customFormat="false" customHeight="false" hidden="true" ht="14" outlineLevel="1" r="10">
      <c r="B10" s="0" t="n">
        <f aca="false">+'bid input'!B4</f>
        <v>1104154</v>
      </c>
      <c r="C10" s="12" t="n">
        <f aca="false">+'bid input'!H4</f>
        <v>0</v>
      </c>
      <c r="D10" s="0" t="n">
        <f aca="false">+'bid input'!I4</f>
        <v>0</v>
      </c>
      <c r="E10" s="13" t="str">
        <f aca="false">+IF('bid input'!O4=1,"Y","N")</f>
        <v>N</v>
      </c>
      <c r="F10" s="14" t="inlineStr">
        <f aca="false">+'bid input'!K4</f>
        <is>
          <t/>
        </is>
      </c>
      <c r="G10" s="15" t="n">
        <f aca="false">+IF(AND(IsSC="Y",LoanN_SC=LoanNumber,LoanN_SC&gt;0),S_Percent,IF(AND(IsSC="Y",S_MO=MO,LoanN_SC=0),S_Percent,0))*LoanAmount</f>
        <v>0</v>
      </c>
      <c r="H10" s="15" t="n">
        <f aca="false">+IF(AND(IsSC="Y",LoanN_SC=LoanNumber,LoanN_SC&gt;0),S_Percent,IF(AND(IsSC="Y",S_MO=MO,LoanN_SC=0),S_Percent,0))*LoanAmount</f>
        <v>0</v>
      </c>
      <c r="I10" s="15" t="n">
        <f aca="false">+IF(AND(IsSC="Y",LoanN_SC=LoanNumber,LoanN_SC&gt;0),S_Percent,IF(AND(IsSC="Y",S_MO=MO,LoanN_SC=0),S_Percent,0))*LoanAmount</f>
        <v>0</v>
      </c>
      <c r="J10" s="15" t="n">
        <f aca="false">+IF(AND(IsSC="Y",LoanN_SC=LoanNumber,LoanN_SC&gt;0),S_Percent,IF(AND(IsSC="Y",S_MO=MO,LoanN_SC=0),S_Percent,0))*LoanAmount</f>
        <v>0</v>
      </c>
      <c r="K10" s="15" t="n">
        <f aca="false">+IF(AND(IsSC="Y",LoanN_SC=LoanNumber,LoanN_SC&gt;0),S_Percent,IF(AND(IsSC="Y",S_MO=MO,LoanN_SC=0),S_Percent,0))*LoanAmount</f>
        <v>0</v>
      </c>
      <c r="L10" s="15" t="n">
        <f aca="false">+IF(AND(IsSC="Y",LoanN_SC=LoanNumber,LoanN_SC&gt;0),S_Percent,IF(AND(IsSC="Y",S_MO=MO,LoanN_SC=0),S_Percent,0))*LoanAmount</f>
        <v>0</v>
      </c>
      <c r="M10" s="9" t="n">
        <f aca="false">SUM(G10:L10)</f>
        <v>0</v>
      </c>
      <c r="N10" s="16" t="inlineStr">
        <f aca="false">'bid input'!F4</f>
        <is>
          <t/>
        </is>
      </c>
    </row>
    <row collapsed="false" customFormat="false" customHeight="false" hidden="true" ht="14" outlineLevel="1" r="11">
      <c r="B11" s="0" t="n">
        <f aca="false">+'bid input'!B5</f>
        <v>1104152</v>
      </c>
      <c r="C11" s="12" t="n">
        <f aca="false">+'bid input'!H5</f>
        <v>0</v>
      </c>
      <c r="D11" s="0" t="str">
        <f aca="false">+'bid input'!I5</f>
        <v>Prime Lending</v>
      </c>
      <c r="E11" s="13" t="str">
        <f aca="false">+IF('bid input'!O5=1,"Y","N")</f>
        <v>Y</v>
      </c>
      <c r="F11" s="14" t="inlineStr">
        <f aca="false">+'bid input'!K5</f>
        <is>
          <t/>
        </is>
      </c>
      <c r="G11" s="15" t="n">
        <f aca="false">+IF(AND(IsSC="Y",LoanN_SC=LoanNumber,LoanN_SC&gt;0),S_Percent,IF(AND(IsSC="Y",S_MO=MO,LoanN_SC=0),S_Percent,0))*LoanAmount</f>
        <v>0</v>
      </c>
      <c r="H11" s="15" t="n">
        <f aca="false">+IF(AND(IsSC="Y",LoanN_SC=LoanNumber,LoanN_SC&gt;0),S_Percent,IF(AND(IsSC="Y",S_MO=MO,LoanN_SC=0),S_Percent,0))*LoanAmount</f>
        <v>0</v>
      </c>
      <c r="I11" s="15" t="n">
        <f aca="false">+IF(AND(IsSC="Y",LoanN_SC=LoanNumber,LoanN_SC&gt;0),S_Percent,IF(AND(IsSC="Y",S_MO=MO,LoanN_SC=0),S_Percent,0))*LoanAmount</f>
        <v>95975</v>
      </c>
      <c r="J11" s="15" t="n">
        <f aca="false">+IF(AND(IsSC="Y",LoanN_SC=LoanNumber,LoanN_SC&gt;0),S_Percent,IF(AND(IsSC="Y",S_MO=MO,LoanN_SC=0),S_Percent,0))*LoanAmount</f>
        <v>105080</v>
      </c>
      <c r="K11" s="15" t="n">
        <f aca="false">+IF(AND(IsSC="Y",LoanN_SC=LoanNumber,LoanN_SC&gt;0),S_Percent,IF(AND(IsSC="Y",S_MO=MO,LoanN_SC=0),S_Percent,0))*LoanAmount</f>
        <v>0</v>
      </c>
      <c r="L11" s="15" t="n">
        <f aca="false">+IF(AND(IsSC="Y",LoanN_SC=LoanNumber,LoanN_SC&gt;0),S_Percent,IF(AND(IsSC="Y",S_MO=MO,LoanN_SC=0),S_Percent,0))*LoanAmount</f>
        <v>0</v>
      </c>
      <c r="M11" s="9" t="n">
        <f aca="false">SUM(G11:L11)</f>
        <v>201055</v>
      </c>
      <c r="N11" s="16" t="inlineStr">
        <f aca="false">'bid input'!F5</f>
        <is>
          <t/>
        </is>
      </c>
    </row>
    <row collapsed="false" customFormat="false" customHeight="false" hidden="true" ht="14" outlineLevel="1" r="12">
      <c r="B12" s="0" t="n">
        <f aca="false">+'bid input'!B6</f>
        <v>1104136</v>
      </c>
      <c r="C12" s="12" t="n">
        <f aca="false">+'bid input'!H6</f>
        <v>4</v>
      </c>
      <c r="D12" s="0" t="n">
        <f aca="false">+'bid input'!I6</f>
        <v>0</v>
      </c>
      <c r="E12" s="13" t="str">
        <f aca="false">+IF('bid input'!O6=1,"Y","N")</f>
        <v>Y</v>
      </c>
      <c r="F12" s="14" t="inlineStr">
        <f aca="false">+'bid input'!K6</f>
        <is>
          <t/>
        </is>
      </c>
      <c r="G12" s="15" t="n">
        <f aca="false">+IF(AND(IsSC="Y",LoanN_SC=LoanNumber,LoanN_SC&gt;0),S_Percent,IF(AND(IsSC="Y",S_MO=MO,LoanN_SC=0),S_Percent,0))*LoanAmount</f>
        <v>0</v>
      </c>
      <c r="H12" s="15" t="n">
        <f aca="false">+IF(AND(IsSC="Y",LoanN_SC=LoanNumber,LoanN_SC&gt;0),S_Percent,IF(AND(IsSC="Y",S_MO=MO,LoanN_SC=0),S_Percent,0))*LoanAmount</f>
        <v>0</v>
      </c>
      <c r="I12" s="15" t="n">
        <f aca="false">+IF(AND(IsSC="Y",LoanN_SC=LoanNumber,LoanN_SC&gt;0),S_Percent,IF(AND(IsSC="Y",S_MO=MO,LoanN_SC=0),S_Percent,0))*LoanAmount</f>
        <v>0</v>
      </c>
      <c r="J12" s="15" t="n">
        <f aca="false">+IF(AND(IsSC="Y",LoanN_SC=LoanNumber,LoanN_SC&gt;0),S_Percent,IF(AND(IsSC="Y",S_MO=MO,LoanN_SC=0),S_Percent,0))*LoanAmount</f>
        <v>105080</v>
      </c>
      <c r="K12" s="15" t="n">
        <f aca="false">+IF(AND(IsSC="Y",LoanN_SC=LoanNumber,LoanN_SC&gt;0),S_Percent,IF(AND(IsSC="Y",S_MO=MO,LoanN_SC=0),S_Percent,0))*LoanAmount</f>
        <v>0</v>
      </c>
      <c r="L12" s="15" t="n">
        <f aca="false">+IF(AND(IsSC="Y",LoanN_SC=LoanNumber,LoanN_SC&gt;0),S_Percent,IF(AND(IsSC="Y",S_MO=MO,LoanN_SC=0),S_Percent,0))*LoanAmount</f>
        <v>0</v>
      </c>
      <c r="M12" s="9" t="n">
        <f aca="false">SUM(G12:L12)</f>
        <v>105080</v>
      </c>
      <c r="N12" s="16" t="inlineStr">
        <f aca="false">'bid input'!F6</f>
        <is>
          <t/>
        </is>
      </c>
    </row>
    <row collapsed="false" customFormat="false" customHeight="false" hidden="true" ht="14" outlineLevel="1" r="13">
      <c r="B13" s="0" t="n">
        <f aca="false">+'bid input'!B7</f>
        <v>1104138</v>
      </c>
      <c r="C13" s="12" t="n">
        <f aca="false">+'bid input'!H7</f>
        <v>0</v>
      </c>
      <c r="D13" s="0" t="n">
        <f aca="false">+'bid input'!I7</f>
        <v>0</v>
      </c>
      <c r="E13" s="13" t="str">
        <f aca="false">+IF('bid input'!O7=1,"Y","N")</f>
        <v>N</v>
      </c>
      <c r="F13" s="14" t="inlineStr">
        <f aca="false">+'bid input'!K7</f>
        <is>
          <t/>
        </is>
      </c>
      <c r="G13" s="15" t="n">
        <f aca="false">+IF(AND(IsSC="Y",LoanN_SC=LoanNumber,LoanN_SC&gt;0),S_Percent,IF(AND(IsSC="Y",S_MO=MO,LoanN_SC=0),S_Percent,0))*LoanAmount</f>
        <v>0</v>
      </c>
      <c r="H13" s="15" t="n">
        <f aca="false">+IF(AND(IsSC="Y",LoanN_SC=LoanNumber,LoanN_SC&gt;0),S_Percent,IF(AND(IsSC="Y",S_MO=MO,LoanN_SC=0),S_Percent,0))*LoanAmount</f>
        <v>0</v>
      </c>
      <c r="I13" s="15" t="n">
        <f aca="false">+IF(AND(IsSC="Y",LoanN_SC=LoanNumber,LoanN_SC&gt;0),S_Percent,IF(AND(IsSC="Y",S_MO=MO,LoanN_SC=0),S_Percent,0))*LoanAmount</f>
        <v>0</v>
      </c>
      <c r="J13" s="15" t="n">
        <f aca="false">+IF(AND(IsSC="Y",LoanN_SC=LoanNumber,LoanN_SC&gt;0),S_Percent,IF(AND(IsSC="Y",S_MO=MO,LoanN_SC=0),S_Percent,0))*LoanAmount</f>
        <v>0</v>
      </c>
      <c r="K13" s="15" t="n">
        <f aca="false">+IF(AND(IsSC="Y",LoanN_SC=LoanNumber,LoanN_SC&gt;0),S_Percent,IF(AND(IsSC="Y",S_MO=MO,LoanN_SC=0),S_Percent,0))*LoanAmount</f>
        <v>0</v>
      </c>
      <c r="L13" s="15" t="n">
        <f aca="false">+IF(AND(IsSC="Y",LoanN_SC=LoanNumber,LoanN_SC&gt;0),S_Percent,IF(AND(IsSC="Y",S_MO=MO,LoanN_SC=0),S_Percent,0))*LoanAmount</f>
        <v>0</v>
      </c>
      <c r="M13" s="9" t="n">
        <f aca="false">SUM(G13:L13)</f>
        <v>0</v>
      </c>
      <c r="N13" s="16" t="inlineStr">
        <f aca="false">'bid input'!F7</f>
        <is>
          <t/>
        </is>
      </c>
    </row>
    <row collapsed="false" customFormat="false" customHeight="false" hidden="true" ht="14" outlineLevel="1" r="14">
      <c r="B14" s="0" t="n">
        <f aca="false">+'bid input'!B8</f>
        <v>1104139</v>
      </c>
      <c r="C14" s="12" t="n">
        <f aca="false">+'bid input'!H8</f>
        <v>0</v>
      </c>
      <c r="D14" s="0" t="n">
        <f aca="false">+'bid input'!I8</f>
        <v>0</v>
      </c>
      <c r="E14" s="13" t="str">
        <f aca="false">+IF('bid input'!O8=1,"Y","N")</f>
        <v>N</v>
      </c>
      <c r="F14" s="14" t="inlineStr">
        <f aca="false">+'bid input'!K8</f>
        <is>
          <t/>
        </is>
      </c>
      <c r="G14" s="15" t="n">
        <f aca="false">+IF(AND(IsSC="Y",LoanN_SC=LoanNumber,LoanN_SC&gt;0),S_Percent,IF(AND(IsSC="Y",S_MO=MO,LoanN_SC=0),S_Percent,0))*LoanAmount</f>
        <v>0</v>
      </c>
      <c r="H14" s="15" t="n">
        <f aca="false">+IF(AND(IsSC="Y",LoanN_SC=LoanNumber,LoanN_SC&gt;0),S_Percent,IF(AND(IsSC="Y",S_MO=MO,LoanN_SC=0),S_Percent,0))*LoanAmount</f>
        <v>0</v>
      </c>
      <c r="I14" s="15" t="n">
        <f aca="false">+IF(AND(IsSC="Y",LoanN_SC=LoanNumber,LoanN_SC&gt;0),S_Percent,IF(AND(IsSC="Y",S_MO=MO,LoanN_SC=0),S_Percent,0))*LoanAmount</f>
        <v>0</v>
      </c>
      <c r="J14" s="15" t="n">
        <f aca="false">+IF(AND(IsSC="Y",LoanN_SC=LoanNumber,LoanN_SC&gt;0),S_Percent,IF(AND(IsSC="Y",S_MO=MO,LoanN_SC=0),S_Percent,0))*LoanAmount</f>
        <v>0</v>
      </c>
      <c r="K14" s="15" t="n">
        <f aca="false">+IF(AND(IsSC="Y",LoanN_SC=LoanNumber,LoanN_SC&gt;0),S_Percent,IF(AND(IsSC="Y",S_MO=MO,LoanN_SC=0),S_Percent,0))*LoanAmount</f>
        <v>0</v>
      </c>
      <c r="L14" s="15" t="n">
        <f aca="false">+IF(AND(IsSC="Y",LoanN_SC=LoanNumber,LoanN_SC&gt;0),S_Percent,IF(AND(IsSC="Y",S_MO=MO,LoanN_SC=0),S_Percent,0))*LoanAmount</f>
        <v>0</v>
      </c>
      <c r="M14" s="9" t="n">
        <f aca="false">SUM(G14:L14)</f>
        <v>0</v>
      </c>
      <c r="N14" s="16" t="inlineStr">
        <f aca="false">'bid input'!F8</f>
        <is>
          <t/>
        </is>
      </c>
    </row>
    <row collapsed="false" customFormat="false" customHeight="false" hidden="true" ht="14" outlineLevel="1" r="15">
      <c r="B15" s="0" t="n">
        <f aca="false">+'bid input'!B9</f>
        <v>1104140</v>
      </c>
      <c r="C15" s="12" t="n">
        <f aca="false">+'bid input'!H9</f>
        <v>5</v>
      </c>
      <c r="D15" s="0" t="n">
        <f aca="false">+'bid input'!I9</f>
        <v>0</v>
      </c>
      <c r="E15" s="13" t="str">
        <f aca="false">+IF('bid input'!O9=1,"Y","N")</f>
        <v>Y</v>
      </c>
      <c r="F15" s="14" t="inlineStr">
        <f aca="false">+'bid input'!K9</f>
        <is>
          <t/>
        </is>
      </c>
      <c r="G15" s="15" t="n">
        <f aca="false">+IF(AND(IsSC="Y",LoanN_SC=LoanNumber,LoanN_SC&gt;0),S_Percent,IF(AND(IsSC="Y",S_MO=MO,LoanN_SC=0),S_Percent,0))*LoanAmount</f>
        <v>0</v>
      </c>
      <c r="H15" s="15" t="n">
        <f aca="false">+IF(AND(IsSC="Y",LoanN_SC=LoanNumber,LoanN_SC&gt;0),S_Percent,IF(AND(IsSC="Y",S_MO=MO,LoanN_SC=0),S_Percent,0))*LoanAmount</f>
        <v>0</v>
      </c>
      <c r="I15" s="15" t="n">
        <f aca="false">+IF(AND(IsSC="Y",LoanN_SC=LoanNumber,LoanN_SC&gt;0),S_Percent,IF(AND(IsSC="Y",S_MO=MO,LoanN_SC=0),S_Percent,0))*LoanAmount</f>
        <v>0</v>
      </c>
      <c r="J15" s="15" t="n">
        <f aca="false">+IF(AND(IsSC="Y",LoanN_SC=LoanNumber,LoanN_SC&gt;0),S_Percent,IF(AND(IsSC="Y",S_MO=MO,LoanN_SC=0),S_Percent,0))*LoanAmount</f>
        <v>0</v>
      </c>
      <c r="K15" s="15" t="n">
        <f aca="false">+IF(AND(IsSC="Y",LoanN_SC=LoanNumber,LoanN_SC&gt;0),S_Percent,IF(AND(IsSC="Y",S_MO=MO,LoanN_SC=0),S_Percent,0))*LoanAmount</f>
        <v>103085</v>
      </c>
      <c r="L15" s="15" t="n">
        <f aca="false">+IF(AND(IsSC="Y",LoanN_SC=LoanNumber,LoanN_SC&gt;0),S_Percent,IF(AND(IsSC="Y",S_MO=MO,LoanN_SC=0),S_Percent,0))*LoanAmount</f>
        <v>0</v>
      </c>
      <c r="M15" s="9" t="n">
        <f aca="false">SUM(G15:L15)</f>
        <v>103085</v>
      </c>
      <c r="N15" s="16" t="inlineStr">
        <f aca="false">'bid input'!F9</f>
        <is>
          <t/>
        </is>
      </c>
    </row>
    <row collapsed="false" customFormat="false" customHeight="false" hidden="true" ht="14" outlineLevel="1" r="16">
      <c r="B16" s="0" t="n">
        <f aca="false">+'bid input'!B10</f>
        <v>1104141</v>
      </c>
      <c r="C16" s="12" t="n">
        <f aca="false">+'bid input'!H10</f>
        <v>0</v>
      </c>
      <c r="D16" s="0" t="n">
        <f aca="false">+'bid input'!I10</f>
        <v>0</v>
      </c>
      <c r="E16" s="13" t="str">
        <f aca="false">+IF('bid input'!O10=1,"Y","N")</f>
        <v>N</v>
      </c>
      <c r="F16" s="14" t="inlineStr">
        <f aca="false">+'bid input'!K10</f>
        <is>
          <t/>
        </is>
      </c>
      <c r="G16" s="15" t="n">
        <f aca="false">+IF(AND(IsSC="Y",LoanN_SC=LoanNumber,LoanN_SC&gt;0),S_Percent,IF(AND(IsSC="Y",S_MO=MO,LoanN_SC=0),S_Percent,0))*LoanAmount</f>
        <v>0</v>
      </c>
      <c r="H16" s="15" t="n">
        <f aca="false">+IF(AND(IsSC="Y",LoanN_SC=LoanNumber,LoanN_SC&gt;0),S_Percent,IF(AND(IsSC="Y",S_MO=MO,LoanN_SC=0),S_Percent,0))*LoanAmount</f>
        <v>0</v>
      </c>
      <c r="I16" s="15" t="n">
        <f aca="false">+IF(AND(IsSC="Y",LoanN_SC=LoanNumber,LoanN_SC&gt;0),S_Percent,IF(AND(IsSC="Y",S_MO=MO,LoanN_SC=0),S_Percent,0))*LoanAmount</f>
        <v>0</v>
      </c>
      <c r="J16" s="15" t="n">
        <f aca="false">+IF(AND(IsSC="Y",LoanN_SC=LoanNumber,LoanN_SC&gt;0),S_Percent,IF(AND(IsSC="Y",S_MO=MO,LoanN_SC=0),S_Percent,0))*LoanAmount</f>
        <v>0</v>
      </c>
      <c r="K16" s="15" t="n">
        <f aca="false">+IF(AND(IsSC="Y",LoanN_SC=LoanNumber,LoanN_SC&gt;0),S_Percent,IF(AND(IsSC="Y",S_MO=MO,LoanN_SC=0),S_Percent,0))*LoanAmount</f>
        <v>0</v>
      </c>
      <c r="L16" s="15" t="n">
        <f aca="false">+IF(AND(IsSC="Y",LoanN_SC=LoanNumber,LoanN_SC&gt;0),S_Percent,IF(AND(IsSC="Y",S_MO=MO,LoanN_SC=0),S_Percent,0))*LoanAmount</f>
        <v>0</v>
      </c>
      <c r="M16" s="9" t="n">
        <f aca="false">SUM(G16:L16)</f>
        <v>0</v>
      </c>
      <c r="N16" s="16" t="inlineStr">
        <f aca="false">'bid input'!F10</f>
        <is>
          <t/>
        </is>
      </c>
    </row>
    <row collapsed="false" customFormat="false" customHeight="false" hidden="true" ht="14" outlineLevel="1" r="17">
      <c r="B17" s="0" t="n">
        <f aca="false">+'bid input'!B11</f>
        <v>1104159</v>
      </c>
      <c r="C17" s="12" t="n">
        <f aca="false">+'bid input'!H11</f>
        <v>1</v>
      </c>
      <c r="D17" s="0" t="n">
        <f aca="false">+'bid input'!I11</f>
        <v>0</v>
      </c>
      <c r="E17" s="13" t="str">
        <f aca="false">+IF('bid input'!O11=1,"Y","N")</f>
        <v>N</v>
      </c>
      <c r="F17" s="14" t="inlineStr">
        <f aca="false">+'bid input'!K11</f>
        <is>
          <t/>
        </is>
      </c>
      <c r="G17" s="15" t="n">
        <f aca="false">+IF(AND(IsSC="Y",LoanN_SC=LoanNumber,LoanN_SC&gt;0),S_Percent,IF(AND(IsSC="Y",S_MO=MO,LoanN_SC=0),S_Percent,0))*LoanAmount</f>
        <v>0</v>
      </c>
      <c r="H17" s="15" t="n">
        <f aca="false">+IF(AND(IsSC="Y",LoanN_SC=LoanNumber,LoanN_SC&gt;0),S_Percent,IF(AND(IsSC="Y",S_MO=MO,LoanN_SC=0),S_Percent,0))*LoanAmount</f>
        <v>0</v>
      </c>
      <c r="I17" s="15" t="n">
        <f aca="false">+IF(AND(IsSC="Y",LoanN_SC=LoanNumber,LoanN_SC&gt;0),S_Percent,IF(AND(IsSC="Y",S_MO=MO,LoanN_SC=0),S_Percent,0))*LoanAmount</f>
        <v>0</v>
      </c>
      <c r="J17" s="15" t="n">
        <f aca="false">+IF(AND(IsSC="Y",LoanN_SC=LoanNumber,LoanN_SC&gt;0),S_Percent,IF(AND(IsSC="Y",S_MO=MO,LoanN_SC=0),S_Percent,0))*LoanAmount</f>
        <v>0</v>
      </c>
      <c r="K17" s="15" t="n">
        <f aca="false">+IF(AND(IsSC="Y",LoanN_SC=LoanNumber,LoanN_SC&gt;0),S_Percent,IF(AND(IsSC="Y",S_MO=MO,LoanN_SC=0),S_Percent,0))*LoanAmount</f>
        <v>0</v>
      </c>
      <c r="L17" s="15" t="n">
        <f aca="false">+IF(AND(IsSC="Y",LoanN_SC=LoanNumber,LoanN_SC&gt;0),S_Percent,IF(AND(IsSC="Y",S_MO=MO,LoanN_SC=0),S_Percent,0))*LoanAmount</f>
        <v>0</v>
      </c>
      <c r="M17" s="9" t="n">
        <f aca="false">SUM(G17:L17)</f>
        <v>0</v>
      </c>
      <c r="N17" s="16" t="inlineStr">
        <f aca="false">'bid input'!F11</f>
        <is>
          <t/>
        </is>
      </c>
    </row>
    <row collapsed="false" customFormat="false" customHeight="false" hidden="true" ht="14" outlineLevel="1" r="18">
      <c r="B18" s="0" t="n">
        <f aca="false">+'bid input'!B12</f>
        <v>1104161</v>
      </c>
      <c r="C18" s="12" t="n">
        <f aca="false">+'bid input'!H12</f>
        <v>4</v>
      </c>
      <c r="D18" s="0" t="n">
        <f aca="false">+'bid input'!I12</f>
        <v>0</v>
      </c>
      <c r="E18" s="13" t="str">
        <f aca="false">+IF('bid input'!O12=1,"Y","N")</f>
        <v>N</v>
      </c>
      <c r="F18" s="14" t="inlineStr">
        <f aca="false">+'bid input'!K12</f>
        <is>
          <t/>
        </is>
      </c>
      <c r="G18" s="15" t="n">
        <f aca="false">+IF(AND(IsSC="Y",LoanN_SC=LoanNumber,LoanN_SC&gt;0),S_Percent,IF(AND(IsSC="Y",S_MO=MO,LoanN_SC=0),S_Percent,0))*LoanAmount</f>
        <v>0</v>
      </c>
      <c r="H18" s="15" t="n">
        <f aca="false">+IF(AND(IsSC="Y",LoanN_SC=LoanNumber,LoanN_SC&gt;0),S_Percent,IF(AND(IsSC="Y",S_MO=MO,LoanN_SC=0),S_Percent,0))*LoanAmount</f>
        <v>0</v>
      </c>
      <c r="I18" s="15" t="n">
        <f aca="false">+IF(AND(IsSC="Y",LoanN_SC=LoanNumber,LoanN_SC&gt;0),S_Percent,IF(AND(IsSC="Y",S_MO=MO,LoanN_SC=0),S_Percent,0))*LoanAmount</f>
        <v>0</v>
      </c>
      <c r="J18" s="15" t="n">
        <f aca="false">+IF(AND(IsSC="Y",LoanN_SC=LoanNumber,LoanN_SC&gt;0),S_Percent,IF(AND(IsSC="Y",S_MO=MO,LoanN_SC=0),S_Percent,0))*LoanAmount</f>
        <v>0</v>
      </c>
      <c r="K18" s="15" t="n">
        <f aca="false">+IF(AND(IsSC="Y",LoanN_SC=LoanNumber,LoanN_SC&gt;0),S_Percent,IF(AND(IsSC="Y",S_MO=MO,LoanN_SC=0),S_Percent,0))*LoanAmount</f>
        <v>0</v>
      </c>
      <c r="L18" s="15" t="n">
        <f aca="false">+IF(AND(IsSC="Y",LoanN_SC=LoanNumber,LoanN_SC&gt;0),S_Percent,IF(AND(IsSC="Y",S_MO=MO,LoanN_SC=0),S_Percent,0))*LoanAmount</f>
        <v>0</v>
      </c>
      <c r="M18" s="9" t="n">
        <f aca="false">SUM(G18:L18)</f>
        <v>0</v>
      </c>
      <c r="N18" s="16" t="inlineStr">
        <f aca="false">'bid input'!F12</f>
        <is>
          <t/>
        </is>
      </c>
    </row>
    <row collapsed="false" customFormat="false" customHeight="false" hidden="true" ht="14" outlineLevel="1" r="19">
      <c r="B19" s="0" t="n">
        <f aca="false">+'bid input'!B13</f>
        <v>1104145</v>
      </c>
      <c r="C19" s="12" t="n">
        <f aca="false">+'bid input'!H13</f>
        <v>1</v>
      </c>
      <c r="D19" s="0" t="n">
        <f aca="false">+'bid input'!I13</f>
        <v>0</v>
      </c>
      <c r="E19" s="13" t="str">
        <f aca="false">+IF('bid input'!O13=1,"Y","N")</f>
        <v>Y</v>
      </c>
      <c r="F19" s="14" t="inlineStr">
        <f aca="false">+'bid input'!K13</f>
        <is>
          <t/>
        </is>
      </c>
      <c r="G19" s="15" t="n">
        <f aca="false">+IF(AND(IsSC="Y",LoanN_SC=LoanNumber,LoanN_SC&gt;0),S_Percent,IF(AND(IsSC="Y",S_MO=MO,LoanN_SC=0),S_Percent,0))*LoanAmount</f>
        <v>31872.5</v>
      </c>
      <c r="H19" s="15" t="n">
        <f aca="false">+IF(AND(IsSC="Y",LoanN_SC=LoanNumber,LoanN_SC&gt;0),S_Percent,IF(AND(IsSC="Y",S_MO=MO,LoanN_SC=0),S_Percent,0))*LoanAmount</f>
        <v>0</v>
      </c>
      <c r="I19" s="15" t="n">
        <f aca="false">+IF(AND(IsSC="Y",LoanN_SC=LoanNumber,LoanN_SC&gt;0),S_Percent,IF(AND(IsSC="Y",S_MO=MO,LoanN_SC=0),S_Percent,0))*LoanAmount</f>
        <v>0</v>
      </c>
      <c r="J19" s="15" t="n">
        <f aca="false">+IF(AND(IsSC="Y",LoanN_SC=LoanNumber,LoanN_SC&gt;0),S_Percent,IF(AND(IsSC="Y",S_MO=MO,LoanN_SC=0),S_Percent,0))*LoanAmount</f>
        <v>0</v>
      </c>
      <c r="K19" s="15" t="n">
        <f aca="false">+IF(AND(IsSC="Y",LoanN_SC=LoanNumber,LoanN_SC&gt;0),S_Percent,IF(AND(IsSC="Y",S_MO=MO,LoanN_SC=0),S_Percent,0))*LoanAmount</f>
        <v>0</v>
      </c>
      <c r="L19" s="15" t="n">
        <f aca="false">+IF(AND(IsSC="Y",LoanN_SC=LoanNumber,LoanN_SC&gt;0),S_Percent,IF(AND(IsSC="Y",S_MO=MO,LoanN_SC=0),S_Percent,0))*LoanAmount</f>
        <v>0</v>
      </c>
      <c r="M19" s="9" t="n">
        <f aca="false">SUM(G19:L19)</f>
        <v>31872.5</v>
      </c>
      <c r="N19" s="16" t="inlineStr">
        <f aca="false">'bid input'!F13</f>
        <is>
          <t/>
        </is>
      </c>
    </row>
    <row collapsed="false" customFormat="false" customHeight="false" hidden="true" ht="14" outlineLevel="1" r="20">
      <c r="B20" s="0" t="n">
        <f aca="false">+'bid input'!B14</f>
        <v>1104133</v>
      </c>
      <c r="C20" s="12" t="n">
        <f aca="false">+'bid input'!H14</f>
        <v>4</v>
      </c>
      <c r="D20" s="0" t="n">
        <f aca="false">+'bid input'!I14</f>
        <v>0</v>
      </c>
      <c r="E20" s="13" t="str">
        <f aca="false">+IF('bid input'!O14=1,"Y","N")</f>
        <v>Y</v>
      </c>
      <c r="F20" s="14" t="inlineStr">
        <f aca="false">+'bid input'!K14</f>
        <is>
          <t/>
        </is>
      </c>
      <c r="G20" s="15" t="n">
        <f aca="false">+IF(AND(IsSC="Y",LoanN_SC=LoanNumber,LoanN_SC&gt;0),S_Percent,IF(AND(IsSC="Y",S_MO=MO,LoanN_SC=0),S_Percent,0))*LoanAmount</f>
        <v>0</v>
      </c>
      <c r="H20" s="15" t="n">
        <f aca="false">+IF(AND(IsSC="Y",LoanN_SC=LoanNumber,LoanN_SC&gt;0),S_Percent,IF(AND(IsSC="Y",S_MO=MO,LoanN_SC=0),S_Percent,0))*LoanAmount</f>
        <v>0</v>
      </c>
      <c r="I20" s="15" t="n">
        <f aca="false">+IF(AND(IsSC="Y",LoanN_SC=LoanNumber,LoanN_SC&gt;0),S_Percent,IF(AND(IsSC="Y",S_MO=MO,LoanN_SC=0),S_Percent,0))*LoanAmount</f>
        <v>0</v>
      </c>
      <c r="J20" s="15" t="n">
        <f aca="false">+IF(AND(IsSC="Y",LoanN_SC=LoanNumber,LoanN_SC&gt;0),S_Percent,IF(AND(IsSC="Y",S_MO=MO,LoanN_SC=0),S_Percent,0))*LoanAmount</f>
        <v>105080</v>
      </c>
      <c r="K20" s="15" t="n">
        <f aca="false">+IF(AND(IsSC="Y",LoanN_SC=LoanNumber,LoanN_SC&gt;0),S_Percent,IF(AND(IsSC="Y",S_MO=MO,LoanN_SC=0),S_Percent,0))*LoanAmount</f>
        <v>0</v>
      </c>
      <c r="L20" s="15" t="n">
        <f aca="false">+IF(AND(IsSC="Y",LoanN_SC=LoanNumber,LoanN_SC&gt;0),S_Percent,IF(AND(IsSC="Y",S_MO=MO,LoanN_SC=0),S_Percent,0))*LoanAmount</f>
        <v>0</v>
      </c>
      <c r="M20" s="9" t="n">
        <f aca="false">SUM(G20:L20)</f>
        <v>105080</v>
      </c>
      <c r="N20" s="16" t="inlineStr">
        <f aca="false">'bid input'!F14</f>
        <is>
          <t/>
        </is>
      </c>
    </row>
    <row collapsed="false" customFormat="false" customHeight="false" hidden="true" ht="14" outlineLevel="1" r="21">
      <c r="B21" s="0" t="n">
        <f aca="false">+'bid input'!B15</f>
        <v>1104149</v>
      </c>
      <c r="C21" s="12" t="n">
        <f aca="false">+'bid input'!H15</f>
        <v>5</v>
      </c>
      <c r="D21" s="0" t="n">
        <f aca="false">+'bid input'!I15</f>
        <v>0</v>
      </c>
      <c r="E21" s="13" t="str">
        <f aca="false">+IF('bid input'!O15=1,"Y","N")</f>
        <v>N</v>
      </c>
      <c r="F21" s="14" t="inlineStr">
        <f aca="false">+'bid input'!K15</f>
        <is>
          <t/>
        </is>
      </c>
      <c r="G21" s="15" t="n">
        <f aca="false">+IF(AND(IsSC="Y",LoanN_SC=LoanNumber,LoanN_SC&gt;0),S_Percent,IF(AND(IsSC="Y",S_MO=MO,LoanN_SC=0),S_Percent,0))*LoanAmount</f>
        <v>0</v>
      </c>
      <c r="H21" s="15" t="n">
        <f aca="false">+IF(AND(IsSC="Y",LoanN_SC=LoanNumber,LoanN_SC&gt;0),S_Percent,IF(AND(IsSC="Y",S_MO=MO,LoanN_SC=0),S_Percent,0))*LoanAmount</f>
        <v>0</v>
      </c>
      <c r="I21" s="15" t="n">
        <f aca="false">+IF(AND(IsSC="Y",LoanN_SC=LoanNumber,LoanN_SC&gt;0),S_Percent,IF(AND(IsSC="Y",S_MO=MO,LoanN_SC=0),S_Percent,0))*LoanAmount</f>
        <v>0</v>
      </c>
      <c r="J21" s="15" t="n">
        <f aca="false">+IF(AND(IsSC="Y",LoanN_SC=LoanNumber,LoanN_SC&gt;0),S_Percent,IF(AND(IsSC="Y",S_MO=MO,LoanN_SC=0),S_Percent,0))*LoanAmount</f>
        <v>0</v>
      </c>
      <c r="K21" s="15" t="n">
        <f aca="false">+IF(AND(IsSC="Y",LoanN_SC=LoanNumber,LoanN_SC&gt;0),S_Percent,IF(AND(IsSC="Y",S_MO=MO,LoanN_SC=0),S_Percent,0))*LoanAmount</f>
        <v>0</v>
      </c>
      <c r="L21" s="15" t="n">
        <f aca="false">+IF(AND(IsSC="Y",LoanN_SC=LoanNumber,LoanN_SC&gt;0),S_Percent,IF(AND(IsSC="Y",S_MO=MO,LoanN_SC=0),S_Percent,0))*LoanAmount</f>
        <v>0</v>
      </c>
      <c r="M21" s="9" t="n">
        <f aca="false">SUM(G21:L21)</f>
        <v>0</v>
      </c>
      <c r="N21" s="16" t="inlineStr">
        <f aca="false">'bid input'!F15</f>
        <is>
          <t/>
        </is>
      </c>
    </row>
    <row collapsed="false" customFormat="false" customHeight="false" hidden="true" ht="14" outlineLevel="1" r="22">
      <c r="B22" s="0" t="n">
        <f aca="false">+'bid input'!B16</f>
        <v>1104151</v>
      </c>
      <c r="C22" s="12" t="n">
        <f aca="false">+'bid input'!H16</f>
        <v>1</v>
      </c>
      <c r="D22" s="0" t="n">
        <f aca="false">+'bid input'!I16</f>
        <v>0</v>
      </c>
      <c r="E22" s="13" t="str">
        <f aca="false">+IF('bid input'!O16=1,"Y","N")</f>
        <v>N</v>
      </c>
      <c r="F22" s="14" t="inlineStr">
        <f aca="false">+'bid input'!K16</f>
        <is>
          <t/>
        </is>
      </c>
      <c r="G22" s="15" t="n">
        <f aca="false">+IF(AND(IsSC="Y",LoanN_SC=LoanNumber,LoanN_SC&gt;0),S_Percent,IF(AND(IsSC="Y",S_MO=MO,LoanN_SC=0),S_Percent,0))*LoanAmount</f>
        <v>0</v>
      </c>
      <c r="H22" s="15" t="n">
        <f aca="false">+IF(AND(IsSC="Y",LoanN_SC=LoanNumber,LoanN_SC&gt;0),S_Percent,IF(AND(IsSC="Y",S_MO=MO,LoanN_SC=0),S_Percent,0))*LoanAmount</f>
        <v>0</v>
      </c>
      <c r="I22" s="15" t="n">
        <f aca="false">+IF(AND(IsSC="Y",LoanN_SC=LoanNumber,LoanN_SC&gt;0),S_Percent,IF(AND(IsSC="Y",S_MO=MO,LoanN_SC=0),S_Percent,0))*LoanAmount</f>
        <v>0</v>
      </c>
      <c r="J22" s="15" t="n">
        <f aca="false">+IF(AND(IsSC="Y",LoanN_SC=LoanNumber,LoanN_SC&gt;0),S_Percent,IF(AND(IsSC="Y",S_MO=MO,LoanN_SC=0),S_Percent,0))*LoanAmount</f>
        <v>0</v>
      </c>
      <c r="K22" s="15" t="n">
        <f aca="false">+IF(AND(IsSC="Y",LoanN_SC=LoanNumber,LoanN_SC&gt;0),S_Percent,IF(AND(IsSC="Y",S_MO=MO,LoanN_SC=0),S_Percent,0))*LoanAmount</f>
        <v>0</v>
      </c>
      <c r="L22" s="15" t="n">
        <f aca="false">+IF(AND(IsSC="Y",LoanN_SC=LoanNumber,LoanN_SC&gt;0),S_Percent,IF(AND(IsSC="Y",S_MO=MO,LoanN_SC=0),S_Percent,0))*LoanAmount</f>
        <v>0</v>
      </c>
      <c r="M22" s="9" t="n">
        <f aca="false">SUM(G22:L22)</f>
        <v>0</v>
      </c>
      <c r="N22" s="16" t="inlineStr">
        <f aca="false">'bid input'!F16</f>
        <is>
          <t/>
        </is>
      </c>
    </row>
    <row collapsed="false" customFormat="false" customHeight="false" hidden="true" ht="14" outlineLevel="1" r="23">
      <c r="B23" s="0" t="n">
        <f aca="false">+'bid input'!B17</f>
        <v>1104131</v>
      </c>
      <c r="C23" s="12" t="n">
        <f aca="false">+'bid input'!H17</f>
        <v>0</v>
      </c>
      <c r="D23" s="0" t="n">
        <f aca="false">+'bid input'!I17</f>
        <v>0</v>
      </c>
      <c r="E23" s="13" t="str">
        <f aca="false">+IF('bid input'!O17=1,"Y","N")</f>
        <v>N</v>
      </c>
      <c r="F23" s="14" t="inlineStr">
        <f aca="false">+'bid input'!K17</f>
        <is>
          <t/>
        </is>
      </c>
      <c r="G23" s="15" t="n">
        <f aca="false">+IF(AND(IsSC="Y",LoanN_SC=LoanNumber,LoanN_SC&gt;0),S_Percent,IF(AND(IsSC="Y",S_MO=MO,LoanN_SC=0),S_Percent,0))*LoanAmount</f>
        <v>0</v>
      </c>
      <c r="H23" s="15" t="n">
        <f aca="false">+IF(AND(IsSC="Y",LoanN_SC=LoanNumber,LoanN_SC&gt;0),S_Percent,IF(AND(IsSC="Y",S_MO=MO,LoanN_SC=0),S_Percent,0))*LoanAmount</f>
        <v>0</v>
      </c>
      <c r="I23" s="15" t="n">
        <f aca="false">+IF(AND(IsSC="Y",LoanN_SC=LoanNumber,LoanN_SC&gt;0),S_Percent,IF(AND(IsSC="Y",S_MO=MO,LoanN_SC=0),S_Percent,0))*LoanAmount</f>
        <v>0</v>
      </c>
      <c r="J23" s="15" t="n">
        <f aca="false">+IF(AND(IsSC="Y",LoanN_SC=LoanNumber,LoanN_SC&gt;0),S_Percent,IF(AND(IsSC="Y",S_MO=MO,LoanN_SC=0),S_Percent,0))*LoanAmount</f>
        <v>0</v>
      </c>
      <c r="K23" s="15" t="n">
        <f aca="false">+IF(AND(IsSC="Y",LoanN_SC=LoanNumber,LoanN_SC&gt;0),S_Percent,IF(AND(IsSC="Y",S_MO=MO,LoanN_SC=0),S_Percent,0))*LoanAmount</f>
        <v>0</v>
      </c>
      <c r="L23" s="15" t="n">
        <f aca="false">+IF(AND(IsSC="Y",LoanN_SC=LoanNumber,LoanN_SC&gt;0),S_Percent,IF(AND(IsSC="Y",S_MO=MO,LoanN_SC=0),S_Percent,0))*LoanAmount</f>
        <v>0</v>
      </c>
      <c r="M23" s="9" t="n">
        <f aca="false">SUM(G23:L23)</f>
        <v>0</v>
      </c>
      <c r="N23" s="16" t="inlineStr">
        <f aca="false">'bid input'!F17</f>
        <is>
          <t/>
        </is>
      </c>
    </row>
    <row collapsed="false" customFormat="false" customHeight="false" hidden="true" ht="14" outlineLevel="1" r="24">
      <c r="B24" s="0" t="n">
        <f aca="false">+'bid input'!B18</f>
        <v>1104155</v>
      </c>
      <c r="C24" s="12" t="n">
        <f aca="false">+'bid input'!H18</f>
        <v>0</v>
      </c>
      <c r="D24" s="0" t="str">
        <f aca="false">+'bid input'!I18</f>
        <v>Best Loans Inc</v>
      </c>
      <c r="E24" s="13" t="str">
        <f aca="false">+IF('bid input'!O18=1,"Y","N")</f>
        <v>Y</v>
      </c>
      <c r="F24" s="14" t="inlineStr">
        <f aca="false">+'bid input'!K18</f>
        <is>
          <t/>
        </is>
      </c>
      <c r="G24" s="15" t="n">
        <f aca="false">+IF(AND(IsSC="Y",LoanN_SC=LoanNumber,LoanN_SC&gt;0),S_Percent,IF(AND(IsSC="Y",S_MO=MO,LoanN_SC=0),S_Percent,0))*LoanAmount</f>
        <v>0</v>
      </c>
      <c r="H24" s="15" t="n">
        <f aca="false">+IF(AND(IsSC="Y",LoanN_SC=LoanNumber,LoanN_SC&gt;0),S_Percent,IF(AND(IsSC="Y",S_MO=MO,LoanN_SC=0),S_Percent,0))*LoanAmount</f>
        <v>0</v>
      </c>
      <c r="I24" s="15" t="n">
        <f aca="false">+IF(AND(IsSC="Y",LoanN_SC=LoanNumber,LoanN_SC&gt;0),S_Percent,IF(AND(IsSC="Y",S_MO=MO,LoanN_SC=0),S_Percent,0))*LoanAmount</f>
        <v>0</v>
      </c>
      <c r="J24" s="15" t="n">
        <f aca="false">+IF(AND(IsSC="Y",LoanN_SC=LoanNumber,LoanN_SC&gt;0),S_Percent,IF(AND(IsSC="Y",S_MO=MO,LoanN_SC=0),S_Percent,0))*LoanAmount</f>
        <v>0</v>
      </c>
      <c r="K24" s="15" t="n">
        <f aca="false">+IF(AND(IsSC="Y",LoanN_SC=LoanNumber,LoanN_SC&gt;0),S_Percent,IF(AND(IsSC="Y",S_MO=MO,LoanN_SC=0),S_Percent,0))*LoanAmount</f>
        <v>103085</v>
      </c>
      <c r="L24" s="15" t="n">
        <f aca="false">+IF(AND(IsSC="Y",LoanN_SC=LoanNumber,LoanN_SC&gt;0),S_Percent,IF(AND(IsSC="Y",S_MO=MO,LoanN_SC=0),S_Percent,0))*LoanAmount</f>
        <v>0</v>
      </c>
      <c r="M24" s="9" t="n">
        <f aca="false">SUM(G24:L24)</f>
        <v>103085</v>
      </c>
      <c r="N24" s="16" t="inlineStr">
        <f aca="false">'bid input'!F18</f>
        <is>
          <t/>
        </is>
      </c>
    </row>
    <row collapsed="false" customFormat="false" customHeight="false" hidden="true" ht="14" outlineLevel="1" r="25">
      <c r="B25" s="0" t="n">
        <f aca="false">+'bid input'!B19</f>
        <v>1104156</v>
      </c>
      <c r="C25" s="12" t="n">
        <f aca="false">+'bid input'!H19</f>
        <v>2</v>
      </c>
      <c r="D25" s="0" t="n">
        <f aca="false">+'bid input'!I19</f>
        <v>0</v>
      </c>
      <c r="E25" s="13" t="str">
        <f aca="false">+IF('bid input'!O19=1,"Y","N")</f>
        <v>N</v>
      </c>
      <c r="F25" s="14" t="inlineStr">
        <f aca="false">+'bid input'!K19</f>
        <is>
          <t/>
        </is>
      </c>
      <c r="G25" s="15" t="n">
        <f aca="false">+IF(AND(IsSC="Y",LoanN_SC=LoanNumber,LoanN_SC&gt;0),S_Percent,IF(AND(IsSC="Y",S_MO=MO,LoanN_SC=0),S_Percent,0))*LoanAmount</f>
        <v>0</v>
      </c>
      <c r="H25" s="15" t="n">
        <f aca="false">+IF(AND(IsSC="Y",LoanN_SC=LoanNumber,LoanN_SC&gt;0),S_Percent,IF(AND(IsSC="Y",S_MO=MO,LoanN_SC=0),S_Percent,0))*LoanAmount</f>
        <v>0</v>
      </c>
      <c r="I25" s="15" t="n">
        <f aca="false">+IF(AND(IsSC="Y",LoanN_SC=LoanNumber,LoanN_SC&gt;0),S_Percent,IF(AND(IsSC="Y",S_MO=MO,LoanN_SC=0),S_Percent,0))*LoanAmount</f>
        <v>0</v>
      </c>
      <c r="J25" s="15" t="n">
        <f aca="false">+IF(AND(IsSC="Y",LoanN_SC=LoanNumber,LoanN_SC&gt;0),S_Percent,IF(AND(IsSC="Y",S_MO=MO,LoanN_SC=0),S_Percent,0))*LoanAmount</f>
        <v>0</v>
      </c>
      <c r="K25" s="15" t="n">
        <f aca="false">+IF(AND(IsSC="Y",LoanN_SC=LoanNumber,LoanN_SC&gt;0),S_Percent,IF(AND(IsSC="Y",S_MO=MO,LoanN_SC=0),S_Percent,0))*LoanAmount</f>
        <v>0</v>
      </c>
      <c r="L25" s="15" t="n">
        <f aca="false">+IF(AND(IsSC="Y",LoanN_SC=LoanNumber,LoanN_SC&gt;0),S_Percent,IF(AND(IsSC="Y",S_MO=MO,LoanN_SC=0),S_Percent,0))*LoanAmount</f>
        <v>0</v>
      </c>
      <c r="M25" s="9" t="n">
        <f aca="false">SUM(G25:L25)</f>
        <v>0</v>
      </c>
      <c r="N25" s="16" t="inlineStr">
        <f aca="false">'bid input'!F19</f>
        <is>
          <t/>
        </is>
      </c>
    </row>
    <row collapsed="false" customFormat="false" customHeight="false" hidden="true" ht="14" outlineLevel="1" r="26">
      <c r="B26" s="0" t="n">
        <f aca="false">+'bid input'!B20</f>
        <v>1104157</v>
      </c>
      <c r="C26" s="12" t="n">
        <f aca="false">+'bid input'!H20</f>
        <v>0</v>
      </c>
      <c r="D26" s="0" t="n">
        <f aca="false">+'bid input'!I20</f>
        <v>0</v>
      </c>
      <c r="E26" s="13" t="str">
        <f aca="false">+IF('bid input'!O20=1,"Y","N")</f>
        <v>N</v>
      </c>
      <c r="F26" s="14" t="inlineStr">
        <f aca="false">+'bid input'!K20</f>
        <is>
          <t/>
        </is>
      </c>
      <c r="G26" s="15" t="n">
        <f aca="false">+IF(AND(IsSC="Y",LoanN_SC=LoanNumber,LoanN_SC&gt;0),S_Percent,IF(AND(IsSC="Y",S_MO=MO,LoanN_SC=0),S_Percent,0))*LoanAmount</f>
        <v>0</v>
      </c>
      <c r="H26" s="15" t="n">
        <f aca="false">+IF(AND(IsSC="Y",LoanN_SC=LoanNumber,LoanN_SC&gt;0),S_Percent,IF(AND(IsSC="Y",S_MO=MO,LoanN_SC=0),S_Percent,0))*LoanAmount</f>
        <v>0</v>
      </c>
      <c r="I26" s="15" t="n">
        <f aca="false">+IF(AND(IsSC="Y",LoanN_SC=LoanNumber,LoanN_SC&gt;0),S_Percent,IF(AND(IsSC="Y",S_MO=MO,LoanN_SC=0),S_Percent,0))*LoanAmount</f>
        <v>0</v>
      </c>
      <c r="J26" s="15" t="n">
        <f aca="false">+IF(AND(IsSC="Y",LoanN_SC=LoanNumber,LoanN_SC&gt;0),S_Percent,IF(AND(IsSC="Y",S_MO=MO,LoanN_SC=0),S_Percent,0))*LoanAmount</f>
        <v>0</v>
      </c>
      <c r="K26" s="15" t="n">
        <f aca="false">+IF(AND(IsSC="Y",LoanN_SC=LoanNumber,LoanN_SC&gt;0),S_Percent,IF(AND(IsSC="Y",S_MO=MO,LoanN_SC=0),S_Percent,0))*LoanAmount</f>
        <v>0</v>
      </c>
      <c r="L26" s="15" t="n">
        <f aca="false">+IF(AND(IsSC="Y",LoanN_SC=LoanNumber,LoanN_SC&gt;0),S_Percent,IF(AND(IsSC="Y",S_MO=MO,LoanN_SC=0),S_Percent,0))*LoanAmount</f>
        <v>0</v>
      </c>
      <c r="M26" s="9" t="n">
        <f aca="false">SUM(G26:L26)</f>
        <v>0</v>
      </c>
      <c r="N26" s="16" t="inlineStr">
        <f aca="false">'bid input'!F20</f>
        <is>
          <t/>
        </is>
      </c>
    </row>
    <row collapsed="false" customFormat="false" customHeight="false" hidden="true" ht="14" outlineLevel="1" r="27">
      <c r="B27" s="0" t="n">
        <f aca="false">+'bid input'!B21</f>
        <v>1104158</v>
      </c>
      <c r="C27" s="12" t="n">
        <f aca="false">+'bid input'!H21</f>
        <v>1</v>
      </c>
      <c r="D27" s="0" t="n">
        <f aca="false">+'bid input'!I21</f>
        <v>0</v>
      </c>
      <c r="E27" s="13" t="str">
        <f aca="false">+IF('bid input'!O21=1,"Y","N")</f>
        <v>Y</v>
      </c>
      <c r="F27" s="14" t="inlineStr">
        <f aca="false">+'bid input'!K21</f>
        <is>
          <t/>
        </is>
      </c>
      <c r="G27" s="15" t="n">
        <f aca="false">+IF(AND(IsSC="Y",LoanN_SC=LoanNumber,LoanN_SC&gt;0),S_Percent,IF(AND(IsSC="Y",S_MO=MO,LoanN_SC=0),S_Percent,0))*LoanAmount</f>
        <v>63745</v>
      </c>
      <c r="H27" s="15" t="n">
        <f aca="false">+IF(AND(IsSC="Y",LoanN_SC=LoanNumber,LoanN_SC&gt;0),S_Percent,IF(AND(IsSC="Y",S_MO=MO,LoanN_SC=0),S_Percent,0))*LoanAmount</f>
        <v>0</v>
      </c>
      <c r="I27" s="15" t="n">
        <f aca="false">+IF(AND(IsSC="Y",LoanN_SC=LoanNumber,LoanN_SC&gt;0),S_Percent,IF(AND(IsSC="Y",S_MO=MO,LoanN_SC=0),S_Percent,0))*LoanAmount</f>
        <v>0</v>
      </c>
      <c r="J27" s="15" t="n">
        <f aca="false">+IF(AND(IsSC="Y",LoanN_SC=LoanNumber,LoanN_SC&gt;0),S_Percent,IF(AND(IsSC="Y",S_MO=MO,LoanN_SC=0),S_Percent,0))*LoanAmount</f>
        <v>0</v>
      </c>
      <c r="K27" s="15" t="n">
        <f aca="false">+IF(AND(IsSC="Y",LoanN_SC=LoanNumber,LoanN_SC&gt;0),S_Percent,IF(AND(IsSC="Y",S_MO=MO,LoanN_SC=0),S_Percent,0))*LoanAmount</f>
        <v>0</v>
      </c>
      <c r="L27" s="15" t="n">
        <f aca="false">+IF(AND(IsSC="Y",LoanN_SC=LoanNumber,LoanN_SC&gt;0),S_Percent,IF(AND(IsSC="Y",S_MO=MO,LoanN_SC=0),S_Percent,0))*LoanAmount</f>
        <v>0</v>
      </c>
      <c r="M27" s="9" t="n">
        <f aca="false">SUM(G27:L27)</f>
        <v>63745</v>
      </c>
      <c r="N27" s="16" t="inlineStr">
        <f aca="false">'bid input'!F21</f>
        <is>
          <t/>
        </is>
      </c>
    </row>
    <row collapsed="false" customFormat="false" customHeight="false" hidden="true" ht="14" outlineLevel="1" r="28">
      <c r="B28" s="10"/>
      <c r="C28" s="10"/>
      <c r="D28" s="10"/>
      <c r="E28" s="11"/>
      <c r="F28" s="10"/>
      <c r="K28" s="9"/>
    </row>
    <row collapsed="false" customFormat="false" customHeight="false" hidden="true" ht="14" outlineLevel="1" r="29">
      <c r="B29" s="0" t="n">
        <f aca="false">+'bid input'!B2</f>
        <v>1104134</v>
      </c>
      <c r="C29" s="12"/>
      <c r="E29" s="13"/>
      <c r="F29" s="14" t="inlineStr">
        <f aca="false">+'bid input'!K2</f>
        <is>
          <t/>
        </is>
      </c>
      <c r="G29" s="17" t="n">
        <f aca="false">IF($M8&lt;'bid input'!$M2,G8, 'bid input'!$M2*G8/$M8)</f>
        <v>0</v>
      </c>
      <c r="H29" s="17" t="n">
        <f aca="false">IF($M8&lt;'bid input'!$M2,H8, 'bid input'!$M2*H8/$M8)</f>
        <v>0</v>
      </c>
      <c r="I29" s="17" t="n">
        <f aca="false">IF($M8&lt;'bid input'!$M2,I8, 'bid input'!$M2*I8/$M8)</f>
        <v>0</v>
      </c>
      <c r="J29" s="17" t="n">
        <f aca="false">IF($M8&lt;'bid input'!$M2,J8, 'bid input'!$M2*J8/$M8)</f>
        <v>0</v>
      </c>
      <c r="K29" s="17" t="n">
        <f aca="false">IF($M8&lt;'bid input'!$M2,K8, 'bid input'!$M2*K8/$M8)</f>
        <v>0</v>
      </c>
      <c r="L29" s="17" t="n">
        <f aca="false">IF($M8&lt;'bid input'!$M2,L8, 'bid input'!$M2*L8/$M8)</f>
        <v>0</v>
      </c>
      <c r="M29" s="9" t="n">
        <f aca="false">SUM(G29:L29)</f>
        <v>0</v>
      </c>
    </row>
    <row collapsed="false" customFormat="false" customHeight="false" hidden="true" ht="14" outlineLevel="1" r="30">
      <c r="B30" s="0" t="n">
        <f aca="false">+'bid input'!B3</f>
        <v>1104143</v>
      </c>
      <c r="C30" s="12"/>
      <c r="E30" s="13"/>
      <c r="F30" s="14" t="inlineStr">
        <f aca="false">+'bid input'!K3</f>
        <is>
          <t/>
        </is>
      </c>
      <c r="G30" s="17" t="n">
        <f aca="false">IF($M9&lt;'bid input'!$M3,G9, 'bid input'!$M3*G9/$M9)</f>
        <v>0</v>
      </c>
      <c r="H30" s="17" t="n">
        <f aca="false">IF($M9&lt;'bid input'!$M3,H9, 'bid input'!$M3*H9/$M9)</f>
        <v>0</v>
      </c>
      <c r="I30" s="17" t="n">
        <f aca="false">IF($M9&lt;'bid input'!$M3,I9, 'bid input'!$M3*I9/$M9)</f>
        <v>0</v>
      </c>
      <c r="J30" s="17" t="n">
        <f aca="false">IF($M9&lt;'bid input'!$M3,J9, 'bid input'!$M3*J9/$M9)</f>
        <v>0</v>
      </c>
      <c r="K30" s="17" t="n">
        <f aca="false">IF($M9&lt;'bid input'!$M3,K9, 'bid input'!$M3*K9/$M9)</f>
        <v>0</v>
      </c>
      <c r="L30" s="17" t="n">
        <f aca="false">IF($M9&lt;'bid input'!$M3,L9, 'bid input'!$M3*L9/$M9)</f>
        <v>0</v>
      </c>
      <c r="M30" s="9" t="n">
        <f aca="false">SUM(G30:L30)</f>
        <v>0</v>
      </c>
    </row>
    <row collapsed="false" customFormat="false" customHeight="false" hidden="true" ht="14" outlineLevel="1" r="31">
      <c r="B31" s="0" t="n">
        <f aca="false">+'bid input'!B4</f>
        <v>1104154</v>
      </c>
      <c r="C31" s="12"/>
      <c r="E31" s="13"/>
      <c r="F31" s="14" t="inlineStr">
        <f aca="false">+'bid input'!K4</f>
        <is>
          <t/>
        </is>
      </c>
      <c r="G31" s="17" t="n">
        <f aca="false">IF($M10&lt;'bid input'!$M4,G10, 'bid input'!$M4*G10/$M10)</f>
        <v>0</v>
      </c>
      <c r="H31" s="17" t="n">
        <f aca="false">IF($M10&lt;'bid input'!$M4,H10, 'bid input'!$M4*H10/$M10)</f>
        <v>0</v>
      </c>
      <c r="I31" s="17" t="n">
        <f aca="false">IF($M10&lt;'bid input'!$M4,I10, 'bid input'!$M4*I10/$M10)</f>
        <v>0</v>
      </c>
      <c r="J31" s="17" t="n">
        <f aca="false">IF($M10&lt;'bid input'!$M4,J10, 'bid input'!$M4*J10/$M10)</f>
        <v>0</v>
      </c>
      <c r="K31" s="17" t="n">
        <f aca="false">IF($M10&lt;'bid input'!$M4,K10, 'bid input'!$M4*K10/$M10)</f>
        <v>0</v>
      </c>
      <c r="L31" s="17" t="n">
        <f aca="false">IF($M10&lt;'bid input'!$M4,L10, 'bid input'!$M4*L10/$M10)</f>
        <v>0</v>
      </c>
      <c r="M31" s="9" t="n">
        <f aca="false">SUM(G31:L31)</f>
        <v>0</v>
      </c>
    </row>
    <row collapsed="false" customFormat="false" customHeight="false" hidden="true" ht="14" outlineLevel="1" r="32">
      <c r="B32" s="0" t="n">
        <f aca="false">+'bid input'!B5</f>
        <v>1104152</v>
      </c>
      <c r="C32" s="12"/>
      <c r="E32" s="13"/>
      <c r="F32" s="14" t="inlineStr">
        <f aca="false">+'bid input'!K5</f>
        <is>
          <t/>
        </is>
      </c>
      <c r="G32" s="17" t="n">
        <f aca="false">IF($M11&lt;'bid input'!$M5,G11, 'bid input'!$M5*G11/$M11)</f>
        <v>0</v>
      </c>
      <c r="H32" s="17" t="n">
        <f aca="false">IF($M11&lt;'bid input'!$M5,H11, 'bid input'!$M5*H11/$M11)</f>
        <v>0</v>
      </c>
      <c r="I32" s="17" t="n">
        <f aca="false">IF($M11&lt;'bid input'!$M5,I11, 'bid input'!$M5*I11/$M11)</f>
        <v>95975</v>
      </c>
      <c r="J32" s="17" t="n">
        <f aca="false">IF($M11&lt;'bid input'!$M5,J11, 'bid input'!$M5*J11/$M11)</f>
        <v>105080</v>
      </c>
      <c r="K32" s="17" t="n">
        <f aca="false">IF($M11&lt;'bid input'!$M5,K11, 'bid input'!$M5*K11/$M11)</f>
        <v>0</v>
      </c>
      <c r="L32" s="17" t="n">
        <f aca="false">IF($M11&lt;'bid input'!$M5,L11, 'bid input'!$M5*L11/$M11)</f>
        <v>0</v>
      </c>
      <c r="M32" s="9" t="n">
        <f aca="false">SUM(G32:L32)</f>
        <v>201055</v>
      </c>
    </row>
    <row collapsed="false" customFormat="false" customHeight="false" hidden="true" ht="14" outlineLevel="1" r="33">
      <c r="B33" s="0" t="n">
        <f aca="false">+'bid input'!B6</f>
        <v>1104136</v>
      </c>
      <c r="C33" s="12"/>
      <c r="E33" s="13"/>
      <c r="F33" s="14" t="inlineStr">
        <f aca="false">+'bid input'!K6</f>
        <is>
          <t/>
        </is>
      </c>
      <c r="G33" s="17" t="n">
        <f aca="false">IF($M12&lt;'bid input'!$M6,G12, 'bid input'!$M6*G12/$M12)</f>
        <v>0</v>
      </c>
      <c r="H33" s="17" t="n">
        <f aca="false">IF($M12&lt;'bid input'!$M6,H12, 'bid input'!$M6*H12/$M12)</f>
        <v>0</v>
      </c>
      <c r="I33" s="17" t="n">
        <f aca="false">IF($M12&lt;'bid input'!$M6,I12, 'bid input'!$M6*I12/$M12)</f>
        <v>0</v>
      </c>
      <c r="J33" s="17" t="n">
        <f aca="false">IF($M12&lt;'bid input'!$M6,J12, 'bid input'!$M6*J12/$M12)</f>
        <v>105080</v>
      </c>
      <c r="K33" s="17" t="n">
        <f aca="false">IF($M12&lt;'bid input'!$M6,K12, 'bid input'!$M6*K12/$M12)</f>
        <v>0</v>
      </c>
      <c r="L33" s="17" t="n">
        <f aca="false">IF($M12&lt;'bid input'!$M6,L12, 'bid input'!$M6*L12/$M12)</f>
        <v>0</v>
      </c>
      <c r="M33" s="9" t="n">
        <f aca="false">SUM(G33:L33)</f>
        <v>105080</v>
      </c>
    </row>
    <row collapsed="false" customFormat="false" customHeight="false" hidden="true" ht="14" outlineLevel="1" r="34">
      <c r="B34" s="0" t="n">
        <f aca="false">+'bid input'!B7</f>
        <v>1104138</v>
      </c>
      <c r="C34" s="12"/>
      <c r="E34" s="13"/>
      <c r="F34" s="14" t="inlineStr">
        <f aca="false">+'bid input'!K7</f>
        <is>
          <t/>
        </is>
      </c>
      <c r="G34" s="17" t="n">
        <f aca="false">IF($M13&lt;'bid input'!$M7,G13, 'bid input'!$M7*G13/$M13)</f>
        <v>0</v>
      </c>
      <c r="H34" s="17" t="n">
        <f aca="false">IF($M13&lt;'bid input'!$M7,H13, 'bid input'!$M7*H13/$M13)</f>
        <v>0</v>
      </c>
      <c r="I34" s="17" t="n">
        <f aca="false">IF($M13&lt;'bid input'!$M7,I13, 'bid input'!$M7*I13/$M13)</f>
        <v>0</v>
      </c>
      <c r="J34" s="17" t="n">
        <f aca="false">IF($M13&lt;'bid input'!$M7,J13, 'bid input'!$M7*J13/$M13)</f>
        <v>0</v>
      </c>
      <c r="K34" s="17" t="n">
        <f aca="false">IF($M13&lt;'bid input'!$M7,K13, 'bid input'!$M7*K13/$M13)</f>
        <v>0</v>
      </c>
      <c r="L34" s="17" t="n">
        <f aca="false">IF($M13&lt;'bid input'!$M7,L13, 'bid input'!$M7*L13/$M13)</f>
        <v>0</v>
      </c>
      <c r="M34" s="9" t="n">
        <f aca="false">SUM(G34:L34)</f>
        <v>0</v>
      </c>
    </row>
    <row collapsed="false" customFormat="false" customHeight="false" hidden="true" ht="14" outlineLevel="1" r="35">
      <c r="B35" s="0" t="n">
        <f aca="false">+'bid input'!B8</f>
        <v>1104139</v>
      </c>
      <c r="C35" s="12"/>
      <c r="E35" s="13"/>
      <c r="F35" s="14" t="inlineStr">
        <f aca="false">+'bid input'!K8</f>
        <is>
          <t/>
        </is>
      </c>
      <c r="G35" s="17" t="n">
        <f aca="false">IF($M14&lt;'bid input'!$M8,G14, 'bid input'!$M8*G14/$M14)</f>
        <v>0</v>
      </c>
      <c r="H35" s="17" t="n">
        <f aca="false">IF($M14&lt;'bid input'!$M8,H14, 'bid input'!$M8*H14/$M14)</f>
        <v>0</v>
      </c>
      <c r="I35" s="17" t="n">
        <f aca="false">IF($M14&lt;'bid input'!$M8,I14, 'bid input'!$M8*I14/$M14)</f>
        <v>0</v>
      </c>
      <c r="J35" s="17" t="n">
        <f aca="false">IF($M14&lt;'bid input'!$M8,J14, 'bid input'!$M8*J14/$M14)</f>
        <v>0</v>
      </c>
      <c r="K35" s="17" t="n">
        <f aca="false">IF($M14&lt;'bid input'!$M8,K14, 'bid input'!$M8*K14/$M14)</f>
        <v>0</v>
      </c>
      <c r="L35" s="17" t="n">
        <f aca="false">IF($M14&lt;'bid input'!$M8,L14, 'bid input'!$M8*L14/$M14)</f>
        <v>0</v>
      </c>
      <c r="M35" s="9" t="n">
        <f aca="false">SUM(G35:L35)</f>
        <v>0</v>
      </c>
    </row>
    <row collapsed="false" customFormat="false" customHeight="false" hidden="true" ht="14" outlineLevel="1" r="36">
      <c r="B36" s="0" t="n">
        <f aca="false">+'bid input'!B9</f>
        <v>1104140</v>
      </c>
      <c r="C36" s="12"/>
      <c r="E36" s="13"/>
      <c r="F36" s="14" t="inlineStr">
        <f aca="false">+'bid input'!K9</f>
        <is>
          <t/>
        </is>
      </c>
      <c r="G36" s="17" t="n">
        <f aca="false">IF($M15&lt;'bid input'!$M9,G15, 'bid input'!$M9*G15/$M15)</f>
        <v>0</v>
      </c>
      <c r="H36" s="17" t="n">
        <f aca="false">IF($M15&lt;'bid input'!$M9,H15, 'bid input'!$M9*H15/$M15)</f>
        <v>0</v>
      </c>
      <c r="I36" s="17" t="n">
        <f aca="false">IF($M15&lt;'bid input'!$M9,I15, 'bid input'!$M9*I15/$M15)</f>
        <v>0</v>
      </c>
      <c r="J36" s="17" t="n">
        <f aca="false">IF($M15&lt;'bid input'!$M9,J15, 'bid input'!$M9*J15/$M15)</f>
        <v>0</v>
      </c>
      <c r="K36" s="17" t="n">
        <f aca="false">IF($M15&lt;'bid input'!$M9,K15, 'bid input'!$M9*K15/$M15)</f>
        <v>74000</v>
      </c>
      <c r="L36" s="17" t="n">
        <f aca="false">IF($M15&lt;'bid input'!$M9,L15, 'bid input'!$M9*L15/$M15)</f>
        <v>0</v>
      </c>
      <c r="M36" s="9" t="n">
        <f aca="false">SUM(G36:L36)</f>
        <v>74000</v>
      </c>
    </row>
    <row collapsed="false" customFormat="false" customHeight="false" hidden="true" ht="14" outlineLevel="1" r="37">
      <c r="B37" s="0" t="n">
        <f aca="false">+'bid input'!B10</f>
        <v>1104141</v>
      </c>
      <c r="C37" s="12"/>
      <c r="E37" s="13"/>
      <c r="F37" s="14" t="inlineStr">
        <f aca="false">+'bid input'!K10</f>
        <is>
          <t/>
        </is>
      </c>
      <c r="G37" s="17" t="n">
        <f aca="false">IF($M16&lt;'bid input'!$M10,G16, 'bid input'!$M10*G16/$M16)</f>
        <v>0</v>
      </c>
      <c r="H37" s="17" t="n">
        <f aca="false">IF($M16&lt;'bid input'!$M10,H16, 'bid input'!$M10*H16/$M16)</f>
        <v>0</v>
      </c>
      <c r="I37" s="17" t="n">
        <f aca="false">IF($M16&lt;'bid input'!$M10,I16, 'bid input'!$M10*I16/$M16)</f>
        <v>0</v>
      </c>
      <c r="J37" s="17" t="n">
        <f aca="false">IF($M16&lt;'bid input'!$M10,J16, 'bid input'!$M10*J16/$M16)</f>
        <v>0</v>
      </c>
      <c r="K37" s="17" t="n">
        <f aca="false">IF($M16&lt;'bid input'!$M10,K16, 'bid input'!$M10*K16/$M16)</f>
        <v>0</v>
      </c>
      <c r="L37" s="17" t="n">
        <f aca="false">IF($M16&lt;'bid input'!$M10,L16, 'bid input'!$M10*L16/$M16)</f>
        <v>0</v>
      </c>
      <c r="M37" s="9" t="n">
        <f aca="false">SUM(G37:L37)</f>
        <v>0</v>
      </c>
    </row>
    <row collapsed="false" customFormat="false" customHeight="false" hidden="true" ht="14" outlineLevel="1" r="38">
      <c r="B38" s="0" t="n">
        <f aca="false">+'bid input'!B11</f>
        <v>1104159</v>
      </c>
      <c r="C38" s="12"/>
      <c r="E38" s="13"/>
      <c r="F38" s="14" t="inlineStr">
        <f aca="false">+'bid input'!K11</f>
        <is>
          <t/>
        </is>
      </c>
      <c r="G38" s="17" t="n">
        <f aca="false">IF($M17&lt;'bid input'!$M11,G17, 'bid input'!$M11*G17/$M17)</f>
        <v>0</v>
      </c>
      <c r="H38" s="17" t="n">
        <f aca="false">IF($M17&lt;'bid input'!$M11,H17, 'bid input'!$M11*H17/$M17)</f>
        <v>0</v>
      </c>
      <c r="I38" s="17" t="n">
        <f aca="false">IF($M17&lt;'bid input'!$M11,I17, 'bid input'!$M11*I17/$M17)</f>
        <v>0</v>
      </c>
      <c r="J38" s="17" t="n">
        <f aca="false">IF($M17&lt;'bid input'!$M11,J17, 'bid input'!$M11*J17/$M17)</f>
        <v>0</v>
      </c>
      <c r="K38" s="17" t="n">
        <f aca="false">IF($M17&lt;'bid input'!$M11,K17, 'bid input'!$M11*K17/$M17)</f>
        <v>0</v>
      </c>
      <c r="L38" s="17" t="n">
        <f aca="false">IF($M17&lt;'bid input'!$M11,L17, 'bid input'!$M11*L17/$M17)</f>
        <v>0</v>
      </c>
      <c r="M38" s="9" t="n">
        <f aca="false">SUM(G38:L38)</f>
        <v>0</v>
      </c>
    </row>
    <row collapsed="false" customFormat="false" customHeight="false" hidden="true" ht="14" outlineLevel="1" r="39">
      <c r="B39" s="0" t="n">
        <f aca="false">+'bid input'!B12</f>
        <v>1104161</v>
      </c>
      <c r="C39" s="12"/>
      <c r="E39" s="13"/>
      <c r="F39" s="14" t="inlineStr">
        <f aca="false">+'bid input'!K12</f>
        <is>
          <t/>
        </is>
      </c>
      <c r="G39" s="17" t="n">
        <f aca="false">IF($M18&lt;'bid input'!$M12,G18, 'bid input'!$M12*G18/$M18)</f>
        <v>0</v>
      </c>
      <c r="H39" s="17" t="n">
        <f aca="false">IF($M18&lt;'bid input'!$M12,H18, 'bid input'!$M12*H18/$M18)</f>
        <v>0</v>
      </c>
      <c r="I39" s="17" t="n">
        <f aca="false">IF($M18&lt;'bid input'!$M12,I18, 'bid input'!$M12*I18/$M18)</f>
        <v>0</v>
      </c>
      <c r="J39" s="17" t="n">
        <f aca="false">IF($M18&lt;'bid input'!$M12,J18, 'bid input'!$M12*J18/$M18)</f>
        <v>0</v>
      </c>
      <c r="K39" s="17" t="n">
        <f aca="false">IF($M18&lt;'bid input'!$M12,K18, 'bid input'!$M12*K18/$M18)</f>
        <v>0</v>
      </c>
      <c r="L39" s="17" t="n">
        <f aca="false">IF($M18&lt;'bid input'!$M12,L18, 'bid input'!$M12*L18/$M18)</f>
        <v>0</v>
      </c>
      <c r="M39" s="9" t="n">
        <f aca="false">SUM(G39:L39)</f>
        <v>0</v>
      </c>
    </row>
    <row collapsed="false" customFormat="false" customHeight="false" hidden="true" ht="14" outlineLevel="1" r="40">
      <c r="B40" s="0" t="n">
        <f aca="false">+'bid input'!B13</f>
        <v>1104145</v>
      </c>
      <c r="C40" s="12"/>
      <c r="E40" s="13"/>
      <c r="F40" s="14" t="inlineStr">
        <f aca="false">+'bid input'!K13</f>
        <is>
          <t/>
        </is>
      </c>
      <c r="G40" s="17" t="n">
        <f aca="false">IF($M19&lt;'bid input'!$M13,G19, 'bid input'!$M13*G19/$M19)</f>
        <v>31872.5</v>
      </c>
      <c r="H40" s="17" t="n">
        <f aca="false">IF($M19&lt;'bid input'!$M13,H19, 'bid input'!$M13*H19/$M19)</f>
        <v>0</v>
      </c>
      <c r="I40" s="17" t="n">
        <f aca="false">IF($M19&lt;'bid input'!$M13,I19, 'bid input'!$M13*I19/$M19)</f>
        <v>0</v>
      </c>
      <c r="J40" s="17" t="n">
        <f aca="false">IF($M19&lt;'bid input'!$M13,J19, 'bid input'!$M13*J19/$M19)</f>
        <v>0</v>
      </c>
      <c r="K40" s="17" t="n">
        <f aca="false">IF($M19&lt;'bid input'!$M13,K19, 'bid input'!$M13*K19/$M19)</f>
        <v>0</v>
      </c>
      <c r="L40" s="17" t="n">
        <f aca="false">IF($M19&lt;'bid input'!$M13,L19, 'bid input'!$M13*L19/$M19)</f>
        <v>0</v>
      </c>
      <c r="M40" s="9" t="n">
        <f aca="false">SUM(G40:L40)</f>
        <v>31872.5</v>
      </c>
    </row>
    <row collapsed="false" customFormat="false" customHeight="false" hidden="true" ht="14" outlineLevel="1" r="41">
      <c r="B41" s="0" t="n">
        <f aca="false">+'bid input'!B14</f>
        <v>1104133</v>
      </c>
      <c r="C41" s="12"/>
      <c r="E41" s="13"/>
      <c r="F41" s="14" t="inlineStr">
        <f aca="false">+'bid input'!K14</f>
        <is>
          <t/>
        </is>
      </c>
      <c r="G41" s="17" t="n">
        <f aca="false">IF($M20&lt;'bid input'!$M14,G20, 'bid input'!$M14*G20/$M20)</f>
        <v>0</v>
      </c>
      <c r="H41" s="17" t="n">
        <f aca="false">IF($M20&lt;'bid input'!$M14,H20, 'bid input'!$M14*H20/$M20)</f>
        <v>0</v>
      </c>
      <c r="I41" s="17" t="n">
        <f aca="false">IF($M20&lt;'bid input'!$M14,I20, 'bid input'!$M14*I20/$M20)</f>
        <v>0</v>
      </c>
      <c r="J41" s="17" t="n">
        <f aca="false">IF($M20&lt;'bid input'!$M14,J20, 'bid input'!$M14*J20/$M20)</f>
        <v>105080</v>
      </c>
      <c r="K41" s="17" t="n">
        <f aca="false">IF($M20&lt;'bid input'!$M14,K20, 'bid input'!$M14*K20/$M20)</f>
        <v>0</v>
      </c>
      <c r="L41" s="17" t="n">
        <f aca="false">IF($M20&lt;'bid input'!$M14,L20, 'bid input'!$M14*L20/$M20)</f>
        <v>0</v>
      </c>
      <c r="M41" s="9" t="n">
        <f aca="false">SUM(G41:L41)</f>
        <v>105080</v>
      </c>
    </row>
    <row collapsed="false" customFormat="false" customHeight="false" hidden="true" ht="14" outlineLevel="1" r="42">
      <c r="B42" s="0" t="n">
        <f aca="false">+'bid input'!B15</f>
        <v>1104149</v>
      </c>
      <c r="C42" s="12"/>
      <c r="E42" s="13"/>
      <c r="F42" s="14" t="inlineStr">
        <f aca="false">+'bid input'!K15</f>
        <is>
          <t/>
        </is>
      </c>
      <c r="G42" s="17" t="n">
        <f aca="false">IF($M21&lt;'bid input'!$M15,G21, 'bid input'!$M15*G21/$M21)</f>
        <v>0</v>
      </c>
      <c r="H42" s="17" t="n">
        <f aca="false">IF($M21&lt;'bid input'!$M15,H21, 'bid input'!$M15*H21/$M21)</f>
        <v>0</v>
      </c>
      <c r="I42" s="17" t="n">
        <f aca="false">IF($M21&lt;'bid input'!$M15,I21, 'bid input'!$M15*I21/$M21)</f>
        <v>0</v>
      </c>
      <c r="J42" s="17" t="n">
        <f aca="false">IF($M21&lt;'bid input'!$M15,J21, 'bid input'!$M15*J21/$M21)</f>
        <v>0</v>
      </c>
      <c r="K42" s="17" t="n">
        <f aca="false">IF($M21&lt;'bid input'!$M15,K21, 'bid input'!$M15*K21/$M21)</f>
        <v>0</v>
      </c>
      <c r="L42" s="17" t="n">
        <f aca="false">IF($M21&lt;'bid input'!$M15,L21, 'bid input'!$M15*L21/$M21)</f>
        <v>0</v>
      </c>
      <c r="M42" s="9" t="n">
        <f aca="false">SUM(G42:L42)</f>
        <v>0</v>
      </c>
    </row>
    <row collapsed="false" customFormat="false" customHeight="false" hidden="true" ht="14" outlineLevel="1" r="43">
      <c r="B43" s="0" t="n">
        <f aca="false">+'bid input'!B16</f>
        <v>1104151</v>
      </c>
      <c r="C43" s="12"/>
      <c r="E43" s="13"/>
      <c r="F43" s="14" t="inlineStr">
        <f aca="false">+'bid input'!K16</f>
        <is>
          <t/>
        </is>
      </c>
      <c r="G43" s="17" t="n">
        <f aca="false">IF($M22&lt;'bid input'!$M16,G22, 'bid input'!$M16*G22/$M22)</f>
        <v>0</v>
      </c>
      <c r="H43" s="17" t="n">
        <f aca="false">IF($M22&lt;'bid input'!$M16,H22, 'bid input'!$M16*H22/$M22)</f>
        <v>0</v>
      </c>
      <c r="I43" s="17" t="n">
        <f aca="false">IF($M22&lt;'bid input'!$M16,I22, 'bid input'!$M16*I22/$M22)</f>
        <v>0</v>
      </c>
      <c r="J43" s="17" t="n">
        <f aca="false">IF($M22&lt;'bid input'!$M16,J22, 'bid input'!$M16*J22/$M22)</f>
        <v>0</v>
      </c>
      <c r="K43" s="17" t="n">
        <f aca="false">IF($M22&lt;'bid input'!$M16,K22, 'bid input'!$M16*K22/$M22)</f>
        <v>0</v>
      </c>
      <c r="L43" s="17" t="n">
        <f aca="false">IF($M22&lt;'bid input'!$M16,L22, 'bid input'!$M16*L22/$M22)</f>
        <v>0</v>
      </c>
      <c r="M43" s="9" t="n">
        <f aca="false">SUM(G43:L43)</f>
        <v>0</v>
      </c>
    </row>
    <row collapsed="false" customFormat="false" customHeight="false" hidden="true" ht="14" outlineLevel="1" r="44">
      <c r="B44" s="0" t="n">
        <f aca="false">+'bid input'!B17</f>
        <v>1104131</v>
      </c>
      <c r="C44" s="12"/>
      <c r="E44" s="13"/>
      <c r="F44" s="14" t="inlineStr">
        <f aca="false">+'bid input'!K17</f>
        <is>
          <t/>
        </is>
      </c>
      <c r="G44" s="17" t="n">
        <f aca="false">IF($M23&lt;'bid input'!$M17,G23, 'bid input'!$M17*G23/$M23)</f>
        <v>0</v>
      </c>
      <c r="H44" s="17" t="n">
        <f aca="false">IF($M23&lt;'bid input'!$M17,H23, 'bid input'!$M17*H23/$M23)</f>
        <v>0</v>
      </c>
      <c r="I44" s="17" t="n">
        <f aca="false">IF($M23&lt;'bid input'!$M17,I23, 'bid input'!$M17*I23/$M23)</f>
        <v>0</v>
      </c>
      <c r="J44" s="17" t="n">
        <f aca="false">IF($M23&lt;'bid input'!$M17,J23, 'bid input'!$M17*J23/$M23)</f>
        <v>0</v>
      </c>
      <c r="K44" s="17" t="n">
        <f aca="false">IF($M23&lt;'bid input'!$M17,K23, 'bid input'!$M17*K23/$M23)</f>
        <v>0</v>
      </c>
      <c r="L44" s="17" t="n">
        <f aca="false">IF($M23&lt;'bid input'!$M17,L23, 'bid input'!$M17*L23/$M23)</f>
        <v>0</v>
      </c>
      <c r="M44" s="9" t="n">
        <f aca="false">SUM(G44:L44)</f>
        <v>0</v>
      </c>
    </row>
    <row collapsed="false" customFormat="false" customHeight="false" hidden="true" ht="14" outlineLevel="1" r="45">
      <c r="B45" s="0" t="n">
        <f aca="false">+'bid input'!B18</f>
        <v>1104155</v>
      </c>
      <c r="C45" s="12"/>
      <c r="E45" s="13"/>
      <c r="F45" s="14" t="inlineStr">
        <f aca="false">+'bid input'!K18</f>
        <is>
          <t/>
        </is>
      </c>
      <c r="G45" s="17" t="n">
        <f aca="false">IF($M24&lt;'bid input'!$M18,G24, 'bid input'!$M18*G24/$M24)</f>
        <v>0</v>
      </c>
      <c r="H45" s="17" t="n">
        <f aca="false">IF($M24&lt;'bid input'!$M18,H24, 'bid input'!$M18*H24/$M24)</f>
        <v>0</v>
      </c>
      <c r="I45" s="17" t="n">
        <f aca="false">IF($M24&lt;'bid input'!$M18,I24, 'bid input'!$M18*I24/$M24)</f>
        <v>0</v>
      </c>
      <c r="J45" s="17" t="n">
        <f aca="false">IF($M24&lt;'bid input'!$M18,J24, 'bid input'!$M18*J24/$M24)</f>
        <v>0</v>
      </c>
      <c r="K45" s="17" t="n">
        <f aca="false">IF($M24&lt;'bid input'!$M18,K24, 'bid input'!$M18*K24/$M24)</f>
        <v>103085</v>
      </c>
      <c r="L45" s="17" t="n">
        <f aca="false">IF($M24&lt;'bid input'!$M18,L24, 'bid input'!$M18*L24/$M24)</f>
        <v>0</v>
      </c>
      <c r="M45" s="9" t="n">
        <f aca="false">SUM(G45:L45)</f>
        <v>103085</v>
      </c>
    </row>
    <row collapsed="false" customFormat="false" customHeight="false" hidden="true" ht="14" outlineLevel="1" r="46">
      <c r="B46" s="0" t="n">
        <f aca="false">+'bid input'!B19</f>
        <v>1104156</v>
      </c>
      <c r="C46" s="12"/>
      <c r="E46" s="13"/>
      <c r="F46" s="14" t="inlineStr">
        <f aca="false">+'bid input'!K19</f>
        <is>
          <t/>
        </is>
      </c>
      <c r="G46" s="17" t="n">
        <f aca="false">IF($M25&lt;'bid input'!$M19,G25, 'bid input'!$M19*G25/$M25)</f>
        <v>0</v>
      </c>
      <c r="H46" s="17" t="n">
        <f aca="false">IF($M25&lt;'bid input'!$M19,H25, 'bid input'!$M19*H25/$M25)</f>
        <v>0</v>
      </c>
      <c r="I46" s="17" t="n">
        <f aca="false">IF($M25&lt;'bid input'!$M19,I25, 'bid input'!$M19*I25/$M25)</f>
        <v>0</v>
      </c>
      <c r="J46" s="17" t="n">
        <f aca="false">IF($M25&lt;'bid input'!$M19,J25, 'bid input'!$M19*J25/$M25)</f>
        <v>0</v>
      </c>
      <c r="K46" s="17" t="n">
        <f aca="false">IF($M25&lt;'bid input'!$M19,K25, 'bid input'!$M19*K25/$M25)</f>
        <v>0</v>
      </c>
      <c r="L46" s="17" t="n">
        <f aca="false">IF($M25&lt;'bid input'!$M19,L25, 'bid input'!$M19*L25/$M25)</f>
        <v>0</v>
      </c>
      <c r="M46" s="9" t="n">
        <f aca="false">SUM(G46:L46)</f>
        <v>0</v>
      </c>
    </row>
    <row collapsed="false" customFormat="false" customHeight="false" hidden="true" ht="14" outlineLevel="1" r="47">
      <c r="B47" s="0" t="n">
        <f aca="false">+'bid input'!B20</f>
        <v>1104157</v>
      </c>
      <c r="C47" s="12"/>
      <c r="E47" s="13"/>
      <c r="F47" s="14" t="inlineStr">
        <f aca="false">+'bid input'!K20</f>
        <is>
          <t/>
        </is>
      </c>
      <c r="G47" s="17" t="n">
        <f aca="false">IF($M26&lt;'bid input'!$M20,G26, 'bid input'!$M20*G26/$M26)</f>
        <v>0</v>
      </c>
      <c r="H47" s="17" t="n">
        <f aca="false">IF($M26&lt;'bid input'!$M20,H26, 'bid input'!$M20*H26/$M26)</f>
        <v>0</v>
      </c>
      <c r="I47" s="17" t="n">
        <f aca="false">IF($M26&lt;'bid input'!$M20,I26, 'bid input'!$M20*I26/$M26)</f>
        <v>0</v>
      </c>
      <c r="J47" s="17" t="n">
        <f aca="false">IF($M26&lt;'bid input'!$M20,J26, 'bid input'!$M20*J26/$M26)</f>
        <v>0</v>
      </c>
      <c r="K47" s="17" t="n">
        <f aca="false">IF($M26&lt;'bid input'!$M20,K26, 'bid input'!$M20*K26/$M26)</f>
        <v>0</v>
      </c>
      <c r="L47" s="17" t="n">
        <f aca="false">IF($M26&lt;'bid input'!$M20,L26, 'bid input'!$M20*L26/$M26)</f>
        <v>0</v>
      </c>
      <c r="M47" s="9" t="n">
        <f aca="false">SUM(G47:L47)</f>
        <v>0</v>
      </c>
    </row>
    <row collapsed="false" customFormat="false" customHeight="false" hidden="true" ht="14" outlineLevel="1" r="48">
      <c r="B48" s="0" t="n">
        <f aca="false">+'bid input'!B21</f>
        <v>1104158</v>
      </c>
      <c r="C48" s="12"/>
      <c r="E48" s="13"/>
      <c r="F48" s="14" t="inlineStr">
        <f aca="false">+'bid input'!K21</f>
        <is>
          <t/>
        </is>
      </c>
      <c r="G48" s="17" t="n">
        <f aca="false">IF($M27&lt;'bid input'!$M21,G27, 'bid input'!$M21*G27/$M27)</f>
        <v>63745</v>
      </c>
      <c r="H48" s="17" t="n">
        <f aca="false">IF($M27&lt;'bid input'!$M21,H27, 'bid input'!$M21*H27/$M27)</f>
        <v>0</v>
      </c>
      <c r="I48" s="17" t="n">
        <f aca="false">IF($M27&lt;'bid input'!$M21,I27, 'bid input'!$M21*I27/$M27)</f>
        <v>0</v>
      </c>
      <c r="J48" s="17" t="n">
        <f aca="false">IF($M27&lt;'bid input'!$M21,J27, 'bid input'!$M21*J27/$M27)</f>
        <v>0</v>
      </c>
      <c r="K48" s="17" t="n">
        <f aca="false">IF($M27&lt;'bid input'!$M21,K27, 'bid input'!$M21*K27/$M27)</f>
        <v>0</v>
      </c>
      <c r="L48" s="17" t="n">
        <f aca="false">IF($M27&lt;'bid input'!$M21,L27, 'bid input'!$M21*L27/$M27)</f>
        <v>0</v>
      </c>
      <c r="M48" s="9" t="n">
        <f aca="false">SUM(G48:L48)</f>
        <v>63745</v>
      </c>
    </row>
    <row collapsed="false" customFormat="false" customHeight="false" hidden="true" ht="14" outlineLevel="1" r="49">
      <c r="D49" s="12"/>
      <c r="E49" s="13"/>
      <c r="F49" s="14"/>
      <c r="G49" s="9"/>
      <c r="H49" s="9"/>
      <c r="I49" s="9"/>
      <c r="J49" s="9"/>
      <c r="K49" s="9"/>
      <c r="L49" s="9"/>
    </row>
    <row collapsed="false" customFormat="false" customHeight="false" hidden="false" ht="14" outlineLevel="0" r="50">
      <c r="D50" s="18" t="s">
        <v>39</v>
      </c>
      <c r="E50" s="19"/>
      <c r="F50" s="19"/>
      <c r="G50" s="20" t="n">
        <f aca="false">SUM(G29:G49)</f>
        <v>95617.5</v>
      </c>
      <c r="H50" s="20" t="n">
        <f aca="false">SUM(H29:H49)</f>
        <v>0</v>
      </c>
      <c r="I50" s="20" t="n">
        <f aca="false">SUM(I29:I49)</f>
        <v>95975</v>
      </c>
      <c r="J50" s="20" t="n">
        <f aca="false">SUM(J29:J49)</f>
        <v>315240</v>
      </c>
      <c r="K50" s="20" t="n">
        <f aca="false">SUM(K29:K49)</f>
        <v>177085</v>
      </c>
      <c r="L50" s="20" t="n">
        <f aca="false">SUM(L29:L49)</f>
        <v>0</v>
      </c>
      <c r="M50" s="21" t="n">
        <f aca="false">SUM(G50:L50)</f>
        <v>683917.5</v>
      </c>
    </row>
    <row collapsed="false" customFormat="false" customHeight="false" hidden="false" ht="14" outlineLevel="0" r="51">
      <c r="D51" s="22" t="s">
        <v>40</v>
      </c>
      <c r="E51" s="23"/>
      <c r="F51" s="23"/>
      <c r="G51" s="24" t="n">
        <f aca="false">+IF(G50&gt;0,SUMPRODUCT($F$29:$F$48,G$29:G$48)/G$50,"")</f>
        <v>0.02</v>
      </c>
      <c r="H51" s="24" t="str">
        <f aca="false">+IF(H50&gt;0,SUMPRODUCT($F$29:$F$48,H$29:H$48)/H$50,"")</f>
        <v/>
      </c>
      <c r="I51" s="24" t="n">
        <f aca="false">+IF(I50&gt;0,SUMPRODUCT($F$29:$F$48,I$29:I$48)/I$50,"")</f>
        <v>0.03</v>
      </c>
      <c r="J51" s="24" t="n">
        <f aca="false">+IF(J50&gt;0,SUMPRODUCT($F$29:$F$48,J$29:J$48)/J$50,"")</f>
        <v>0.0433333333333333</v>
      </c>
      <c r="K51" s="24" t="n">
        <f aca="false">+IF(K50&gt;0,SUMPRODUCT($F$29:$F$48,K$29:K$48)/K$50,"")</f>
        <v>0.0228170440748793</v>
      </c>
      <c r="L51" s="24" t="str">
        <f aca="false">+IF(L50&gt;0,SUMPRODUCT($F$29:$F$48,L$29:L$48)/L$50,"")</f>
        <v/>
      </c>
      <c r="M51" s="25" t="n">
        <f aca="false">+SUMPRODUCT(G50:L50,G51:L51)/M50</f>
        <v>0.0328878208994506</v>
      </c>
    </row>
    <row collapsed="false" customFormat="false" customHeight="false" hidden="false" ht="14" outlineLevel="0" r="53">
      <c r="D53" s="0" t="s">
        <v>41</v>
      </c>
      <c r="G53" s="9" t="n">
        <f aca="false">+G4-G50</f>
        <v>223107.5</v>
      </c>
      <c r="H53" s="9" t="n">
        <f aca="false">+H4-H50</f>
        <v>375685</v>
      </c>
      <c r="I53" s="9" t="n">
        <f aca="false">+I4-I50</f>
        <v>383900</v>
      </c>
      <c r="J53" s="9" t="n">
        <f aca="false">+J4-J50</f>
        <v>210160</v>
      </c>
      <c r="K53" s="9" t="n">
        <f aca="false">+K4-K50</f>
        <v>338340</v>
      </c>
      <c r="L53" s="9" t="n">
        <f aca="false">+L4-L50</f>
        <v>485000</v>
      </c>
      <c r="M53" s="9" t="n">
        <f aca="false">SUM(G53:L53)</f>
        <v>2016192.5</v>
      </c>
    </row>
    <row collapsed="false" customFormat="false" customHeight="false" hidden="false" ht="14" outlineLevel="0" r="54">
      <c r="D54" s="0" t="s">
        <v>42</v>
      </c>
      <c r="G54" s="26" t="str">
        <f aca="false">+IF(G53=0,"NA",IF(G53&lt;0,"OVER","UNDER"))</f>
        <v>UNDER</v>
      </c>
      <c r="H54" s="26" t="str">
        <f aca="false">+IF(H53=0,"NA",IF(H53&lt;0,"OVER","UNDER"))</f>
        <v>UNDER</v>
      </c>
      <c r="I54" s="26" t="str">
        <f aca="false">+IF(I53=0,"NA",IF(I53&lt;0,"OVER","UNDER"))</f>
        <v>UNDER</v>
      </c>
      <c r="J54" s="26" t="str">
        <f aca="false">+IF(J53=0,"NA",IF(J53&lt;0,"OVER","UNDER"))</f>
        <v>UNDER</v>
      </c>
      <c r="K54" s="26" t="str">
        <f aca="false">+IF(K53=0,"NA",IF(K53&lt;0,"OVER","UNDER"))</f>
        <v>UNDER</v>
      </c>
      <c r="L54" s="26" t="str">
        <f aca="false">+IF(L53=0,"NA",IF(L53&lt;0,"OVER","UNDER"))</f>
        <v>UNDER</v>
      </c>
      <c r="M54" s="26" t="str">
        <f aca="false">+IF(M53=0,"NA",IF(M53&lt;0,"OVER","UNDER"))</f>
        <v>UNDER</v>
      </c>
    </row>
    <row collapsed="false" customFormat="false" customHeight="false" hidden="false" ht="14" outlineLevel="0" r="56">
      <c r="A56" s="0" t="s">
        <v>43</v>
      </c>
    </row>
    <row collapsed="false" customFormat="false" customHeight="false" hidden="true" ht="28.35" outlineLevel="1" r="57">
      <c r="B57" s="10" t="s">
        <v>35</v>
      </c>
      <c r="C57" s="10" t="s">
        <v>36</v>
      </c>
      <c r="D57" s="10" t="s">
        <v>22</v>
      </c>
      <c r="E57" s="11" t="s">
        <v>44</v>
      </c>
      <c r="F57" s="10" t="s">
        <v>45</v>
      </c>
      <c r="G57" s="27" t="inlineStr">
        <f aca="false">+F48</f>
        <is>
          <t/>
        </is>
      </c>
      <c r="H57" s="27" t="inlineStr">
        <f aca="false">+G57</f>
        <is>
          <t/>
        </is>
      </c>
      <c r="I57" s="27" t="inlineStr">
        <f aca="false">+F32</f>
        <is>
          <t/>
        </is>
      </c>
      <c r="J57" s="27" t="inlineStr">
        <f aca="false">+F33</f>
        <is>
          <t/>
        </is>
      </c>
      <c r="K57" s="27" t="inlineStr">
        <f aca="false">+F36</f>
        <is>
          <t/>
        </is>
      </c>
      <c r="L57" s="27" t="inlineStr">
        <f aca="false">+MAX(F29:F48)</f>
        <is>
          <t/>
        </is>
      </c>
    </row>
    <row collapsed="false" customFormat="false" customHeight="false" hidden="true" ht="14.9" outlineLevel="1" r="58">
      <c r="B58" s="28" t="n">
        <f aca="false">+B8</f>
        <v>1104134</v>
      </c>
      <c r="C58" s="28" t="n">
        <f aca="false">+C8</f>
        <v>0</v>
      </c>
      <c r="D58" s="0" t="n">
        <f aca="false">D8</f>
        <v>0</v>
      </c>
      <c r="E58" s="29" t="str">
        <f aca="false">+IF('bid input'!P2=1,"Y","N")</f>
        <v>N</v>
      </c>
      <c r="F58" s="10"/>
      <c r="G58" s="9" t="n">
        <f aca="false">+IF(AND($E58="Y",$C58=G$2,$C58&gt;0),'bid input'!$F2,IF(AND($E58="Y",$D58=G$3,$C58=0),'bid input'!$F2,0))*G$4</f>
        <v>0</v>
      </c>
      <c r="H58" s="9" t="n">
        <f aca="false">+IF(AND($E58="Y",$C58=H$2,$C58&gt;0),'bid input'!$F2,IF(AND($E58="Y",$D58=H$3,$C58=0),'bid input'!$F2,0))*H$4</f>
        <v>0</v>
      </c>
      <c r="I58" s="9" t="n">
        <f aca="false">+IF(AND($E58="Y",$C58=I$2,$C58&gt;0),'bid input'!$F2,IF(AND($E58="Y",$D58=I$3,$C58=0),'bid input'!$F2,0))*I$4</f>
        <v>0</v>
      </c>
      <c r="J58" s="9" t="n">
        <f aca="false">+IF(AND($E58="Y",$C58=J$2,$C58&gt;0),'bid input'!$F2,IF(AND($E58="Y",$D58=J$3,$C58=0),'bid input'!$F2,0))*J$4</f>
        <v>0</v>
      </c>
      <c r="K58" s="9" t="n">
        <f aca="false">+IF(AND($E58="Y",$C58=K$2,$C58&gt;0),'bid input'!$F2,IF(AND($E58="Y",$D58=K$3,$C58=0),'bid input'!$F2,0))*K$4</f>
        <v>0</v>
      </c>
      <c r="L58" s="9" t="n">
        <f aca="false">+IF(AND($E58="Y",$C58=L$2,$C58&gt;0),'bid input'!$F2,IF(AND($E58="Y",$D58=L$3,$C58=0),'bid input'!$F2,0))*L$4</f>
        <v>0</v>
      </c>
      <c r="M58" s="9" t="n">
        <f aca="false">SUM(G58:L58)</f>
        <v>0</v>
      </c>
    </row>
    <row collapsed="false" customFormat="false" customHeight="false" hidden="true" ht="14.9" outlineLevel="1" r="59">
      <c r="B59" s="28" t="n">
        <f aca="false">+B9</f>
        <v>1104143</v>
      </c>
      <c r="C59" s="28" t="n">
        <f aca="false">+C9</f>
        <v>0</v>
      </c>
      <c r="D59" s="0" t="str">
        <f aca="false">D9</f>
        <v>ABC Mortgage</v>
      </c>
      <c r="E59" s="29" t="str">
        <f aca="false">+IF('bid input'!P3=1,"Y","N")</f>
        <v>Y</v>
      </c>
      <c r="F59" s="10"/>
      <c r="G59" s="9" t="n">
        <f aca="false">+IF(AND($E59="Y",$C59=G$2,$C59&gt;0),'bid input'!$F3,IF(AND($E59="Y",$D59=G$3,$C59=0),'bid input'!$F3,0))*G$4</f>
        <v>63745</v>
      </c>
      <c r="H59" s="9" t="n">
        <f aca="false">+IF(AND($E59="Y",$C59=H$2,$C59&gt;0),'bid input'!$F3,IF(AND($E59="Y",$D59=H$3,$C59=0),'bid input'!$F3,0))*H$4</f>
        <v>75137</v>
      </c>
      <c r="I59" s="9" t="n">
        <f aca="false">+IF(AND($E59="Y",$C59=I$2,$C59&gt;0),'bid input'!$F3,IF(AND($E59="Y",$D59=I$3,$C59=0),'bid input'!$F3,0))*I$4</f>
        <v>0</v>
      </c>
      <c r="J59" s="9" t="n">
        <f aca="false">+IF(AND($E59="Y",$C59=J$2,$C59&gt;0),'bid input'!$F3,IF(AND($E59="Y",$D59=J$3,$C59=0),'bid input'!$F3,0))*J$4</f>
        <v>0</v>
      </c>
      <c r="K59" s="9" t="n">
        <f aca="false">+IF(AND($E59="Y",$C59=K$2,$C59&gt;0),'bid input'!$F3,IF(AND($E59="Y",$D59=K$3,$C59=0),'bid input'!$F3,0))*K$4</f>
        <v>0</v>
      </c>
      <c r="L59" s="9" t="n">
        <f aca="false">+IF(AND($E59="Y",$C59=L$2,$C59&gt;0),'bid input'!$F3,IF(AND($E59="Y",$D59=L$3,$C59=0),'bid input'!$F3,0))*L$4</f>
        <v>0</v>
      </c>
      <c r="M59" s="9" t="n">
        <f aca="false">SUM(G59:L59)</f>
        <v>138882</v>
      </c>
    </row>
    <row collapsed="false" customFormat="false" customHeight="false" hidden="true" ht="14.9" outlineLevel="1" r="60">
      <c r="B60" s="28" t="n">
        <f aca="false">+B10</f>
        <v>1104154</v>
      </c>
      <c r="C60" s="28" t="n">
        <f aca="false">+C10</f>
        <v>0</v>
      </c>
      <c r="D60" s="0" t="n">
        <f aca="false">D10</f>
        <v>0</v>
      </c>
      <c r="E60" s="29" t="str">
        <f aca="false">+IF('bid input'!P4=1,"Y","N")</f>
        <v>N</v>
      </c>
      <c r="F60" s="10"/>
      <c r="G60" s="9" t="n">
        <f aca="false">+IF(AND($E60="Y",$C60=G$2,$C60&gt;0),'bid input'!$F4,IF(AND($E60="Y",$D60=G$3,$C60=0),'bid input'!$F4,0))*G$4</f>
        <v>0</v>
      </c>
      <c r="H60" s="9" t="n">
        <f aca="false">+IF(AND($E60="Y",$C60=H$2,$C60&gt;0),'bid input'!$F4,IF(AND($E60="Y",$D60=H$3,$C60=0),'bid input'!$F4,0))*H$4</f>
        <v>0</v>
      </c>
      <c r="I60" s="9" t="n">
        <f aca="false">+IF(AND($E60="Y",$C60=I$2,$C60&gt;0),'bid input'!$F4,IF(AND($E60="Y",$D60=I$3,$C60=0),'bid input'!$F4,0))*I$4</f>
        <v>0</v>
      </c>
      <c r="J60" s="9" t="n">
        <f aca="false">+IF(AND($E60="Y",$C60=J$2,$C60&gt;0),'bid input'!$F4,IF(AND($E60="Y",$D60=J$3,$C60=0),'bid input'!$F4,0))*J$4</f>
        <v>0</v>
      </c>
      <c r="K60" s="9" t="n">
        <f aca="false">+IF(AND($E60="Y",$C60=K$2,$C60&gt;0),'bid input'!$F4,IF(AND($E60="Y",$D60=K$3,$C60=0),'bid input'!$F4,0))*K$4</f>
        <v>0</v>
      </c>
      <c r="L60" s="9" t="n">
        <f aca="false">+IF(AND($E60="Y",$C60=L$2,$C60&gt;0),'bid input'!$F4,IF(AND($E60="Y",$D60=L$3,$C60=0),'bid input'!$F4,0))*L$4</f>
        <v>0</v>
      </c>
      <c r="M60" s="9" t="n">
        <f aca="false">SUM(G60:L60)</f>
        <v>0</v>
      </c>
    </row>
    <row collapsed="false" customFormat="false" customHeight="false" hidden="true" ht="14.9" outlineLevel="1" r="61">
      <c r="B61" s="28" t="n">
        <f aca="false">+B11</f>
        <v>1104152</v>
      </c>
      <c r="C61" s="28" t="n">
        <f aca="false">+C11</f>
        <v>0</v>
      </c>
      <c r="D61" s="0" t="str">
        <f aca="false">D11</f>
        <v>Prime Lending</v>
      </c>
      <c r="E61" s="29" t="str">
        <f aca="false">+IF('bid input'!P5=1,"Y","N")</f>
        <v>N</v>
      </c>
      <c r="F61" s="10"/>
      <c r="G61" s="9" t="n">
        <f aca="false">+IF(AND($E61="Y",$C61=G$2,$C61&gt;0),'bid input'!$F5,IF(AND($E61="Y",$D61=G$3,$C61=0),'bid input'!$F5,0))*G$4</f>
        <v>0</v>
      </c>
      <c r="H61" s="9" t="n">
        <f aca="false">+IF(AND($E61="Y",$C61=H$2,$C61&gt;0),'bid input'!$F5,IF(AND($E61="Y",$D61=H$3,$C61=0),'bid input'!$F5,0))*H$4</f>
        <v>0</v>
      </c>
      <c r="I61" s="9" t="n">
        <f aca="false">+IF(AND($E61="Y",$C61=I$2,$C61&gt;0),'bid input'!$F5,IF(AND($E61="Y",$D61=I$3,$C61=0),'bid input'!$F5,0))*I$4</f>
        <v>0</v>
      </c>
      <c r="J61" s="9" t="n">
        <f aca="false">+IF(AND($E61="Y",$C61=J$2,$C61&gt;0),'bid input'!$F5,IF(AND($E61="Y",$D61=J$3,$C61=0),'bid input'!$F5,0))*J$4</f>
        <v>0</v>
      </c>
      <c r="K61" s="9" t="n">
        <f aca="false">+IF(AND($E61="Y",$C61=K$2,$C61&gt;0),'bid input'!$F5,IF(AND($E61="Y",$D61=K$3,$C61=0),'bid input'!$F5,0))*K$4</f>
        <v>0</v>
      </c>
      <c r="L61" s="9" t="n">
        <f aca="false">+IF(AND($E61="Y",$C61=L$2,$C61&gt;0),'bid input'!$F5,IF(AND($E61="Y",$D61=L$3,$C61=0),'bid input'!$F5,0))*L$4</f>
        <v>0</v>
      </c>
      <c r="M61" s="9" t="n">
        <f aca="false">SUM(G61:L61)</f>
        <v>0</v>
      </c>
    </row>
    <row collapsed="false" customFormat="false" customHeight="false" hidden="true" ht="14.9" outlineLevel="1" r="62">
      <c r="B62" s="28" t="n">
        <f aca="false">+B12</f>
        <v>1104136</v>
      </c>
      <c r="C62" s="28" t="n">
        <f aca="false">+C12</f>
        <v>4</v>
      </c>
      <c r="D62" s="0" t="n">
        <f aca="false">D12</f>
        <v>0</v>
      </c>
      <c r="E62" s="29" t="str">
        <f aca="false">+IF('bid input'!P6=1,"Y","N")</f>
        <v>N</v>
      </c>
      <c r="F62" s="10"/>
      <c r="G62" s="9" t="n">
        <f aca="false">+IF(AND($E62="Y",$C62=G$2,$C62&gt;0),'bid input'!$F6,IF(AND($E62="Y",$D62=G$3,$C62=0),'bid input'!$F6,0))*G$4</f>
        <v>0</v>
      </c>
      <c r="H62" s="9" t="n">
        <f aca="false">+IF(AND($E62="Y",$C62=H$2,$C62&gt;0),'bid input'!$F6,IF(AND($E62="Y",$D62=H$3,$C62=0),'bid input'!$F6,0))*H$4</f>
        <v>0</v>
      </c>
      <c r="I62" s="9" t="n">
        <f aca="false">+IF(AND($E62="Y",$C62=I$2,$C62&gt;0),'bid input'!$F6,IF(AND($E62="Y",$D62=I$3,$C62=0),'bid input'!$F6,0))*I$4</f>
        <v>0</v>
      </c>
      <c r="J62" s="9" t="n">
        <f aca="false">+IF(AND($E62="Y",$C62=J$2,$C62&gt;0),'bid input'!$F6,IF(AND($E62="Y",$D62=J$3,$C62=0),'bid input'!$F6,0))*J$4</f>
        <v>0</v>
      </c>
      <c r="K62" s="9" t="n">
        <f aca="false">+IF(AND($E62="Y",$C62=K$2,$C62&gt;0),'bid input'!$F6,IF(AND($E62="Y",$D62=K$3,$C62=0),'bid input'!$F6,0))*K$4</f>
        <v>0</v>
      </c>
      <c r="L62" s="9" t="n">
        <f aca="false">+IF(AND($E62="Y",$C62=L$2,$C62&gt;0),'bid input'!$F6,IF(AND($E62="Y",$D62=L$3,$C62=0),'bid input'!$F6,0))*L$4</f>
        <v>0</v>
      </c>
      <c r="M62" s="9" t="n">
        <f aca="false">SUM(G62:L62)</f>
        <v>0</v>
      </c>
    </row>
    <row collapsed="false" customFormat="false" customHeight="false" hidden="true" ht="14.9" outlineLevel="1" r="63">
      <c r="B63" s="28" t="n">
        <f aca="false">+B13</f>
        <v>1104138</v>
      </c>
      <c r="C63" s="28" t="n">
        <f aca="false">+C13</f>
        <v>0</v>
      </c>
      <c r="D63" s="0" t="n">
        <f aca="false">D13</f>
        <v>0</v>
      </c>
      <c r="E63" s="29" t="str">
        <f aca="false">+IF('bid input'!P7=1,"Y","N")</f>
        <v>N</v>
      </c>
      <c r="F63" s="10"/>
      <c r="G63" s="9" t="n">
        <f aca="false">+IF(AND($E63="Y",$C63=G$2,$C63&gt;0),'bid input'!$F7,IF(AND($E63="Y",$D63=G$3,$C63=0),'bid input'!$F7,0))*G$4</f>
        <v>0</v>
      </c>
      <c r="H63" s="9" t="n">
        <f aca="false">+IF(AND($E63="Y",$C63=H$2,$C63&gt;0),'bid input'!$F7,IF(AND($E63="Y",$D63=H$3,$C63=0),'bid input'!$F7,0))*H$4</f>
        <v>0</v>
      </c>
      <c r="I63" s="9" t="n">
        <f aca="false">+IF(AND($E63="Y",$C63=I$2,$C63&gt;0),'bid input'!$F7,IF(AND($E63="Y",$D63=I$3,$C63=0),'bid input'!$F7,0))*I$4</f>
        <v>0</v>
      </c>
      <c r="J63" s="9" t="n">
        <f aca="false">+IF(AND($E63="Y",$C63=J$2,$C63&gt;0),'bid input'!$F7,IF(AND($E63="Y",$D63=J$3,$C63=0),'bid input'!$F7,0))*J$4</f>
        <v>0</v>
      </c>
      <c r="K63" s="9" t="n">
        <f aca="false">+IF(AND($E63="Y",$C63=K$2,$C63&gt;0),'bid input'!$F7,IF(AND($E63="Y",$D63=K$3,$C63=0),'bid input'!$F7,0))*K$4</f>
        <v>0</v>
      </c>
      <c r="L63" s="9" t="n">
        <f aca="false">+IF(AND($E63="Y",$C63=L$2,$C63&gt;0),'bid input'!$F7,IF(AND($E63="Y",$D63=L$3,$C63=0),'bid input'!$F7,0))*L$4</f>
        <v>0</v>
      </c>
      <c r="M63" s="9" t="n">
        <f aca="false">SUM(G63:L63)</f>
        <v>0</v>
      </c>
    </row>
    <row collapsed="false" customFormat="false" customHeight="false" hidden="true" ht="14.9" outlineLevel="1" r="64">
      <c r="B64" s="28" t="n">
        <f aca="false">+B14</f>
        <v>1104139</v>
      </c>
      <c r="C64" s="28" t="n">
        <f aca="false">+C14</f>
        <v>0</v>
      </c>
      <c r="D64" s="0" t="n">
        <f aca="false">D14</f>
        <v>0</v>
      </c>
      <c r="E64" s="29" t="str">
        <f aca="false">+IF('bid input'!P8=1,"Y","N")</f>
        <v>N</v>
      </c>
      <c r="F64" s="10"/>
      <c r="G64" s="9" t="n">
        <f aca="false">+IF(AND($E64="Y",$C64=G$2,$C64&gt;0),'bid input'!$F8,IF(AND($E64="Y",$D64=G$3,$C64=0),'bid input'!$F8,0))*G$4</f>
        <v>0</v>
      </c>
      <c r="H64" s="9" t="n">
        <f aca="false">+IF(AND($E64="Y",$C64=H$2,$C64&gt;0),'bid input'!$F8,IF(AND($E64="Y",$D64=H$3,$C64=0),'bid input'!$F8,0))*H$4</f>
        <v>0</v>
      </c>
      <c r="I64" s="9" t="n">
        <f aca="false">+IF(AND($E64="Y",$C64=I$2,$C64&gt;0),'bid input'!$F8,IF(AND($E64="Y",$D64=I$3,$C64=0),'bid input'!$F8,0))*I$4</f>
        <v>0</v>
      </c>
      <c r="J64" s="9" t="n">
        <f aca="false">+IF(AND($E64="Y",$C64=J$2,$C64&gt;0),'bid input'!$F8,IF(AND($E64="Y",$D64=J$3,$C64=0),'bid input'!$F8,0))*J$4</f>
        <v>0</v>
      </c>
      <c r="K64" s="9" t="n">
        <f aca="false">+IF(AND($E64="Y",$C64=K$2,$C64&gt;0),'bid input'!$F8,IF(AND($E64="Y",$D64=K$3,$C64=0),'bid input'!$F8,0))*K$4</f>
        <v>0</v>
      </c>
      <c r="L64" s="9" t="n">
        <f aca="false">+IF(AND($E64="Y",$C64=L$2,$C64&gt;0),'bid input'!$F8,IF(AND($E64="Y",$D64=L$3,$C64=0),'bid input'!$F8,0))*L$4</f>
        <v>0</v>
      </c>
      <c r="M64" s="9" t="n">
        <f aca="false">SUM(G64:L64)</f>
        <v>0</v>
      </c>
    </row>
    <row collapsed="false" customFormat="false" customHeight="false" hidden="true" ht="14.9" outlineLevel="1" r="65">
      <c r="B65" s="28" t="n">
        <f aca="false">+B15</f>
        <v>1104140</v>
      </c>
      <c r="C65" s="28" t="n">
        <f aca="false">+C15</f>
        <v>5</v>
      </c>
      <c r="D65" s="0" t="n">
        <f aca="false">D15</f>
        <v>0</v>
      </c>
      <c r="E65" s="29" t="str">
        <f aca="false">+IF('bid input'!P9=1,"Y","N")</f>
        <v>N</v>
      </c>
      <c r="F65" s="10"/>
      <c r="G65" s="9" t="n">
        <f aca="false">+IF(AND($E65="Y",$C65=G$2,$C65&gt;0),'bid input'!$F9,IF(AND($E65="Y",$D65=G$3,$C65=0),'bid input'!$F9,0))*G$4</f>
        <v>0</v>
      </c>
      <c r="H65" s="9" t="n">
        <f aca="false">+IF(AND($E65="Y",$C65=H$2,$C65&gt;0),'bid input'!$F9,IF(AND($E65="Y",$D65=H$3,$C65=0),'bid input'!$F9,0))*H$4</f>
        <v>0</v>
      </c>
      <c r="I65" s="9" t="n">
        <f aca="false">+IF(AND($E65="Y",$C65=I$2,$C65&gt;0),'bid input'!$F9,IF(AND($E65="Y",$D65=I$3,$C65=0),'bid input'!$F9,0))*I$4</f>
        <v>0</v>
      </c>
      <c r="J65" s="9" t="n">
        <f aca="false">+IF(AND($E65="Y",$C65=J$2,$C65&gt;0),'bid input'!$F9,IF(AND($E65="Y",$D65=J$3,$C65=0),'bid input'!$F9,0))*J$4</f>
        <v>0</v>
      </c>
      <c r="K65" s="9" t="n">
        <f aca="false">+IF(AND($E65="Y",$C65=K$2,$C65&gt;0),'bid input'!$F9,IF(AND($E65="Y",$D65=K$3,$C65=0),'bid input'!$F9,0))*K$4</f>
        <v>0</v>
      </c>
      <c r="L65" s="9" t="n">
        <f aca="false">+IF(AND($E65="Y",$C65=L$2,$C65&gt;0),'bid input'!$F9,IF(AND($E65="Y",$D65=L$3,$C65=0),'bid input'!$F9,0))*L$4</f>
        <v>0</v>
      </c>
      <c r="M65" s="9" t="n">
        <f aca="false">SUM(G65:L65)</f>
        <v>0</v>
      </c>
    </row>
    <row collapsed="false" customFormat="false" customHeight="false" hidden="true" ht="14.9" outlineLevel="1" r="66">
      <c r="B66" s="28" t="n">
        <f aca="false">+B16</f>
        <v>1104141</v>
      </c>
      <c r="C66" s="28" t="n">
        <f aca="false">+C16</f>
        <v>0</v>
      </c>
      <c r="D66" s="0" t="n">
        <f aca="false">D16</f>
        <v>0</v>
      </c>
      <c r="E66" s="29" t="str">
        <f aca="false">+IF('bid input'!P10=1,"Y","N")</f>
        <v>N</v>
      </c>
      <c r="F66" s="10"/>
      <c r="G66" s="9" t="n">
        <f aca="false">+IF(AND($E66="Y",$C66=G$2,$C66&gt;0),'bid input'!$F10,IF(AND($E66="Y",$D66=G$3,$C66=0),'bid input'!$F10,0))*G$4</f>
        <v>0</v>
      </c>
      <c r="H66" s="9" t="n">
        <f aca="false">+IF(AND($E66="Y",$C66=H$2,$C66&gt;0),'bid input'!$F10,IF(AND($E66="Y",$D66=H$3,$C66=0),'bid input'!$F10,0))*H$4</f>
        <v>0</v>
      </c>
      <c r="I66" s="9" t="n">
        <f aca="false">+IF(AND($E66="Y",$C66=I$2,$C66&gt;0),'bid input'!$F10,IF(AND($E66="Y",$D66=I$3,$C66=0),'bid input'!$F10,0))*I$4</f>
        <v>0</v>
      </c>
      <c r="J66" s="9" t="n">
        <f aca="false">+IF(AND($E66="Y",$C66=J$2,$C66&gt;0),'bid input'!$F10,IF(AND($E66="Y",$D66=J$3,$C66=0),'bid input'!$F10,0))*J$4</f>
        <v>0</v>
      </c>
      <c r="K66" s="9" t="n">
        <f aca="false">+IF(AND($E66="Y",$C66=K$2,$C66&gt;0),'bid input'!$F10,IF(AND($E66="Y",$D66=K$3,$C66=0),'bid input'!$F10,0))*K$4</f>
        <v>0</v>
      </c>
      <c r="L66" s="9" t="n">
        <f aca="false">+IF(AND($E66="Y",$C66=L$2,$C66&gt;0),'bid input'!$F10,IF(AND($E66="Y",$D66=L$3,$C66=0),'bid input'!$F10,0))*L$4</f>
        <v>0</v>
      </c>
      <c r="M66" s="9" t="n">
        <f aca="false">SUM(G66:L66)</f>
        <v>0</v>
      </c>
    </row>
    <row collapsed="false" customFormat="false" customHeight="false" hidden="true" ht="14.9" outlineLevel="1" r="67">
      <c r="B67" s="28" t="n">
        <f aca="false">+B17</f>
        <v>1104159</v>
      </c>
      <c r="C67" s="28" t="n">
        <f aca="false">+C17</f>
        <v>1</v>
      </c>
      <c r="D67" s="0" t="n">
        <f aca="false">D17</f>
        <v>0</v>
      </c>
      <c r="E67" s="29" t="str">
        <f aca="false">+IF('bid input'!P11=1,"Y","N")</f>
        <v>Y</v>
      </c>
      <c r="F67" s="10"/>
      <c r="G67" s="9" t="n">
        <f aca="false">+IF(AND($E67="Y",$C67=G$2,$C67&gt;0),'bid input'!$F11,IF(AND($E67="Y",$D67=G$3,$C67=0),'bid input'!$F11,0))*G$4</f>
        <v>63745</v>
      </c>
      <c r="H67" s="9" t="n">
        <f aca="false">+IF(AND($E67="Y",$C67=H$2,$C67&gt;0),'bid input'!$F11,IF(AND($E67="Y",$D67=H$3,$C67=0),'bid input'!$F11,0))*H$4</f>
        <v>0</v>
      </c>
      <c r="I67" s="9" t="n">
        <f aca="false">+IF(AND($E67="Y",$C67=I$2,$C67&gt;0),'bid input'!$F11,IF(AND($E67="Y",$D67=I$3,$C67=0),'bid input'!$F11,0))*I$4</f>
        <v>0</v>
      </c>
      <c r="J67" s="9" t="n">
        <f aca="false">+IF(AND($E67="Y",$C67=J$2,$C67&gt;0),'bid input'!$F11,IF(AND($E67="Y",$D67=J$3,$C67=0),'bid input'!$F11,0))*J$4</f>
        <v>0</v>
      </c>
      <c r="K67" s="9" t="n">
        <f aca="false">+IF(AND($E67="Y",$C67=K$2,$C67&gt;0),'bid input'!$F11,IF(AND($E67="Y",$D67=K$3,$C67=0),'bid input'!$F11,0))*K$4</f>
        <v>0</v>
      </c>
      <c r="L67" s="9" t="n">
        <f aca="false">+IF(AND($E67="Y",$C67=L$2,$C67&gt;0),'bid input'!$F11,IF(AND($E67="Y",$D67=L$3,$C67=0),'bid input'!$F11,0))*L$4</f>
        <v>0</v>
      </c>
      <c r="M67" s="9" t="n">
        <f aca="false">SUM(G67:L67)</f>
        <v>63745</v>
      </c>
    </row>
    <row collapsed="false" customFormat="false" customHeight="false" hidden="true" ht="14.9" outlineLevel="1" r="68">
      <c r="B68" s="28" t="n">
        <f aca="false">+B18</f>
        <v>1104161</v>
      </c>
      <c r="C68" s="28" t="n">
        <f aca="false">+C18</f>
        <v>4</v>
      </c>
      <c r="D68" s="0" t="n">
        <f aca="false">D18</f>
        <v>0</v>
      </c>
      <c r="E68" s="29" t="str">
        <f aca="false">+IF('bid input'!P12=1,"Y","N")</f>
        <v>Y</v>
      </c>
      <c r="F68" s="10"/>
      <c r="G68" s="9" t="n">
        <f aca="false">+IF(AND($E68="Y",$C68=G$2,$C68&gt;0),'bid input'!$F12,IF(AND($E68="Y",$D68=G$3,$C68=0),'bid input'!$F12,0))*G$4</f>
        <v>0</v>
      </c>
      <c r="H68" s="9" t="n">
        <f aca="false">+IF(AND($E68="Y",$C68=H$2,$C68&gt;0),'bid input'!$F12,IF(AND($E68="Y",$D68=H$3,$C68=0),'bid input'!$F12,0))*H$4</f>
        <v>0</v>
      </c>
      <c r="I68" s="9" t="n">
        <f aca="false">+IF(AND($E68="Y",$C68=I$2,$C68&gt;0),'bid input'!$F12,IF(AND($E68="Y",$D68=I$3,$C68=0),'bid input'!$F12,0))*I$4</f>
        <v>0</v>
      </c>
      <c r="J68" s="9" t="n">
        <f aca="false">+IF(AND($E68="Y",$C68=J$2,$C68&gt;0),'bid input'!$F12,IF(AND($E68="Y",$D68=J$3,$C68=0),'bid input'!$F12,0))*J$4</f>
        <v>105080</v>
      </c>
      <c r="K68" s="9" t="n">
        <f aca="false">+IF(AND($E68="Y",$C68=K$2,$C68&gt;0),'bid input'!$F12,IF(AND($E68="Y",$D68=K$3,$C68=0),'bid input'!$F12,0))*K$4</f>
        <v>0</v>
      </c>
      <c r="L68" s="9" t="n">
        <f aca="false">+IF(AND($E68="Y",$C68=L$2,$C68&gt;0),'bid input'!$F12,IF(AND($E68="Y",$D68=L$3,$C68=0),'bid input'!$F12,0))*L$4</f>
        <v>0</v>
      </c>
      <c r="M68" s="9" t="n">
        <f aca="false">SUM(G68:L68)</f>
        <v>105080</v>
      </c>
    </row>
    <row collapsed="false" customFormat="false" customHeight="false" hidden="true" ht="14.9" outlineLevel="1" r="69">
      <c r="B69" s="28" t="n">
        <f aca="false">+B19</f>
        <v>1104145</v>
      </c>
      <c r="C69" s="28" t="n">
        <f aca="false">+C19</f>
        <v>1</v>
      </c>
      <c r="D69" s="0" t="n">
        <f aca="false">D19</f>
        <v>0</v>
      </c>
      <c r="E69" s="29" t="str">
        <f aca="false">+IF('bid input'!P13=1,"Y","N")</f>
        <v>N</v>
      </c>
      <c r="F69" s="10"/>
      <c r="G69" s="9" t="n">
        <f aca="false">+IF(AND($E69="Y",$C69=G$2,$C69&gt;0),'bid input'!$F13,IF(AND($E69="Y",$D69=G$3,$C69=0),'bid input'!$F13,0))*G$4</f>
        <v>0</v>
      </c>
      <c r="H69" s="9" t="n">
        <f aca="false">+IF(AND($E69="Y",$C69=H$2,$C69&gt;0),'bid input'!$F13,IF(AND($E69="Y",$D69=H$3,$C69=0),'bid input'!$F13,0))*H$4</f>
        <v>0</v>
      </c>
      <c r="I69" s="9" t="n">
        <f aca="false">+IF(AND($E69="Y",$C69=I$2,$C69&gt;0),'bid input'!$F13,IF(AND($E69="Y",$D69=I$3,$C69=0),'bid input'!$F13,0))*I$4</f>
        <v>0</v>
      </c>
      <c r="J69" s="9" t="n">
        <f aca="false">+IF(AND($E69="Y",$C69=J$2,$C69&gt;0),'bid input'!$F13,IF(AND($E69="Y",$D69=J$3,$C69=0),'bid input'!$F13,0))*J$4</f>
        <v>0</v>
      </c>
      <c r="K69" s="9" t="n">
        <f aca="false">+IF(AND($E69="Y",$C69=K$2,$C69&gt;0),'bid input'!$F13,IF(AND($E69="Y",$D69=K$3,$C69=0),'bid input'!$F13,0))*K$4</f>
        <v>0</v>
      </c>
      <c r="L69" s="9" t="n">
        <f aca="false">+IF(AND($E69="Y",$C69=L$2,$C69&gt;0),'bid input'!$F13,IF(AND($E69="Y",$D69=L$3,$C69=0),'bid input'!$F13,0))*L$4</f>
        <v>0</v>
      </c>
      <c r="M69" s="9" t="n">
        <f aca="false">SUM(G69:L69)</f>
        <v>0</v>
      </c>
    </row>
    <row collapsed="false" customFormat="false" customHeight="false" hidden="true" ht="14.9" outlineLevel="1" r="70">
      <c r="B70" s="28" t="n">
        <f aca="false">+B20</f>
        <v>1104133</v>
      </c>
      <c r="C70" s="28" t="n">
        <f aca="false">+C20</f>
        <v>4</v>
      </c>
      <c r="D70" s="0" t="n">
        <f aca="false">D20</f>
        <v>0</v>
      </c>
      <c r="E70" s="29" t="str">
        <f aca="false">+IF('bid input'!P14=1,"Y","N")</f>
        <v>N</v>
      </c>
      <c r="F70" s="10"/>
      <c r="G70" s="9" t="n">
        <f aca="false">+IF(AND($E70="Y",$C70=G$2,$C70&gt;0),'bid input'!$F14,IF(AND($E70="Y",$D70=G$3,$C70=0),'bid input'!$F14,0))*G$4</f>
        <v>0</v>
      </c>
      <c r="H70" s="9" t="n">
        <f aca="false">+IF(AND($E70="Y",$C70=H$2,$C70&gt;0),'bid input'!$F14,IF(AND($E70="Y",$D70=H$3,$C70=0),'bid input'!$F14,0))*H$4</f>
        <v>0</v>
      </c>
      <c r="I70" s="9" t="n">
        <f aca="false">+IF(AND($E70="Y",$C70=I$2,$C70&gt;0),'bid input'!$F14,IF(AND($E70="Y",$D70=I$3,$C70=0),'bid input'!$F14,0))*I$4</f>
        <v>0</v>
      </c>
      <c r="J70" s="9" t="n">
        <f aca="false">+IF(AND($E70="Y",$C70=J$2,$C70&gt;0),'bid input'!$F14,IF(AND($E70="Y",$D70=J$3,$C70=0),'bid input'!$F14,0))*J$4</f>
        <v>0</v>
      </c>
      <c r="K70" s="9" t="n">
        <f aca="false">+IF(AND($E70="Y",$C70=K$2,$C70&gt;0),'bid input'!$F14,IF(AND($E70="Y",$D70=K$3,$C70=0),'bid input'!$F14,0))*K$4</f>
        <v>0</v>
      </c>
      <c r="L70" s="9" t="n">
        <f aca="false">+IF(AND($E70="Y",$C70=L$2,$C70&gt;0),'bid input'!$F14,IF(AND($E70="Y",$D70=L$3,$C70=0),'bid input'!$F14,0))*L$4</f>
        <v>0</v>
      </c>
      <c r="M70" s="9" t="n">
        <f aca="false">SUM(G70:L70)</f>
        <v>0</v>
      </c>
    </row>
    <row collapsed="false" customFormat="false" customHeight="false" hidden="true" ht="14.9" outlineLevel="1" r="71">
      <c r="B71" s="28" t="n">
        <f aca="false">+B21</f>
        <v>1104149</v>
      </c>
      <c r="C71" s="28" t="n">
        <f aca="false">+C21</f>
        <v>5</v>
      </c>
      <c r="D71" s="0" t="n">
        <f aca="false">D21</f>
        <v>0</v>
      </c>
      <c r="E71" s="29" t="str">
        <f aca="false">+IF('bid input'!P15=1,"Y","N")</f>
        <v>Y</v>
      </c>
      <c r="F71" s="10"/>
      <c r="G71" s="9" t="n">
        <f aca="false">+IF(AND($E71="Y",$C71=G$2,$C71&gt;0),'bid input'!$F15,IF(AND($E71="Y",$D71=G$3,$C71=0),'bid input'!$F15,0))*G$4</f>
        <v>0</v>
      </c>
      <c r="H71" s="9" t="n">
        <f aca="false">+IF(AND($E71="Y",$C71=H$2,$C71&gt;0),'bid input'!$F15,IF(AND($E71="Y",$D71=H$3,$C71=0),'bid input'!$F15,0))*H$4</f>
        <v>0</v>
      </c>
      <c r="I71" s="9" t="n">
        <f aca="false">+IF(AND($E71="Y",$C71=I$2,$C71&gt;0),'bid input'!$F15,IF(AND($E71="Y",$D71=I$3,$C71=0),'bid input'!$F15,0))*I$4</f>
        <v>0</v>
      </c>
      <c r="J71" s="9" t="n">
        <f aca="false">+IF(AND($E71="Y",$C71=J$2,$C71&gt;0),'bid input'!$F15,IF(AND($E71="Y",$D71=J$3,$C71=0),'bid input'!$F15,0))*J$4</f>
        <v>0</v>
      </c>
      <c r="K71" s="9" t="n">
        <f aca="false">+IF(AND($E71="Y",$C71=K$2,$C71&gt;0),'bid input'!$F15,IF(AND($E71="Y",$D71=K$3,$C71=0),'bid input'!$F15,0))*K$4</f>
        <v>103085</v>
      </c>
      <c r="L71" s="9" t="n">
        <f aca="false">+IF(AND($E71="Y",$C71=L$2,$C71&gt;0),'bid input'!$F15,IF(AND($E71="Y",$D71=L$3,$C71=0),'bid input'!$F15,0))*L$4</f>
        <v>0</v>
      </c>
      <c r="M71" s="9" t="n">
        <f aca="false">SUM(G71:L71)</f>
        <v>103085</v>
      </c>
    </row>
    <row collapsed="false" customFormat="false" customHeight="false" hidden="true" ht="14.9" outlineLevel="1" r="72">
      <c r="B72" s="28" t="n">
        <f aca="false">+B22</f>
        <v>1104151</v>
      </c>
      <c r="C72" s="28" t="n">
        <f aca="false">+C22</f>
        <v>1</v>
      </c>
      <c r="D72" s="0" t="n">
        <f aca="false">D22</f>
        <v>0</v>
      </c>
      <c r="E72" s="29" t="str">
        <f aca="false">+IF('bid input'!P16=1,"Y","N")</f>
        <v>Y</v>
      </c>
      <c r="F72" s="10"/>
      <c r="G72" s="9" t="n">
        <f aca="false">+IF(AND($E72="Y",$C72=G$2,$C72&gt;0),'bid input'!$F16,IF(AND($E72="Y",$D72=G$3,$C72=0),'bid input'!$F16,0))*G$4</f>
        <v>63745</v>
      </c>
      <c r="H72" s="9" t="n">
        <f aca="false">+IF(AND($E72="Y",$C72=H$2,$C72&gt;0),'bid input'!$F16,IF(AND($E72="Y",$D72=H$3,$C72=0),'bid input'!$F16,0))*H$4</f>
        <v>0</v>
      </c>
      <c r="I72" s="9" t="n">
        <f aca="false">+IF(AND($E72="Y",$C72=I$2,$C72&gt;0),'bid input'!$F16,IF(AND($E72="Y",$D72=I$3,$C72=0),'bid input'!$F16,0))*I$4</f>
        <v>0</v>
      </c>
      <c r="J72" s="9" t="n">
        <f aca="false">+IF(AND($E72="Y",$C72=J$2,$C72&gt;0),'bid input'!$F16,IF(AND($E72="Y",$D72=J$3,$C72=0),'bid input'!$F16,0))*J$4</f>
        <v>0</v>
      </c>
      <c r="K72" s="9" t="n">
        <f aca="false">+IF(AND($E72="Y",$C72=K$2,$C72&gt;0),'bid input'!$F16,IF(AND($E72="Y",$D72=K$3,$C72=0),'bid input'!$F16,0))*K$4</f>
        <v>0</v>
      </c>
      <c r="L72" s="9" t="n">
        <f aca="false">+IF(AND($E72="Y",$C72=L$2,$C72&gt;0),'bid input'!$F16,IF(AND($E72="Y",$D72=L$3,$C72=0),'bid input'!$F16,0))*L$4</f>
        <v>0</v>
      </c>
      <c r="M72" s="9" t="n">
        <f aca="false">SUM(G72:L72)</f>
        <v>63745</v>
      </c>
    </row>
    <row collapsed="false" customFormat="false" customHeight="false" hidden="true" ht="14.9" outlineLevel="1" r="73">
      <c r="B73" s="28" t="n">
        <f aca="false">+B23</f>
        <v>1104131</v>
      </c>
      <c r="C73" s="28" t="n">
        <f aca="false">+C23</f>
        <v>0</v>
      </c>
      <c r="D73" s="0" t="n">
        <f aca="false">D23</f>
        <v>0</v>
      </c>
      <c r="E73" s="29" t="str">
        <f aca="false">+IF('bid input'!P17=1,"Y","N")</f>
        <v>N</v>
      </c>
      <c r="F73" s="10"/>
      <c r="G73" s="9" t="n">
        <f aca="false">+IF(AND($E73="Y",$C73=G$2,$C73&gt;0),'bid input'!$F17,IF(AND($E73="Y",$D73=G$3,$C73=0),'bid input'!$F17,0))*G$4</f>
        <v>0</v>
      </c>
      <c r="H73" s="9" t="n">
        <f aca="false">+IF(AND($E73="Y",$C73=H$2,$C73&gt;0),'bid input'!$F17,IF(AND($E73="Y",$D73=H$3,$C73=0),'bid input'!$F17,0))*H$4</f>
        <v>0</v>
      </c>
      <c r="I73" s="9" t="n">
        <f aca="false">+IF(AND($E73="Y",$C73=I$2,$C73&gt;0),'bid input'!$F17,IF(AND($E73="Y",$D73=I$3,$C73=0),'bid input'!$F17,0))*I$4</f>
        <v>0</v>
      </c>
      <c r="J73" s="9" t="n">
        <f aca="false">+IF(AND($E73="Y",$C73=J$2,$C73&gt;0),'bid input'!$F17,IF(AND($E73="Y",$D73=J$3,$C73=0),'bid input'!$F17,0))*J$4</f>
        <v>0</v>
      </c>
      <c r="K73" s="9" t="n">
        <f aca="false">+IF(AND($E73="Y",$C73=K$2,$C73&gt;0),'bid input'!$F17,IF(AND($E73="Y",$D73=K$3,$C73=0),'bid input'!$F17,0))*K$4</f>
        <v>0</v>
      </c>
      <c r="L73" s="9" t="n">
        <f aca="false">+IF(AND($E73="Y",$C73=L$2,$C73&gt;0),'bid input'!$F17,IF(AND($E73="Y",$D73=L$3,$C73=0),'bid input'!$F17,0))*L$4</f>
        <v>0</v>
      </c>
      <c r="M73" s="9" t="n">
        <f aca="false">SUM(G73:L73)</f>
        <v>0</v>
      </c>
    </row>
    <row collapsed="false" customFormat="false" customHeight="false" hidden="true" ht="14.9" outlineLevel="1" r="74">
      <c r="B74" s="28" t="n">
        <f aca="false">+B24</f>
        <v>1104155</v>
      </c>
      <c r="C74" s="28" t="n">
        <f aca="false">+C24</f>
        <v>0</v>
      </c>
      <c r="D74" s="0" t="str">
        <f aca="false">D24</f>
        <v>Best Loans Inc</v>
      </c>
      <c r="E74" s="29" t="str">
        <f aca="false">+IF('bid input'!P18=1,"Y","N")</f>
        <v>N</v>
      </c>
      <c r="F74" s="10"/>
      <c r="G74" s="9" t="n">
        <f aca="false">+IF(AND($E74="Y",$C74=G$2,$C74&gt;0),'bid input'!$F18,IF(AND($E74="Y",$D74=G$3,$C74=0),'bid input'!$F18,0))*G$4</f>
        <v>0</v>
      </c>
      <c r="H74" s="9" t="n">
        <f aca="false">+IF(AND($E74="Y",$C74=H$2,$C74&gt;0),'bid input'!$F18,IF(AND($E74="Y",$D74=H$3,$C74=0),'bid input'!$F18,0))*H$4</f>
        <v>0</v>
      </c>
      <c r="I74" s="9" t="n">
        <f aca="false">+IF(AND($E74="Y",$C74=I$2,$C74&gt;0),'bid input'!$F18,IF(AND($E74="Y",$D74=I$3,$C74=0),'bid input'!$F18,0))*I$4</f>
        <v>0</v>
      </c>
      <c r="J74" s="9" t="n">
        <f aca="false">+IF(AND($E74="Y",$C74=J$2,$C74&gt;0),'bid input'!$F18,IF(AND($E74="Y",$D74=J$3,$C74=0),'bid input'!$F18,0))*J$4</f>
        <v>0</v>
      </c>
      <c r="K74" s="9" t="n">
        <f aca="false">+IF(AND($E74="Y",$C74=K$2,$C74&gt;0),'bid input'!$F18,IF(AND($E74="Y",$D74=K$3,$C74=0),'bid input'!$F18,0))*K$4</f>
        <v>0</v>
      </c>
      <c r="L74" s="9" t="n">
        <f aca="false">+IF(AND($E74="Y",$C74=L$2,$C74&gt;0),'bid input'!$F18,IF(AND($E74="Y",$D74=L$3,$C74=0),'bid input'!$F18,0))*L$4</f>
        <v>0</v>
      </c>
      <c r="M74" s="9" t="n">
        <f aca="false">SUM(G74:L74)</f>
        <v>0</v>
      </c>
    </row>
    <row collapsed="false" customFormat="false" customHeight="false" hidden="true" ht="14.9" outlineLevel="1" r="75">
      <c r="B75" s="28" t="n">
        <f aca="false">+B25</f>
        <v>1104156</v>
      </c>
      <c r="C75" s="28" t="n">
        <f aca="false">+C25</f>
        <v>2</v>
      </c>
      <c r="D75" s="0" t="n">
        <f aca="false">D25</f>
        <v>0</v>
      </c>
      <c r="E75" s="29" t="str">
        <f aca="false">+IF('bid input'!P19=1,"Y","N")</f>
        <v>Y</v>
      </c>
      <c r="F75" s="10"/>
      <c r="G75" s="9" t="n">
        <f aca="false">+IF(AND($E75="Y",$C75=G$2,$C75&gt;0),'bid input'!$F19,IF(AND($E75="Y",$D75=G$3,$C75=0),'bid input'!$F19,0))*G$4</f>
        <v>0</v>
      </c>
      <c r="H75" s="9" t="n">
        <f aca="false">+IF(AND($E75="Y",$C75=H$2,$C75&gt;0),'bid input'!$F19,IF(AND($E75="Y",$D75=H$3,$C75=0),'bid input'!$F19,0))*H$4</f>
        <v>75137</v>
      </c>
      <c r="I75" s="9" t="n">
        <f aca="false">+IF(AND($E75="Y",$C75=I$2,$C75&gt;0),'bid input'!$F19,IF(AND($E75="Y",$D75=I$3,$C75=0),'bid input'!$F19,0))*I$4</f>
        <v>0</v>
      </c>
      <c r="J75" s="9" t="n">
        <f aca="false">+IF(AND($E75="Y",$C75=J$2,$C75&gt;0),'bid input'!$F19,IF(AND($E75="Y",$D75=J$3,$C75=0),'bid input'!$F19,0))*J$4</f>
        <v>0</v>
      </c>
      <c r="K75" s="9" t="n">
        <f aca="false">+IF(AND($E75="Y",$C75=K$2,$C75&gt;0),'bid input'!$F19,IF(AND($E75="Y",$D75=K$3,$C75=0),'bid input'!$F19,0))*K$4</f>
        <v>0</v>
      </c>
      <c r="L75" s="9" t="n">
        <f aca="false">+IF(AND($E75="Y",$C75=L$2,$C75&gt;0),'bid input'!$F19,IF(AND($E75="Y",$D75=L$3,$C75=0),'bid input'!$F19,0))*L$4</f>
        <v>0</v>
      </c>
      <c r="M75" s="9" t="n">
        <f aca="false">SUM(G75:L75)</f>
        <v>75137</v>
      </c>
    </row>
    <row collapsed="false" customFormat="false" customHeight="false" hidden="true" ht="14.9" outlineLevel="1" r="76">
      <c r="B76" s="28" t="n">
        <f aca="false">+B26</f>
        <v>1104157</v>
      </c>
      <c r="C76" s="28" t="n">
        <f aca="false">+C26</f>
        <v>0</v>
      </c>
      <c r="D76" s="0" t="n">
        <f aca="false">D26</f>
        <v>0</v>
      </c>
      <c r="E76" s="29" t="str">
        <f aca="false">+IF('bid input'!P20=1,"Y","N")</f>
        <v>N</v>
      </c>
      <c r="F76" s="10"/>
      <c r="G76" s="9" t="n">
        <f aca="false">+IF(AND($E76="Y",$C76=G$2,$C76&gt;0),'bid input'!$F20,IF(AND($E76="Y",$D76=G$3,$C76=0),'bid input'!$F20,0))*G$4</f>
        <v>0</v>
      </c>
      <c r="H76" s="9" t="n">
        <f aca="false">+IF(AND($E76="Y",$C76=H$2,$C76&gt;0),'bid input'!$F20,IF(AND($E76="Y",$D76=H$3,$C76=0),'bid input'!$F20,0))*H$4</f>
        <v>0</v>
      </c>
      <c r="I76" s="9" t="n">
        <f aca="false">+IF(AND($E76="Y",$C76=I$2,$C76&gt;0),'bid input'!$F20,IF(AND($E76="Y",$D76=I$3,$C76=0),'bid input'!$F20,0))*I$4</f>
        <v>0</v>
      </c>
      <c r="J76" s="9" t="n">
        <f aca="false">+IF(AND($E76="Y",$C76=J$2,$C76&gt;0),'bid input'!$F20,IF(AND($E76="Y",$D76=J$3,$C76=0),'bid input'!$F20,0))*J$4</f>
        <v>0</v>
      </c>
      <c r="K76" s="9" t="n">
        <f aca="false">+IF(AND($E76="Y",$C76=K$2,$C76&gt;0),'bid input'!$F20,IF(AND($E76="Y",$D76=K$3,$C76=0),'bid input'!$F20,0))*K$4</f>
        <v>0</v>
      </c>
      <c r="L76" s="9" t="n">
        <f aca="false">+IF(AND($E76="Y",$C76=L$2,$C76&gt;0),'bid input'!$F20,IF(AND($E76="Y",$D76=L$3,$C76=0),'bid input'!$F20,0))*L$4</f>
        <v>0</v>
      </c>
      <c r="M76" s="9" t="n">
        <f aca="false">SUM(G76:L76)</f>
        <v>0</v>
      </c>
    </row>
    <row collapsed="false" customFormat="false" customHeight="false" hidden="true" ht="14.9" outlineLevel="1" r="77">
      <c r="B77" s="28" t="n">
        <f aca="false">+B27</f>
        <v>1104158</v>
      </c>
      <c r="C77" s="28" t="n">
        <f aca="false">+C27</f>
        <v>1</v>
      </c>
      <c r="D77" s="0" t="n">
        <f aca="false">D27</f>
        <v>0</v>
      </c>
      <c r="E77" s="29" t="str">
        <f aca="false">+IF('bid input'!P21=1,"Y","N")</f>
        <v>N</v>
      </c>
      <c r="F77" s="10"/>
      <c r="G77" s="9" t="n">
        <f aca="false">+IF(AND($E77="Y",$C77=G$2,$C77&gt;0),'bid input'!$F21,IF(AND($E77="Y",$D77=G$3,$C77=0),'bid input'!$F21,0))*G$4</f>
        <v>0</v>
      </c>
      <c r="H77" s="9" t="n">
        <f aca="false">+IF(AND($E77="Y",$C77=H$2,$C77&gt;0),'bid input'!$F21,IF(AND($E77="Y",$D77=H$3,$C77=0),'bid input'!$F21,0))*H$4</f>
        <v>0</v>
      </c>
      <c r="I77" s="9" t="n">
        <f aca="false">+IF(AND($E77="Y",$C77=I$2,$C77&gt;0),'bid input'!$F21,IF(AND($E77="Y",$D77=I$3,$C77=0),'bid input'!$F21,0))*I$4</f>
        <v>0</v>
      </c>
      <c r="J77" s="9" t="n">
        <f aca="false">+IF(AND($E77="Y",$C77=J$2,$C77&gt;0),'bid input'!$F21,IF(AND($E77="Y",$D77=J$3,$C77=0),'bid input'!$F21,0))*J$4</f>
        <v>0</v>
      </c>
      <c r="K77" s="9" t="n">
        <f aca="false">+IF(AND($E77="Y",$C77=K$2,$C77&gt;0),'bid input'!$F21,IF(AND($E77="Y",$D77=K$3,$C77=0),'bid input'!$F21,0))*K$4</f>
        <v>0</v>
      </c>
      <c r="L77" s="9" t="n">
        <f aca="false">+IF(AND($E77="Y",$C77=L$2,$C77&gt;0),'bid input'!$F21,IF(AND($E77="Y",$D77=L$3,$C77=0),'bid input'!$F21,0))*L$4</f>
        <v>0</v>
      </c>
      <c r="M77" s="9" t="n">
        <f aca="false">SUM(G77:L77)</f>
        <v>0</v>
      </c>
    </row>
    <row collapsed="false" customFormat="false" customHeight="false" hidden="true" ht="14" outlineLevel="1" r="78">
      <c r="B78" s="28"/>
      <c r="C78" s="10"/>
      <c r="D78" s="10"/>
      <c r="E78" s="11"/>
      <c r="F78" s="10"/>
      <c r="G78" s="27"/>
      <c r="H78" s="27"/>
      <c r="I78" s="27"/>
      <c r="J78" s="27"/>
      <c r="K78" s="27"/>
      <c r="L78" s="27"/>
    </row>
    <row collapsed="false" customFormat="false" customHeight="false" hidden="true" ht="14" outlineLevel="1" r="79">
      <c r="B79" s="0" t="n">
        <f aca="false">+B8</f>
        <v>1104134</v>
      </c>
      <c r="E79" s="13"/>
      <c r="F79" s="14"/>
      <c r="G79" s="17" t="n">
        <f aca="false">IF($M58&lt;'bid input'!$M2,G58, 'bid input'!$M2*G58/$M58)</f>
        <v>0</v>
      </c>
      <c r="H79" s="17" t="n">
        <f aca="false">IF($M58&lt;'bid input'!$M2,H58, 'bid input'!$M2*H58/$M58)</f>
        <v>0</v>
      </c>
      <c r="I79" s="17" t="n">
        <f aca="false">IF($M58&lt;'bid input'!$M2,I58, 'bid input'!$M2*I58/$M58)</f>
        <v>0</v>
      </c>
      <c r="J79" s="17" t="n">
        <f aca="false">IF($M58&lt;'bid input'!$M2,J58, 'bid input'!$M2*J58/$M58)</f>
        <v>0</v>
      </c>
      <c r="K79" s="17" t="n">
        <f aca="false">IF($M58&lt;'bid input'!$M2,K58, 'bid input'!$M2*K58/$M58)</f>
        <v>0</v>
      </c>
      <c r="L79" s="17" t="n">
        <f aca="false">IF($M58&lt;'bid input'!$M2,L58, 'bid input'!$M2*L58/$M58)</f>
        <v>0</v>
      </c>
      <c r="M79" s="17" t="n">
        <f aca="false">IF($M58&lt;'bid input'!$M2,M58, 'bid input'!$M2*M58/$M58)</f>
        <v>0</v>
      </c>
    </row>
    <row collapsed="false" customFormat="false" customHeight="false" hidden="true" ht="14" outlineLevel="1" r="80">
      <c r="B80" s="0" t="n">
        <f aca="false">+B9</f>
        <v>1104143</v>
      </c>
      <c r="E80" s="13"/>
      <c r="F80" s="14"/>
      <c r="G80" s="17" t="n">
        <f aca="false">IF($M59&lt;'bid input'!$M3,G59, 'bid input'!$M3*G59/$M59)</f>
        <v>63745</v>
      </c>
      <c r="H80" s="17" t="n">
        <f aca="false">IF($M59&lt;'bid input'!$M3,H59, 'bid input'!$M3*H59/$M59)</f>
        <v>75137</v>
      </c>
      <c r="I80" s="17" t="n">
        <f aca="false">IF($M59&lt;'bid input'!$M3,I59, 'bid input'!$M3*I59/$M59)</f>
        <v>0</v>
      </c>
      <c r="J80" s="17" t="n">
        <f aca="false">IF($M59&lt;'bid input'!$M3,J59, 'bid input'!$M3*J59/$M59)</f>
        <v>0</v>
      </c>
      <c r="K80" s="17" t="n">
        <f aca="false">IF($M59&lt;'bid input'!$M3,K59, 'bid input'!$M3*K59/$M59)</f>
        <v>0</v>
      </c>
      <c r="L80" s="17" t="n">
        <f aca="false">IF($M59&lt;'bid input'!$M3,L59, 'bid input'!$M3*L59/$M59)</f>
        <v>0</v>
      </c>
      <c r="M80" s="17" t="n">
        <f aca="false">IF($M59&lt;'bid input'!$M3,M59, 'bid input'!$M3*M59/$M59)</f>
        <v>138882</v>
      </c>
    </row>
    <row collapsed="false" customFormat="false" customHeight="false" hidden="true" ht="14" outlineLevel="1" r="81">
      <c r="B81" s="0" t="n">
        <f aca="false">+B10</f>
        <v>1104154</v>
      </c>
      <c r="E81" s="13"/>
      <c r="F81" s="14"/>
      <c r="G81" s="17" t="n">
        <f aca="false">IF($M60&lt;'bid input'!$M4,G60, 'bid input'!$M4*G60/$M60)</f>
        <v>0</v>
      </c>
      <c r="H81" s="17" t="n">
        <f aca="false">IF($M60&lt;'bid input'!$M4,H60, 'bid input'!$M4*H60/$M60)</f>
        <v>0</v>
      </c>
      <c r="I81" s="17" t="n">
        <f aca="false">IF($M60&lt;'bid input'!$M4,I60, 'bid input'!$M4*I60/$M60)</f>
        <v>0</v>
      </c>
      <c r="J81" s="17" t="n">
        <f aca="false">IF($M60&lt;'bid input'!$M4,J60, 'bid input'!$M4*J60/$M60)</f>
        <v>0</v>
      </c>
      <c r="K81" s="17" t="n">
        <f aca="false">IF($M60&lt;'bid input'!$M4,K60, 'bid input'!$M4*K60/$M60)</f>
        <v>0</v>
      </c>
      <c r="L81" s="17" t="n">
        <f aca="false">IF($M60&lt;'bid input'!$M4,L60, 'bid input'!$M4*L60/$M60)</f>
        <v>0</v>
      </c>
      <c r="M81" s="17" t="n">
        <f aca="false">IF($M60&lt;'bid input'!$M4,M60, 'bid input'!$M4*M60/$M60)</f>
        <v>0</v>
      </c>
    </row>
    <row collapsed="false" customFormat="false" customHeight="false" hidden="true" ht="14" outlineLevel="1" r="82">
      <c r="B82" s="0" t="n">
        <f aca="false">+B11</f>
        <v>1104152</v>
      </c>
      <c r="E82" s="13"/>
      <c r="F82" s="14"/>
      <c r="G82" s="17" t="n">
        <f aca="false">IF($M61&lt;'bid input'!$M5,G61, 'bid input'!$M5*G61/$M61)</f>
        <v>0</v>
      </c>
      <c r="H82" s="17" t="n">
        <f aca="false">IF($M61&lt;'bid input'!$M5,H61, 'bid input'!$M5*H61/$M61)</f>
        <v>0</v>
      </c>
      <c r="I82" s="17" t="n">
        <f aca="false">IF($M61&lt;'bid input'!$M5,I61, 'bid input'!$M5*I61/$M61)</f>
        <v>0</v>
      </c>
      <c r="J82" s="17" t="n">
        <f aca="false">IF($M61&lt;'bid input'!$M5,J61, 'bid input'!$M5*J61/$M61)</f>
        <v>0</v>
      </c>
      <c r="K82" s="17" t="n">
        <f aca="false">IF($M61&lt;'bid input'!$M5,K61, 'bid input'!$M5*K61/$M61)</f>
        <v>0</v>
      </c>
      <c r="L82" s="17" t="n">
        <f aca="false">IF($M61&lt;'bid input'!$M5,L61, 'bid input'!$M5*L61/$M61)</f>
        <v>0</v>
      </c>
      <c r="M82" s="17" t="n">
        <f aca="false">IF($M61&lt;'bid input'!$M5,M61, 'bid input'!$M5*M61/$M61)</f>
        <v>0</v>
      </c>
    </row>
    <row collapsed="false" customFormat="false" customHeight="false" hidden="true" ht="14" outlineLevel="1" r="83">
      <c r="B83" s="0" t="n">
        <f aca="false">+B12</f>
        <v>1104136</v>
      </c>
      <c r="E83" s="13"/>
      <c r="F83" s="14"/>
      <c r="G83" s="17" t="n">
        <f aca="false">IF($M62&lt;'bid input'!$M6,G62, 'bid input'!$M6*G62/$M62)</f>
        <v>0</v>
      </c>
      <c r="H83" s="17" t="n">
        <f aca="false">IF($M62&lt;'bid input'!$M6,H62, 'bid input'!$M6*H62/$M62)</f>
        <v>0</v>
      </c>
      <c r="I83" s="17" t="n">
        <f aca="false">IF($M62&lt;'bid input'!$M6,I62, 'bid input'!$M6*I62/$M62)</f>
        <v>0</v>
      </c>
      <c r="J83" s="17" t="n">
        <f aca="false">IF($M62&lt;'bid input'!$M6,J62, 'bid input'!$M6*J62/$M62)</f>
        <v>0</v>
      </c>
      <c r="K83" s="17" t="n">
        <f aca="false">IF($M62&lt;'bid input'!$M6,K62, 'bid input'!$M6*K62/$M62)</f>
        <v>0</v>
      </c>
      <c r="L83" s="17" t="n">
        <f aca="false">IF($M62&lt;'bid input'!$M6,L62, 'bid input'!$M6*L62/$M62)</f>
        <v>0</v>
      </c>
      <c r="M83" s="17" t="n">
        <f aca="false">IF($M62&lt;'bid input'!$M6,M62, 'bid input'!$M6*M62/$M62)</f>
        <v>0</v>
      </c>
    </row>
    <row collapsed="false" customFormat="false" customHeight="false" hidden="true" ht="14" outlineLevel="1" r="84">
      <c r="B84" s="0" t="n">
        <f aca="false">+B13</f>
        <v>1104138</v>
      </c>
      <c r="E84" s="13"/>
      <c r="F84" s="14"/>
      <c r="G84" s="17" t="n">
        <f aca="false">IF($M63&lt;'bid input'!$M7,G63, 'bid input'!$M7*G63/$M63)</f>
        <v>0</v>
      </c>
      <c r="H84" s="17" t="n">
        <f aca="false">IF($M63&lt;'bid input'!$M7,H63, 'bid input'!$M7*H63/$M63)</f>
        <v>0</v>
      </c>
      <c r="I84" s="17" t="n">
        <f aca="false">IF($M63&lt;'bid input'!$M7,I63, 'bid input'!$M7*I63/$M63)</f>
        <v>0</v>
      </c>
      <c r="J84" s="17" t="n">
        <f aca="false">IF($M63&lt;'bid input'!$M7,J63, 'bid input'!$M7*J63/$M63)</f>
        <v>0</v>
      </c>
      <c r="K84" s="17" t="n">
        <f aca="false">IF($M63&lt;'bid input'!$M7,K63, 'bid input'!$M7*K63/$M63)</f>
        <v>0</v>
      </c>
      <c r="L84" s="17" t="n">
        <f aca="false">IF($M63&lt;'bid input'!$M7,L63, 'bid input'!$M7*L63/$M63)</f>
        <v>0</v>
      </c>
      <c r="M84" s="17" t="n">
        <f aca="false">IF($M63&lt;'bid input'!$M7,M63, 'bid input'!$M7*M63/$M63)</f>
        <v>0</v>
      </c>
    </row>
    <row collapsed="false" customFormat="false" customHeight="false" hidden="true" ht="14" outlineLevel="1" r="85">
      <c r="B85" s="0" t="n">
        <f aca="false">+B14</f>
        <v>1104139</v>
      </c>
      <c r="E85" s="13"/>
      <c r="F85" s="14"/>
      <c r="G85" s="17" t="n">
        <f aca="false">IF($M64&lt;'bid input'!$M8,G64, 'bid input'!$M8*G64/$M64)</f>
        <v>0</v>
      </c>
      <c r="H85" s="17" t="n">
        <f aca="false">IF($M64&lt;'bid input'!$M8,H64, 'bid input'!$M8*H64/$M64)</f>
        <v>0</v>
      </c>
      <c r="I85" s="17" t="n">
        <f aca="false">IF($M64&lt;'bid input'!$M8,I64, 'bid input'!$M8*I64/$M64)</f>
        <v>0</v>
      </c>
      <c r="J85" s="17" t="n">
        <f aca="false">IF($M64&lt;'bid input'!$M8,J64, 'bid input'!$M8*J64/$M64)</f>
        <v>0</v>
      </c>
      <c r="K85" s="17" t="n">
        <f aca="false">IF($M64&lt;'bid input'!$M8,K64, 'bid input'!$M8*K64/$M64)</f>
        <v>0</v>
      </c>
      <c r="L85" s="17" t="n">
        <f aca="false">IF($M64&lt;'bid input'!$M8,L64, 'bid input'!$M8*L64/$M64)</f>
        <v>0</v>
      </c>
      <c r="M85" s="17" t="n">
        <f aca="false">IF($M64&lt;'bid input'!$M8,M64, 'bid input'!$M8*M64/$M64)</f>
        <v>0</v>
      </c>
    </row>
    <row collapsed="false" customFormat="false" customHeight="false" hidden="true" ht="14" outlineLevel="1" r="86">
      <c r="B86" s="0" t="n">
        <f aca="false">+B15</f>
        <v>1104140</v>
      </c>
      <c r="E86" s="13"/>
      <c r="F86" s="14"/>
      <c r="G86" s="17" t="n">
        <f aca="false">IF($M65&lt;'bid input'!$M9,G65, 'bid input'!$M9*G65/$M65)</f>
        <v>0</v>
      </c>
      <c r="H86" s="17" t="n">
        <f aca="false">IF($M65&lt;'bid input'!$M9,H65, 'bid input'!$M9*H65/$M65)</f>
        <v>0</v>
      </c>
      <c r="I86" s="17" t="n">
        <f aca="false">IF($M65&lt;'bid input'!$M9,I65, 'bid input'!$M9*I65/$M65)</f>
        <v>0</v>
      </c>
      <c r="J86" s="17" t="n">
        <f aca="false">IF($M65&lt;'bid input'!$M9,J65, 'bid input'!$M9*J65/$M65)</f>
        <v>0</v>
      </c>
      <c r="K86" s="17" t="n">
        <f aca="false">IF($M65&lt;'bid input'!$M9,K65, 'bid input'!$M9*K65/$M65)</f>
        <v>0</v>
      </c>
      <c r="L86" s="17" t="n">
        <f aca="false">IF($M65&lt;'bid input'!$M9,L65, 'bid input'!$M9*L65/$M65)</f>
        <v>0</v>
      </c>
      <c r="M86" s="17" t="n">
        <f aca="false">IF($M65&lt;'bid input'!$M9,M65, 'bid input'!$M9*M65/$M65)</f>
        <v>0</v>
      </c>
    </row>
    <row collapsed="false" customFormat="false" customHeight="false" hidden="true" ht="14" outlineLevel="1" r="87">
      <c r="B87" s="0" t="n">
        <f aca="false">+B16</f>
        <v>1104141</v>
      </c>
      <c r="E87" s="13"/>
      <c r="F87" s="14"/>
      <c r="G87" s="17" t="n">
        <f aca="false">IF($M66&lt;'bid input'!$M10,G66, 'bid input'!$M10*G66/$M66)</f>
        <v>0</v>
      </c>
      <c r="H87" s="17" t="n">
        <f aca="false">IF($M66&lt;'bid input'!$M10,H66, 'bid input'!$M10*H66/$M66)</f>
        <v>0</v>
      </c>
      <c r="I87" s="17" t="n">
        <f aca="false">IF($M66&lt;'bid input'!$M10,I66, 'bid input'!$M10*I66/$M66)</f>
        <v>0</v>
      </c>
      <c r="J87" s="17" t="n">
        <f aca="false">IF($M66&lt;'bid input'!$M10,J66, 'bid input'!$M10*J66/$M66)</f>
        <v>0</v>
      </c>
      <c r="K87" s="17" t="n">
        <f aca="false">IF($M66&lt;'bid input'!$M10,K66, 'bid input'!$M10*K66/$M66)</f>
        <v>0</v>
      </c>
      <c r="L87" s="17" t="n">
        <f aca="false">IF($M66&lt;'bid input'!$M10,L66, 'bid input'!$M10*L66/$M66)</f>
        <v>0</v>
      </c>
      <c r="M87" s="17" t="n">
        <f aca="false">IF($M66&lt;'bid input'!$M10,M66, 'bid input'!$M10*M66/$M66)</f>
        <v>0</v>
      </c>
    </row>
    <row collapsed="false" customFormat="false" customHeight="false" hidden="true" ht="14" outlineLevel="1" r="88">
      <c r="B88" s="0" t="n">
        <f aca="false">+B17</f>
        <v>1104159</v>
      </c>
      <c r="E88" s="13"/>
      <c r="F88" s="14"/>
      <c r="G88" s="17" t="n">
        <f aca="false">IF($M67&lt;'bid input'!$M11,G67, 'bid input'!$M11*G67/$M67)</f>
        <v>63745</v>
      </c>
      <c r="H88" s="17" t="n">
        <f aca="false">IF($M67&lt;'bid input'!$M11,H67, 'bid input'!$M11*H67/$M67)</f>
        <v>0</v>
      </c>
      <c r="I88" s="17" t="n">
        <f aca="false">IF($M67&lt;'bid input'!$M11,I67, 'bid input'!$M11*I67/$M67)</f>
        <v>0</v>
      </c>
      <c r="J88" s="17" t="n">
        <f aca="false">IF($M67&lt;'bid input'!$M11,J67, 'bid input'!$M11*J67/$M67)</f>
        <v>0</v>
      </c>
      <c r="K88" s="17" t="n">
        <f aca="false">IF($M67&lt;'bid input'!$M11,K67, 'bid input'!$M11*K67/$M67)</f>
        <v>0</v>
      </c>
      <c r="L88" s="17" t="n">
        <f aca="false">IF($M67&lt;'bid input'!$M11,L67, 'bid input'!$M11*L67/$M67)</f>
        <v>0</v>
      </c>
      <c r="M88" s="17" t="n">
        <f aca="false">IF($M67&lt;'bid input'!$M11,M67, 'bid input'!$M11*M67/$M67)</f>
        <v>63745</v>
      </c>
    </row>
    <row collapsed="false" customFormat="false" customHeight="false" hidden="true" ht="14" outlineLevel="1" r="89">
      <c r="B89" s="0" t="n">
        <f aca="false">+B18</f>
        <v>1104161</v>
      </c>
      <c r="E89" s="13"/>
      <c r="F89" s="14"/>
      <c r="G89" s="17" t="n">
        <f aca="false">IF($M68&lt;'bid input'!$M12,G68, 'bid input'!$M12*G68/$M68)</f>
        <v>0</v>
      </c>
      <c r="H89" s="17" t="n">
        <f aca="false">IF($M68&lt;'bid input'!$M12,H68, 'bid input'!$M12*H68/$M68)</f>
        <v>0</v>
      </c>
      <c r="I89" s="17" t="n">
        <f aca="false">IF($M68&lt;'bid input'!$M12,I68, 'bid input'!$M12*I68/$M68)</f>
        <v>0</v>
      </c>
      <c r="J89" s="17" t="n">
        <f aca="false">IF($M68&lt;'bid input'!$M12,J68, 'bid input'!$M12*J68/$M68)</f>
        <v>105080</v>
      </c>
      <c r="K89" s="17" t="n">
        <f aca="false">IF($M68&lt;'bid input'!$M12,K68, 'bid input'!$M12*K68/$M68)</f>
        <v>0</v>
      </c>
      <c r="L89" s="17" t="n">
        <f aca="false">IF($M68&lt;'bid input'!$M12,L68, 'bid input'!$M12*L68/$M68)</f>
        <v>0</v>
      </c>
      <c r="M89" s="17" t="n">
        <f aca="false">IF($M68&lt;'bid input'!$M12,M68, 'bid input'!$M12*M68/$M68)</f>
        <v>105080</v>
      </c>
    </row>
    <row collapsed="false" customFormat="false" customHeight="false" hidden="true" ht="14" outlineLevel="1" r="90">
      <c r="B90" s="0" t="n">
        <f aca="false">+B19</f>
        <v>1104145</v>
      </c>
      <c r="E90" s="13"/>
      <c r="F90" s="14"/>
      <c r="G90" s="17" t="n">
        <f aca="false">IF($M69&lt;'bid input'!$M13,G69, 'bid input'!$M13*G69/$M69)</f>
        <v>0</v>
      </c>
      <c r="H90" s="17" t="n">
        <f aca="false">IF($M69&lt;'bid input'!$M13,H69, 'bid input'!$M13*H69/$M69)</f>
        <v>0</v>
      </c>
      <c r="I90" s="17" t="n">
        <f aca="false">IF($M69&lt;'bid input'!$M13,I69, 'bid input'!$M13*I69/$M69)</f>
        <v>0</v>
      </c>
      <c r="J90" s="17" t="n">
        <f aca="false">IF($M69&lt;'bid input'!$M13,J69, 'bid input'!$M13*J69/$M69)</f>
        <v>0</v>
      </c>
      <c r="K90" s="17" t="n">
        <f aca="false">IF($M69&lt;'bid input'!$M13,K69, 'bid input'!$M13*K69/$M69)</f>
        <v>0</v>
      </c>
      <c r="L90" s="17" t="n">
        <f aca="false">IF($M69&lt;'bid input'!$M13,L69, 'bid input'!$M13*L69/$M69)</f>
        <v>0</v>
      </c>
      <c r="M90" s="17" t="n">
        <f aca="false">IF($M69&lt;'bid input'!$M13,M69, 'bid input'!$M13*M69/$M69)</f>
        <v>0</v>
      </c>
    </row>
    <row collapsed="false" customFormat="false" customHeight="false" hidden="true" ht="14" outlineLevel="1" r="91">
      <c r="B91" s="0" t="n">
        <f aca="false">+B20</f>
        <v>1104133</v>
      </c>
      <c r="E91" s="13"/>
      <c r="F91" s="14"/>
      <c r="G91" s="17" t="n">
        <f aca="false">IF($M70&lt;'bid input'!$M14,G70, 'bid input'!$M14*G70/$M70)</f>
        <v>0</v>
      </c>
      <c r="H91" s="17" t="n">
        <f aca="false">IF($M70&lt;'bid input'!$M14,H70, 'bid input'!$M14*H70/$M70)</f>
        <v>0</v>
      </c>
      <c r="I91" s="17" t="n">
        <f aca="false">IF($M70&lt;'bid input'!$M14,I70, 'bid input'!$M14*I70/$M70)</f>
        <v>0</v>
      </c>
      <c r="J91" s="17" t="n">
        <f aca="false">IF($M70&lt;'bid input'!$M14,J70, 'bid input'!$M14*J70/$M70)</f>
        <v>0</v>
      </c>
      <c r="K91" s="17" t="n">
        <f aca="false">IF($M70&lt;'bid input'!$M14,K70, 'bid input'!$M14*K70/$M70)</f>
        <v>0</v>
      </c>
      <c r="L91" s="17" t="n">
        <f aca="false">IF($M70&lt;'bid input'!$M14,L70, 'bid input'!$M14*L70/$M70)</f>
        <v>0</v>
      </c>
      <c r="M91" s="17" t="n">
        <f aca="false">IF($M70&lt;'bid input'!$M14,M70, 'bid input'!$M14*M70/$M70)</f>
        <v>0</v>
      </c>
    </row>
    <row collapsed="false" customFormat="false" customHeight="false" hidden="true" ht="14" outlineLevel="1" r="92">
      <c r="B92" s="0" t="n">
        <f aca="false">+B21</f>
        <v>1104149</v>
      </c>
      <c r="E92" s="13"/>
      <c r="F92" s="14"/>
      <c r="G92" s="17" t="n">
        <f aca="false">IF($M71&lt;'bid input'!$M15,G71, 'bid input'!$M15*G71/$M71)</f>
        <v>0</v>
      </c>
      <c r="H92" s="17" t="n">
        <f aca="false">IF($M71&lt;'bid input'!$M15,H71, 'bid input'!$M15*H71/$M71)</f>
        <v>0</v>
      </c>
      <c r="I92" s="17" t="n">
        <f aca="false">IF($M71&lt;'bid input'!$M15,I71, 'bid input'!$M15*I71/$M71)</f>
        <v>0</v>
      </c>
      <c r="J92" s="17" t="n">
        <f aca="false">IF($M71&lt;'bid input'!$M15,J71, 'bid input'!$M15*J71/$M71)</f>
        <v>0</v>
      </c>
      <c r="K92" s="17" t="n">
        <f aca="false">IF($M71&lt;'bid input'!$M15,K71, 'bid input'!$M15*K71/$M71)</f>
        <v>47000</v>
      </c>
      <c r="L92" s="17" t="n">
        <f aca="false">IF($M71&lt;'bid input'!$M15,L71, 'bid input'!$M15*L71/$M71)</f>
        <v>0</v>
      </c>
      <c r="M92" s="17" t="n">
        <f aca="false">IF($M71&lt;'bid input'!$M15,M71, 'bid input'!$M15*M71/$M71)</f>
        <v>47000</v>
      </c>
    </row>
    <row collapsed="false" customFormat="false" customHeight="false" hidden="true" ht="14" outlineLevel="1" r="93">
      <c r="B93" s="0" t="n">
        <f aca="false">+B22</f>
        <v>1104151</v>
      </c>
      <c r="E93" s="13"/>
      <c r="F93" s="14"/>
      <c r="G93" s="17" t="n">
        <f aca="false">IF($M72&lt;'bid input'!$M16,G72, 'bid input'!$M16*G72/$M72)</f>
        <v>63745</v>
      </c>
      <c r="H93" s="17" t="n">
        <f aca="false">IF($M72&lt;'bid input'!$M16,H72, 'bid input'!$M16*H72/$M72)</f>
        <v>0</v>
      </c>
      <c r="I93" s="17" t="n">
        <f aca="false">IF($M72&lt;'bid input'!$M16,I72, 'bid input'!$M16*I72/$M72)</f>
        <v>0</v>
      </c>
      <c r="J93" s="17" t="n">
        <f aca="false">IF($M72&lt;'bid input'!$M16,J72, 'bid input'!$M16*J72/$M72)</f>
        <v>0</v>
      </c>
      <c r="K93" s="17" t="n">
        <f aca="false">IF($M72&lt;'bid input'!$M16,K72, 'bid input'!$M16*K72/$M72)</f>
        <v>0</v>
      </c>
      <c r="L93" s="17" t="n">
        <f aca="false">IF($M72&lt;'bid input'!$M16,L72, 'bid input'!$M16*L72/$M72)</f>
        <v>0</v>
      </c>
      <c r="M93" s="17" t="n">
        <f aca="false">IF($M72&lt;'bid input'!$M16,M72, 'bid input'!$M16*M72/$M72)</f>
        <v>63745</v>
      </c>
    </row>
    <row collapsed="false" customFormat="false" customHeight="false" hidden="true" ht="14" outlineLevel="1" r="94">
      <c r="B94" s="0" t="n">
        <f aca="false">+B23</f>
        <v>1104131</v>
      </c>
      <c r="E94" s="13"/>
      <c r="F94" s="14"/>
      <c r="G94" s="17" t="n">
        <f aca="false">IF($M73&lt;'bid input'!$M17,G73, 'bid input'!$M17*G73/$M73)</f>
        <v>0</v>
      </c>
      <c r="H94" s="17" t="n">
        <f aca="false">IF($M73&lt;'bid input'!$M17,H73, 'bid input'!$M17*H73/$M73)</f>
        <v>0</v>
      </c>
      <c r="I94" s="17" t="n">
        <f aca="false">IF($M73&lt;'bid input'!$M17,I73, 'bid input'!$M17*I73/$M73)</f>
        <v>0</v>
      </c>
      <c r="J94" s="17" t="n">
        <f aca="false">IF($M73&lt;'bid input'!$M17,J73, 'bid input'!$M17*J73/$M73)</f>
        <v>0</v>
      </c>
      <c r="K94" s="17" t="n">
        <f aca="false">IF($M73&lt;'bid input'!$M17,K73, 'bid input'!$M17*K73/$M73)</f>
        <v>0</v>
      </c>
      <c r="L94" s="17" t="n">
        <f aca="false">IF($M73&lt;'bid input'!$M17,L73, 'bid input'!$M17*L73/$M73)</f>
        <v>0</v>
      </c>
      <c r="M94" s="17" t="n">
        <f aca="false">IF($M73&lt;'bid input'!$M17,M73, 'bid input'!$M17*M73/$M73)</f>
        <v>0</v>
      </c>
    </row>
    <row collapsed="false" customFormat="false" customHeight="false" hidden="true" ht="14" outlineLevel="1" r="95">
      <c r="B95" s="0" t="n">
        <f aca="false">+B24</f>
        <v>1104155</v>
      </c>
      <c r="E95" s="13"/>
      <c r="F95" s="14"/>
      <c r="G95" s="17" t="n">
        <f aca="false">IF($M74&lt;'bid input'!$M18,G74, 'bid input'!$M18*G74/$M74)</f>
        <v>0</v>
      </c>
      <c r="H95" s="17" t="n">
        <f aca="false">IF($M74&lt;'bid input'!$M18,H74, 'bid input'!$M18*H74/$M74)</f>
        <v>0</v>
      </c>
      <c r="I95" s="17" t="n">
        <f aca="false">IF($M74&lt;'bid input'!$M18,I74, 'bid input'!$M18*I74/$M74)</f>
        <v>0</v>
      </c>
      <c r="J95" s="17" t="n">
        <f aca="false">IF($M74&lt;'bid input'!$M18,J74, 'bid input'!$M18*J74/$M74)</f>
        <v>0</v>
      </c>
      <c r="K95" s="17" t="n">
        <f aca="false">IF($M74&lt;'bid input'!$M18,K74, 'bid input'!$M18*K74/$M74)</f>
        <v>0</v>
      </c>
      <c r="L95" s="17" t="n">
        <f aca="false">IF($M74&lt;'bid input'!$M18,L74, 'bid input'!$M18*L74/$M74)</f>
        <v>0</v>
      </c>
      <c r="M95" s="17" t="n">
        <f aca="false">IF($M74&lt;'bid input'!$M18,M74, 'bid input'!$M18*M74/$M74)</f>
        <v>0</v>
      </c>
    </row>
    <row collapsed="false" customFormat="false" customHeight="false" hidden="true" ht="14" outlineLevel="1" r="96">
      <c r="B96" s="0" t="n">
        <f aca="false">+B25</f>
        <v>1104156</v>
      </c>
      <c r="E96" s="13"/>
      <c r="F96" s="14"/>
      <c r="G96" s="17" t="n">
        <f aca="false">IF($M75&lt;'bid input'!$M19,G75, 'bid input'!$M19*G75/$M75)</f>
        <v>0</v>
      </c>
      <c r="H96" s="17" t="n">
        <f aca="false">IF($M75&lt;'bid input'!$M19,H75, 'bid input'!$M19*H75/$M75)</f>
        <v>75137</v>
      </c>
      <c r="I96" s="17" t="n">
        <f aca="false">IF($M75&lt;'bid input'!$M19,I75, 'bid input'!$M19*I75/$M75)</f>
        <v>0</v>
      </c>
      <c r="J96" s="17" t="n">
        <f aca="false">IF($M75&lt;'bid input'!$M19,J75, 'bid input'!$M19*J75/$M75)</f>
        <v>0</v>
      </c>
      <c r="K96" s="17" t="n">
        <f aca="false">IF($M75&lt;'bid input'!$M19,K75, 'bid input'!$M19*K75/$M75)</f>
        <v>0</v>
      </c>
      <c r="L96" s="17" t="n">
        <f aca="false">IF($M75&lt;'bid input'!$M19,L75, 'bid input'!$M19*L75/$M75)</f>
        <v>0</v>
      </c>
      <c r="M96" s="17" t="n">
        <f aca="false">IF($M75&lt;'bid input'!$M19,M75, 'bid input'!$M19*M75/$M75)</f>
        <v>75137</v>
      </c>
    </row>
    <row collapsed="false" customFormat="false" customHeight="false" hidden="true" ht="14" outlineLevel="1" r="97">
      <c r="B97" s="0" t="n">
        <f aca="false">+B26</f>
        <v>1104157</v>
      </c>
      <c r="E97" s="13"/>
      <c r="F97" s="14"/>
      <c r="G97" s="17" t="n">
        <f aca="false">IF($M76&lt;'bid input'!$M20,G76, 'bid input'!$M20*G76/$M76)</f>
        <v>0</v>
      </c>
      <c r="H97" s="17" t="n">
        <f aca="false">IF($M76&lt;'bid input'!$M20,H76, 'bid input'!$M20*H76/$M76)</f>
        <v>0</v>
      </c>
      <c r="I97" s="17" t="n">
        <f aca="false">IF($M76&lt;'bid input'!$M20,I76, 'bid input'!$M20*I76/$M76)</f>
        <v>0</v>
      </c>
      <c r="J97" s="17" t="n">
        <f aca="false">IF($M76&lt;'bid input'!$M20,J76, 'bid input'!$M20*J76/$M76)</f>
        <v>0</v>
      </c>
      <c r="K97" s="17" t="n">
        <f aca="false">IF($M76&lt;'bid input'!$M20,K76, 'bid input'!$M20*K76/$M76)</f>
        <v>0</v>
      </c>
      <c r="L97" s="17" t="n">
        <f aca="false">IF($M76&lt;'bid input'!$M20,L76, 'bid input'!$M20*L76/$M76)</f>
        <v>0</v>
      </c>
      <c r="M97" s="17" t="n">
        <f aca="false">IF($M76&lt;'bid input'!$M20,M76, 'bid input'!$M20*M76/$M76)</f>
        <v>0</v>
      </c>
    </row>
    <row collapsed="false" customFormat="false" customHeight="false" hidden="true" ht="14" outlineLevel="1" r="98">
      <c r="B98" s="0" t="n">
        <f aca="false">+B27</f>
        <v>1104158</v>
      </c>
      <c r="E98" s="13"/>
      <c r="F98" s="14"/>
      <c r="G98" s="17" t="n">
        <f aca="false">IF($M77&lt;'bid input'!$M21,G77, 'bid input'!$M21*G77/$M77)</f>
        <v>0</v>
      </c>
      <c r="H98" s="17" t="n">
        <f aca="false">IF($M77&lt;'bid input'!$M21,H77, 'bid input'!$M21*H77/$M77)</f>
        <v>0</v>
      </c>
      <c r="I98" s="17" t="n">
        <f aca="false">IF($M77&lt;'bid input'!$M21,I77, 'bid input'!$M21*I77/$M77)</f>
        <v>0</v>
      </c>
      <c r="J98" s="17" t="n">
        <f aca="false">IF($M77&lt;'bid input'!$M21,J77, 'bid input'!$M21*J77/$M77)</f>
        <v>0</v>
      </c>
      <c r="K98" s="17" t="n">
        <f aca="false">IF($M77&lt;'bid input'!$M21,K77, 'bid input'!$M21*K77/$M77)</f>
        <v>0</v>
      </c>
      <c r="L98" s="17" t="n">
        <f aca="false">IF($M77&lt;'bid input'!$M21,L77, 'bid input'!$M21*L77/$M77)</f>
        <v>0</v>
      </c>
      <c r="M98" s="17" t="n">
        <f aca="false">IF($M77&lt;'bid input'!$M21,M77, 'bid input'!$M21*M77/$M77)</f>
        <v>0</v>
      </c>
    </row>
    <row collapsed="false" customFormat="false" customHeight="false" hidden="false" ht="14" outlineLevel="0" r="100">
      <c r="D100" s="18" t="s">
        <v>46</v>
      </c>
      <c r="E100" s="19"/>
      <c r="F100" s="19"/>
      <c r="G100" s="20" t="n">
        <f aca="false">SUM(G79:G99)</f>
        <v>191235</v>
      </c>
      <c r="H100" s="20" t="n">
        <f aca="false">SUM(H79:H99)</f>
        <v>150274</v>
      </c>
      <c r="I100" s="20" t="n">
        <f aca="false">SUM(I79:I99)</f>
        <v>0</v>
      </c>
      <c r="J100" s="20" t="n">
        <f aca="false">SUM(J79:J99)</f>
        <v>105080</v>
      </c>
      <c r="K100" s="20" t="n">
        <f aca="false">SUM(K79:K99)</f>
        <v>47000</v>
      </c>
      <c r="L100" s="20" t="n">
        <f aca="false">SUM(L79:L99)</f>
        <v>0</v>
      </c>
      <c r="M100" s="21" t="n">
        <f aca="false">SUM(G100:L100)</f>
        <v>493589</v>
      </c>
    </row>
    <row collapsed="false" customFormat="false" customHeight="false" hidden="false" ht="14" outlineLevel="0" r="101">
      <c r="D101" s="22" t="s">
        <v>40</v>
      </c>
      <c r="E101" s="23"/>
      <c r="F101" s="23"/>
      <c r="G101" s="24" t="inlineStr">
        <f aca="false">+G57</f>
        <is>
          <t/>
        </is>
      </c>
      <c r="H101" s="24" t="inlineStr">
        <f aca="false">+H57</f>
        <is>
          <t/>
        </is>
      </c>
      <c r="I101" s="24" t="inlineStr">
        <f aca="false">+I57</f>
        <is>
          <t/>
        </is>
      </c>
      <c r="J101" s="24" t="inlineStr">
        <f aca="false">+J57</f>
        <is>
          <t/>
        </is>
      </c>
      <c r="K101" s="24" t="inlineStr">
        <f aca="false">+K57</f>
        <is>
          <t/>
        </is>
      </c>
      <c r="L101" s="24" t="inlineStr">
        <f aca="false">+L57</f>
        <is>
          <t/>
        </is>
      </c>
      <c r="M101" s="25" t="n">
        <f aca="false">+SUMPRODUCT(G100:L100,G101:L101)/M100</f>
        <v>0.0307214149829109</v>
      </c>
    </row>
    <row collapsed="false" customFormat="false" customHeight="false" hidden="false" ht="14" outlineLevel="0" r="102">
      <c r="D102" s="30"/>
      <c r="E102" s="30"/>
      <c r="F102" s="30"/>
      <c r="G102" s="14"/>
      <c r="H102" s="14"/>
      <c r="I102" s="14"/>
      <c r="J102" s="14"/>
      <c r="K102" s="14"/>
      <c r="L102" s="14"/>
      <c r="M102" s="14"/>
    </row>
    <row collapsed="false" customFormat="false" customHeight="false" hidden="false" ht="14" outlineLevel="0" r="103">
      <c r="D103" s="0" t="s">
        <v>41</v>
      </c>
      <c r="G103" s="9" t="n">
        <f aca="false">+G53-G100</f>
        <v>31872.5</v>
      </c>
      <c r="H103" s="9" t="n">
        <f aca="false">+H53-H100</f>
        <v>225411</v>
      </c>
      <c r="I103" s="9" t="n">
        <f aca="false">+I53-I100</f>
        <v>383900</v>
      </c>
      <c r="J103" s="9" t="n">
        <f aca="false">+J53-J100</f>
        <v>105080</v>
      </c>
      <c r="K103" s="9" t="n">
        <f aca="false">+K53-K100</f>
        <v>291340</v>
      </c>
      <c r="L103" s="9" t="n">
        <f aca="false">+L53-L100</f>
        <v>485000</v>
      </c>
      <c r="M103" s="9" t="n">
        <f aca="false">+M53-M100</f>
        <v>1522603.5</v>
      </c>
    </row>
    <row collapsed="false" customFormat="false" customHeight="false" hidden="false" ht="14" outlineLevel="0" r="104">
      <c r="D104" s="0" t="s">
        <v>42</v>
      </c>
      <c r="G104" s="26" t="str">
        <f aca="false">+IF(G103=0,"NA",IF(G103&lt;0,"OVER","UNDER"))</f>
        <v>UNDER</v>
      </c>
      <c r="H104" s="26" t="str">
        <f aca="false">+IF(H103=0,"NA",IF(H103&lt;0,"OVER","UNDER"))</f>
        <v>UNDER</v>
      </c>
      <c r="I104" s="26" t="str">
        <f aca="false">+IF(I103=0,"NA",IF(I103&lt;0,"OVER","UNDER"))</f>
        <v>UNDER</v>
      </c>
      <c r="J104" s="26" t="str">
        <f aca="false">+IF(J103=0,"NA",IF(J103&lt;0,"OVER","UNDER"))</f>
        <v>UNDER</v>
      </c>
      <c r="K104" s="26" t="str">
        <f aca="false">+IF(K103=0,"NA",IF(K103&lt;0,"OVER","UNDER"))</f>
        <v>UNDER</v>
      </c>
      <c r="L104" s="26" t="str">
        <f aca="false">+IF(L103=0,"NA",IF(L103&lt;0,"OVER","UNDER"))</f>
        <v>UNDER</v>
      </c>
      <c r="M104" s="26" t="str">
        <f aca="false">+IF(M103=0,"NA",IF(M103&lt;0,"OVER","UNDER"))</f>
        <v>UNDER</v>
      </c>
    </row>
    <row collapsed="false" customFormat="false" customHeight="false" hidden="false" ht="14" outlineLevel="0" r="105">
      <c r="D105" s="30"/>
      <c r="E105" s="30"/>
      <c r="F105" s="30"/>
      <c r="G105" s="14"/>
      <c r="H105" s="14"/>
      <c r="I105" s="14"/>
      <c r="J105" s="14"/>
      <c r="K105" s="14"/>
      <c r="L105" s="14"/>
      <c r="M105" s="14"/>
    </row>
    <row collapsed="false" customFormat="false" customHeight="false" hidden="false" ht="14" outlineLevel="0" r="106">
      <c r="A106" s="0" t="s">
        <v>47</v>
      </c>
    </row>
    <row collapsed="false" customFormat="false" customHeight="false" hidden="false" ht="14" outlineLevel="0" r="107">
      <c r="D107" s="31" t="s">
        <v>48</v>
      </c>
      <c r="E107" s="32"/>
      <c r="F107" s="32"/>
      <c r="G107" s="33" t="n">
        <f aca="false">+G50+G100</f>
        <v>286852.5</v>
      </c>
      <c r="H107" s="33" t="n">
        <f aca="false">+H50+H100</f>
        <v>150274</v>
      </c>
      <c r="I107" s="33" t="n">
        <f aca="false">+I50+I100</f>
        <v>95975</v>
      </c>
      <c r="J107" s="33" t="n">
        <f aca="false">+J50+J100</f>
        <v>420320</v>
      </c>
      <c r="K107" s="33" t="n">
        <f aca="false">+K50+K100</f>
        <v>224085</v>
      </c>
      <c r="L107" s="33" t="n">
        <f aca="false">+L50+L100</f>
        <v>0</v>
      </c>
      <c r="M107" s="34" t="n">
        <f aca="false">+M50+M100</f>
        <v>1177506.5</v>
      </c>
    </row>
    <row collapsed="false" customFormat="false" customHeight="false" hidden="false" ht="14" outlineLevel="0" r="108">
      <c r="D108" s="35" t="s">
        <v>49</v>
      </c>
      <c r="E108" s="36"/>
      <c r="F108" s="36"/>
      <c r="G108" s="37" t="n">
        <f aca="false">+G107/G4</f>
        <v>0.9</v>
      </c>
      <c r="H108" s="37" t="n">
        <f aca="false">+H107/H4</f>
        <v>0.4</v>
      </c>
      <c r="I108" s="37" t="n">
        <f aca="false">+I107/I4</f>
        <v>0.2</v>
      </c>
      <c r="J108" s="37" t="n">
        <f aca="false">+J107/J4</f>
        <v>0.8</v>
      </c>
      <c r="K108" s="37" t="n">
        <f aca="false">+K107/K4</f>
        <v>0.434757724208178</v>
      </c>
      <c r="L108" s="37" t="n">
        <f aca="false">+L107/L4</f>
        <v>0</v>
      </c>
      <c r="M108" s="38"/>
    </row>
    <row collapsed="false" customFormat="false" customHeight="false" hidden="false" ht="14" outlineLevel="0" r="109">
      <c r="D109" s="39" t="s">
        <v>40</v>
      </c>
      <c r="E109" s="40"/>
      <c r="F109" s="40"/>
      <c r="G109" s="41" t="n">
        <f aca="false">+IF(ISERR((G50*G51)+(G100*G101))/(G100+G50),G101,((G50*G51)+(G100*G101))/(G100+G50))</f>
        <v>0.0216666666666667</v>
      </c>
      <c r="H109" s="41" t="inlineStr">
        <f aca="false">+IF(ISERR((H50*H51)+(H100*H101))/(H100+H50),H101,((H50*H51)+(H100*H101))/(H100+H50))</f>
        <is>
          <t/>
        </is>
      </c>
      <c r="I109" s="41" t="n">
        <f aca="false">+IF(ISERR((I50*I51)+(I100*I101))/(I100+I50),I101,((I50*I51)+(I100*I101))/(I100+I50))</f>
        <v>0.03</v>
      </c>
      <c r="J109" s="41" t="n">
        <f aca="false">+IF(ISERR((J50*J51)+(J100*J101))/(J100+J50),J101,((J50*J51)+(J100*J101))/(J100+J50))</f>
        <v>0.0475</v>
      </c>
      <c r="K109" s="41" t="n">
        <f aca="false">+IF(ISERR((K50*K51)+(K100*K101))/(K100+K50),K101,((K50*K51)+(K100*K101))/(K100+K50))</f>
        <v>0.0232749012651449</v>
      </c>
      <c r="L109" s="41" t="e">
        <f aca="false">+IF(ISERR((L50*L51)+(L100*L101))/(L100+L50),L101,((L50*L51)+(L100*L101))/(L100+L50))</f>
        <v>#DIV/0!</v>
      </c>
      <c r="M109" s="42" t="n">
        <f aca="false">+((M50*M51)+(M100*M101))/(M100+M50)</f>
        <v>0.0319797035090677</v>
      </c>
    </row>
    <row collapsed="false" customFormat="false" customHeight="false" hidden="false" ht="14" outlineLevel="0" r="111">
      <c r="A111" s="0" t="s">
        <v>50</v>
      </c>
    </row>
    <row collapsed="false" customFormat="false" customHeight="false" hidden="true" ht="28.35" outlineLevel="1" r="112">
      <c r="B112" s="10" t="s">
        <v>35</v>
      </c>
      <c r="C112" s="11" t="s">
        <v>51</v>
      </c>
      <c r="D112" s="10" t="s">
        <v>38</v>
      </c>
      <c r="E112" s="10" t="s">
        <v>52</v>
      </c>
      <c r="F112" s="10"/>
      <c r="G112" s="10" t="s">
        <v>53</v>
      </c>
      <c r="I112" s="10" t="s">
        <v>54</v>
      </c>
    </row>
    <row collapsed="false" customFormat="false" customHeight="false" hidden="true" ht="14" outlineLevel="1" r="113">
      <c r="B113" s="0" t="n">
        <f aca="false">+'bid input'!B2</f>
        <v>1104134</v>
      </c>
      <c r="C113" s="13" t="str">
        <f aca="false">+IF('bid input'!Q2=1,"Y","N")</f>
        <v>N</v>
      </c>
      <c r="D113" s="14" t="n">
        <f aca="false">+IF(C113="N",0,'bid input'!K2)</f>
        <v>0</v>
      </c>
      <c r="E113" s="9" t="n">
        <f aca="false">+MIN('bid input'!D2,'bid input'!M2)</f>
        <v>187500</v>
      </c>
      <c r="F113" s="43" t="n">
        <f aca="false">+IF(D113&gt;0,E113,0)</f>
        <v>0</v>
      </c>
      <c r="G113" s="43" t="n">
        <f aca="false">+IF($F113&gt;0,RANK($D113,$D$113:$D$132),0)</f>
        <v>0</v>
      </c>
      <c r="H113" s="44" t="n">
        <f aca="false">+VLOOKUP(G113,$D$138:$E$144,2,0)</f>
        <v>0</v>
      </c>
      <c r="I113" s="44" t="n">
        <f aca="false">+F113-H113</f>
        <v>0</v>
      </c>
      <c r="J113" s="44"/>
      <c r="K113" s="44"/>
      <c r="L113" s="44"/>
    </row>
    <row collapsed="false" customFormat="false" customHeight="false" hidden="true" ht="14" outlineLevel="1" r="114">
      <c r="B114" s="0" t="n">
        <f aca="false">+'bid input'!B3</f>
        <v>1104143</v>
      </c>
      <c r="C114" s="13" t="str">
        <f aca="false">+IF('bid input'!Q3=1,"Y","N")</f>
        <v>N</v>
      </c>
      <c r="D114" s="14" t="n">
        <f aca="false">+IF(C114="N",0,'bid input'!K3)</f>
        <v>0</v>
      </c>
      <c r="E114" s="9" t="n">
        <f aca="false">+MIN('bid input'!D3,'bid input'!M3)</f>
        <v>500000</v>
      </c>
      <c r="F114" s="43" t="n">
        <f aca="false">+IF(D114&gt;0,E114,0)</f>
        <v>0</v>
      </c>
      <c r="G114" s="43" t="n">
        <f aca="false">+IF($F114&gt;0,RANK($D114,$D$113:$D$132),0)</f>
        <v>0</v>
      </c>
      <c r="H114" s="44" t="n">
        <f aca="false">+VLOOKUP(G114,$D$138:$E$144,2,0)</f>
        <v>0</v>
      </c>
      <c r="I114" s="44" t="n">
        <f aca="false">+F114-H114</f>
        <v>0</v>
      </c>
      <c r="J114" s="44"/>
      <c r="K114" s="44"/>
      <c r="L114" s="44"/>
    </row>
    <row collapsed="false" customFormat="false" customHeight="false" hidden="true" ht="14" outlineLevel="1" r="115">
      <c r="B115" s="0" t="n">
        <f aca="false">+'bid input'!B4</f>
        <v>1104154</v>
      </c>
      <c r="C115" s="13" t="str">
        <f aca="false">+IF('bid input'!Q4=1,"Y","N")</f>
        <v>Y</v>
      </c>
      <c r="D115" s="14" t="inlineStr">
        <f aca="false">+IF(C115="N",0,'bid input'!K4)</f>
        <is>
          <t/>
        </is>
      </c>
      <c r="E115" s="9" t="n">
        <f aca="false">+MIN('bid input'!D4,'bid input'!M4)</f>
        <v>185000</v>
      </c>
      <c r="F115" s="43" t="n">
        <f aca="false">+IF(D115&gt;0,E115,0)</f>
        <v>185000</v>
      </c>
      <c r="G115" s="43" t="n">
        <f aca="false">+IF($F115&gt;0,RANK($D115,$D$113:$D$132),0)</f>
        <v>1</v>
      </c>
      <c r="H115" s="44" t="n">
        <f aca="false">+VLOOKUP(G115,$D$138:$E$144,2,0)</f>
        <v>0</v>
      </c>
      <c r="I115" s="44" t="n">
        <f aca="false">+F115-H115</f>
        <v>185000</v>
      </c>
      <c r="J115" s="44"/>
      <c r="K115" s="44"/>
      <c r="L115" s="44"/>
    </row>
    <row collapsed="false" customFormat="false" customHeight="false" hidden="true" ht="14" outlineLevel="1" r="116">
      <c r="B116" s="0" t="n">
        <f aca="false">+'bid input'!B5</f>
        <v>1104152</v>
      </c>
      <c r="C116" s="13" t="str">
        <f aca="false">+IF('bid input'!Q5=1,"Y","N")</f>
        <v>N</v>
      </c>
      <c r="D116" s="14" t="n">
        <f aca="false">+IF(C116="N",0,'bid input'!K5)</f>
        <v>0</v>
      </c>
      <c r="E116" s="9" t="n">
        <f aca="false">+MIN('bid input'!D5,'bid input'!M5)</f>
        <v>1500000</v>
      </c>
      <c r="F116" s="43" t="n">
        <f aca="false">+IF(D116&gt;0,E116,0)</f>
        <v>0</v>
      </c>
      <c r="G116" s="43" t="n">
        <f aca="false">+IF($F116&gt;0,RANK($D116,$D$113:$D$132),0)</f>
        <v>0</v>
      </c>
      <c r="H116" s="44" t="n">
        <f aca="false">+VLOOKUP(G116,$D$138:$E$144,2,0)</f>
        <v>0</v>
      </c>
      <c r="I116" s="44" t="n">
        <f aca="false">+F116-H116</f>
        <v>0</v>
      </c>
      <c r="J116" s="44"/>
      <c r="K116" s="44"/>
      <c r="L116" s="44"/>
    </row>
    <row collapsed="false" customFormat="false" customHeight="false" hidden="true" ht="14" outlineLevel="1" r="117">
      <c r="B117" s="0" t="n">
        <f aca="false">+'bid input'!B6</f>
        <v>1104136</v>
      </c>
      <c r="C117" s="13" t="str">
        <f aca="false">+IF('bid input'!Q6=1,"Y","N")</f>
        <v>N</v>
      </c>
      <c r="D117" s="14" t="n">
        <f aca="false">+IF(C117="N",0,'bid input'!K6)</f>
        <v>0</v>
      </c>
      <c r="E117" s="9" t="n">
        <f aca="false">+MIN('bid input'!D6,'bid input'!M6)</f>
        <v>860000</v>
      </c>
      <c r="F117" s="43" t="n">
        <f aca="false">+IF(D117&gt;0,E117,0)</f>
        <v>0</v>
      </c>
      <c r="G117" s="43" t="n">
        <f aca="false">+IF($F117&gt;0,RANK($D117,$D$113:$D$132),0)</f>
        <v>0</v>
      </c>
      <c r="H117" s="44" t="n">
        <f aca="false">+VLOOKUP(G117,$D$138:$E$144,2,0)</f>
        <v>0</v>
      </c>
      <c r="I117" s="44" t="n">
        <f aca="false">+F117-H117</f>
        <v>0</v>
      </c>
      <c r="J117" s="44"/>
      <c r="K117" s="44"/>
      <c r="L117" s="44"/>
    </row>
    <row collapsed="false" customFormat="false" customHeight="false" hidden="true" ht="14" outlineLevel="1" r="118">
      <c r="B118" s="0" t="n">
        <f aca="false">+'bid input'!B7</f>
        <v>1104138</v>
      </c>
      <c r="C118" s="13" t="str">
        <f aca="false">+IF('bid input'!Q7=1,"Y","N")</f>
        <v>Y</v>
      </c>
      <c r="D118" s="14" t="inlineStr">
        <f aca="false">+IF(C118="N",0,'bid input'!K7)</f>
        <is>
          <t/>
        </is>
      </c>
      <c r="E118" s="9" t="n">
        <f aca="false">+MIN('bid input'!D7,'bid input'!M7)</f>
        <v>300000</v>
      </c>
      <c r="F118" s="43" t="n">
        <f aca="false">+IF(D118&gt;0,E118,0)</f>
        <v>300000</v>
      </c>
      <c r="G118" s="43" t="n">
        <f aca="false">+IF($F118&gt;0,RANK($D118,$D$113:$D$132),0)</f>
        <v>4</v>
      </c>
      <c r="H118" s="44" t="n">
        <f aca="false">+VLOOKUP(G118,$D$138:$E$144,2,0)</f>
        <v>0</v>
      </c>
      <c r="I118" s="44" t="n">
        <f aca="false">+F118-H118</f>
        <v>300000</v>
      </c>
      <c r="J118" s="44"/>
      <c r="K118" s="44"/>
      <c r="L118" s="44"/>
    </row>
    <row collapsed="false" customFormat="false" customHeight="false" hidden="true" ht="14" outlineLevel="1" r="119">
      <c r="B119" s="0" t="n">
        <f aca="false">+'bid input'!B8</f>
        <v>1104139</v>
      </c>
      <c r="C119" s="13" t="str">
        <f aca="false">+IF('bid input'!Q8=1,"Y","N")</f>
        <v>Y</v>
      </c>
      <c r="D119" s="14" t="inlineStr">
        <f aca="false">+IF(C119="N",0,'bid input'!K8)</f>
        <is>
          <t/>
        </is>
      </c>
      <c r="E119" s="9" t="n">
        <f aca="false">+MIN('bid input'!D8,'bid input'!M8)</f>
        <v>250000</v>
      </c>
      <c r="F119" s="43" t="n">
        <f aca="false">+IF(D119&gt;0,E119,0)</f>
        <v>250000</v>
      </c>
      <c r="G119" s="43" t="n">
        <f aca="false">+IF($F119&gt;0,RANK($D119,$D$113:$D$132),0)</f>
        <v>3</v>
      </c>
      <c r="H119" s="44" t="n">
        <f aca="false">+VLOOKUP(G119,$D$138:$E$144,2,0)</f>
        <v>0</v>
      </c>
      <c r="I119" s="44" t="n">
        <f aca="false">+F119-H119</f>
        <v>250000</v>
      </c>
      <c r="J119" s="44"/>
      <c r="K119" s="44"/>
      <c r="L119" s="44"/>
    </row>
    <row collapsed="false" customFormat="false" customHeight="false" hidden="true" ht="14" outlineLevel="1" r="120">
      <c r="B120" s="0" t="n">
        <f aca="false">+'bid input'!B9</f>
        <v>1104140</v>
      </c>
      <c r="C120" s="13" t="str">
        <f aca="false">+IF('bid input'!Q9=1,"Y","N")</f>
        <v>N</v>
      </c>
      <c r="D120" s="14" t="n">
        <f aca="false">+IF(C120="N",0,'bid input'!K9)</f>
        <v>0</v>
      </c>
      <c r="E120" s="9" t="n">
        <f aca="false">+MIN('bid input'!D9,'bid input'!M9)</f>
        <v>74000</v>
      </c>
      <c r="F120" s="43" t="n">
        <f aca="false">+IF(D120&gt;0,E120,0)</f>
        <v>0</v>
      </c>
      <c r="G120" s="43" t="n">
        <f aca="false">+IF($F120&gt;0,RANK($D120,$D$113:$D$132),0)</f>
        <v>0</v>
      </c>
      <c r="H120" s="44" t="n">
        <f aca="false">+VLOOKUP(G120,$D$138:$E$144,2,0)</f>
        <v>0</v>
      </c>
      <c r="I120" s="44" t="n">
        <f aca="false">+F120-H120</f>
        <v>0</v>
      </c>
      <c r="J120" s="44"/>
      <c r="K120" s="44"/>
      <c r="L120" s="44"/>
    </row>
    <row collapsed="false" customFormat="false" customHeight="false" hidden="true" ht="14" outlineLevel="1" r="121">
      <c r="B121" s="0" t="n">
        <f aca="false">+'bid input'!B10</f>
        <v>1104141</v>
      </c>
      <c r="C121" s="13" t="str">
        <f aca="false">+IF('bid input'!Q10=1,"Y","N")</f>
        <v>Y</v>
      </c>
      <c r="D121" s="14" t="inlineStr">
        <f aca="false">+IF(C121="N",0,'bid input'!K10)</f>
        <is>
          <t/>
        </is>
      </c>
      <c r="E121" s="9" t="n">
        <f aca="false">+MIN('bid input'!D10,'bid input'!M10)</f>
        <v>285000</v>
      </c>
      <c r="F121" s="43" t="n">
        <f aca="false">+IF(D121&gt;0,E121,0)</f>
        <v>285000</v>
      </c>
      <c r="G121" s="43" t="n">
        <f aca="false">+IF($F121&gt;0,RANK($D121,$D$113:$D$132),0)</f>
        <v>2</v>
      </c>
      <c r="H121" s="44" t="n">
        <f aca="false">+VLOOKUP(G121,$D$138:$E$144,2,0)</f>
        <v>0</v>
      </c>
      <c r="I121" s="44" t="n">
        <f aca="false">+F121-H121</f>
        <v>285000</v>
      </c>
      <c r="J121" s="44"/>
      <c r="K121" s="44"/>
      <c r="L121" s="44"/>
    </row>
    <row collapsed="false" customFormat="false" customHeight="false" hidden="true" ht="14" outlineLevel="1" r="122">
      <c r="B122" s="0" t="n">
        <f aca="false">+'bid input'!B11</f>
        <v>1104159</v>
      </c>
      <c r="C122" s="13" t="str">
        <f aca="false">+IF('bid input'!Q11=1,"Y","N")</f>
        <v>N</v>
      </c>
      <c r="D122" s="14" t="n">
        <f aca="false">+IF(C122="N",0,'bid input'!K11)</f>
        <v>0</v>
      </c>
      <c r="E122" s="9" t="n">
        <f aca="false">+MIN('bid input'!D11,'bid input'!M11)</f>
        <v>532000</v>
      </c>
      <c r="F122" s="43" t="n">
        <f aca="false">+IF(D122&gt;0,E122,0)</f>
        <v>0</v>
      </c>
      <c r="G122" s="43" t="n">
        <f aca="false">+IF($F122&gt;0,RANK($D122,$D$113:$D$132),0)</f>
        <v>0</v>
      </c>
      <c r="H122" s="44" t="n">
        <f aca="false">+VLOOKUP(G122,$D$138:$E$144,2,0)</f>
        <v>0</v>
      </c>
      <c r="I122" s="44" t="n">
        <f aca="false">+F122-H122</f>
        <v>0</v>
      </c>
      <c r="J122" s="44"/>
      <c r="K122" s="44"/>
      <c r="L122" s="44"/>
    </row>
    <row collapsed="false" customFormat="false" customHeight="false" hidden="true" ht="14" outlineLevel="1" r="123">
      <c r="B123" s="0" t="n">
        <f aca="false">+'bid input'!B12</f>
        <v>1104161</v>
      </c>
      <c r="C123" s="13" t="str">
        <f aca="false">+IF('bid input'!Q12=1,"Y","N")</f>
        <v>N</v>
      </c>
      <c r="D123" s="14" t="n">
        <f aca="false">+IF(C123="N",0,'bid input'!K12)</f>
        <v>0</v>
      </c>
      <c r="E123" s="9" t="n">
        <f aca="false">+MIN('bid input'!D12,'bid input'!M12)</f>
        <v>292000</v>
      </c>
      <c r="F123" s="43" t="n">
        <f aca="false">+IF(D123&gt;0,E123,0)</f>
        <v>0</v>
      </c>
      <c r="G123" s="43" t="n">
        <f aca="false">+IF($F123&gt;0,RANK($D123,$D$113:$D$132),0)</f>
        <v>0</v>
      </c>
      <c r="H123" s="44" t="n">
        <f aca="false">+VLOOKUP(G123,$D$138:$E$144,2,0)</f>
        <v>0</v>
      </c>
      <c r="I123" s="44" t="n">
        <f aca="false">+F123-H123</f>
        <v>0</v>
      </c>
      <c r="J123" s="44"/>
      <c r="K123" s="44"/>
      <c r="L123" s="44"/>
    </row>
    <row collapsed="false" customFormat="false" customHeight="false" hidden="true" ht="14" outlineLevel="1" r="124">
      <c r="B124" s="0" t="n">
        <f aca="false">+'bid input'!B13</f>
        <v>1104145</v>
      </c>
      <c r="C124" s="13" t="str">
        <f aca="false">+IF('bid input'!Q13=1,"Y","N")</f>
        <v>N</v>
      </c>
      <c r="D124" s="14" t="n">
        <f aca="false">+IF(C124="N",0,'bid input'!K13)</f>
        <v>0</v>
      </c>
      <c r="E124" s="9" t="n">
        <f aca="false">+MIN('bid input'!D13,'bid input'!M13)</f>
        <v>752000</v>
      </c>
      <c r="F124" s="43" t="n">
        <f aca="false">+IF(D124&gt;0,E124,0)</f>
        <v>0</v>
      </c>
      <c r="G124" s="43" t="n">
        <f aca="false">+IF($F124&gt;0,RANK($D124,$D$113:$D$132),0)</f>
        <v>0</v>
      </c>
      <c r="H124" s="44" t="n">
        <f aca="false">+VLOOKUP(G124,$D$138:$E$144,2,0)</f>
        <v>0</v>
      </c>
      <c r="I124" s="44" t="n">
        <f aca="false">+F124-H124</f>
        <v>0</v>
      </c>
      <c r="J124" s="44"/>
      <c r="K124" s="44"/>
      <c r="L124" s="44"/>
    </row>
    <row collapsed="false" customFormat="false" customHeight="false" hidden="true" ht="14" outlineLevel="1" r="125">
      <c r="B125" s="0" t="n">
        <f aca="false">+'bid input'!B14</f>
        <v>1104133</v>
      </c>
      <c r="C125" s="13" t="str">
        <f aca="false">+IF('bid input'!Q14=1,"Y","N")</f>
        <v>N</v>
      </c>
      <c r="D125" s="14" t="n">
        <f aca="false">+IF(C125="N",0,'bid input'!K14)</f>
        <v>0</v>
      </c>
      <c r="E125" s="9" t="n">
        <f aca="false">+MIN('bid input'!D14,'bid input'!M14)</f>
        <v>418000</v>
      </c>
      <c r="F125" s="43" t="n">
        <f aca="false">+IF(D125&gt;0,E125,0)</f>
        <v>0</v>
      </c>
      <c r="G125" s="43" t="n">
        <f aca="false">+IF($F125&gt;0,RANK($D125,$D$113:$D$132),0)</f>
        <v>0</v>
      </c>
      <c r="H125" s="44" t="n">
        <f aca="false">+VLOOKUP(G125,$D$138:$E$144,2,0)</f>
        <v>0</v>
      </c>
      <c r="I125" s="44" t="n">
        <f aca="false">+F125-H125</f>
        <v>0</v>
      </c>
      <c r="J125" s="44"/>
      <c r="K125" s="44"/>
      <c r="L125" s="44"/>
    </row>
    <row collapsed="false" customFormat="false" customHeight="false" hidden="true" ht="14" outlineLevel="1" r="126">
      <c r="B126" s="0" t="n">
        <f aca="false">+'bid input'!B15</f>
        <v>1104149</v>
      </c>
      <c r="C126" s="13" t="str">
        <f aca="false">+IF('bid input'!Q15=1,"Y","N")</f>
        <v>N</v>
      </c>
      <c r="D126" s="14" t="n">
        <f aca="false">+IF(C126="N",0,'bid input'!K15)</f>
        <v>0</v>
      </c>
      <c r="E126" s="9" t="n">
        <f aca="false">+MIN('bid input'!D15,'bid input'!M15)</f>
        <v>47000</v>
      </c>
      <c r="F126" s="43" t="n">
        <f aca="false">+IF(D126&gt;0,E126,0)</f>
        <v>0</v>
      </c>
      <c r="G126" s="43" t="n">
        <f aca="false">+IF($F126&gt;0,RANK($D126,$D$113:$D$132),0)</f>
        <v>0</v>
      </c>
      <c r="H126" s="44" t="n">
        <f aca="false">+VLOOKUP(G126,$D$138:$E$144,2,0)</f>
        <v>0</v>
      </c>
      <c r="I126" s="44" t="n">
        <f aca="false">+F126-H126</f>
        <v>0</v>
      </c>
      <c r="J126" s="44"/>
      <c r="K126" s="44"/>
      <c r="L126" s="44"/>
    </row>
    <row collapsed="false" customFormat="false" customHeight="false" hidden="true" ht="14" outlineLevel="1" r="127">
      <c r="B127" s="0" t="n">
        <f aca="false">+'bid input'!B16</f>
        <v>1104151</v>
      </c>
      <c r="C127" s="13" t="str">
        <f aca="false">+IF('bid input'!Q16=1,"Y","N")</f>
        <v>N</v>
      </c>
      <c r="D127" s="14" t="n">
        <f aca="false">+IF(C127="N",0,'bid input'!K16)</f>
        <v>0</v>
      </c>
      <c r="E127" s="9" t="n">
        <f aca="false">+MIN('bid input'!D16,'bid input'!M16)</f>
        <v>283000</v>
      </c>
      <c r="F127" s="43" t="n">
        <f aca="false">+IF(D127&gt;0,E127,0)</f>
        <v>0</v>
      </c>
      <c r="G127" s="43" t="n">
        <f aca="false">+IF($F127&gt;0,RANK($D127,$D$113:$D$132),0)</f>
        <v>0</v>
      </c>
      <c r="H127" s="44" t="n">
        <f aca="false">+VLOOKUP(G127,$D$138:$E$144,2,0)</f>
        <v>0</v>
      </c>
      <c r="I127" s="44" t="n">
        <f aca="false">+F127-H127</f>
        <v>0</v>
      </c>
      <c r="J127" s="44"/>
      <c r="K127" s="44"/>
      <c r="L127" s="44"/>
    </row>
    <row collapsed="false" customFormat="false" customHeight="false" hidden="true" ht="14" outlineLevel="1" r="128">
      <c r="B128" s="0" t="n">
        <f aca="false">+'bid input'!B17</f>
        <v>1104131</v>
      </c>
      <c r="C128" s="13" t="str">
        <f aca="false">+IF('bid input'!Q17=1,"Y","N")</f>
        <v>N</v>
      </c>
      <c r="D128" s="14" t="n">
        <f aca="false">+IF(C128="N",0,'bid input'!K17)</f>
        <v>0</v>
      </c>
      <c r="E128" s="9" t="n">
        <f aca="false">+MIN('bid input'!D17,'bid input'!M17)</f>
        <v>598000</v>
      </c>
      <c r="F128" s="43" t="n">
        <f aca="false">+IF(D128&gt;0,E128,0)</f>
        <v>0</v>
      </c>
      <c r="G128" s="43" t="n">
        <f aca="false">+IF($F128&gt;0,RANK($D128,$D$113:$D$132),0)</f>
        <v>0</v>
      </c>
      <c r="H128" s="44" t="n">
        <f aca="false">+VLOOKUP(G128,$D$138:$E$144,2,0)</f>
        <v>0</v>
      </c>
      <c r="I128" s="44" t="n">
        <f aca="false">+F128-H128</f>
        <v>0</v>
      </c>
      <c r="J128" s="44"/>
      <c r="K128" s="44"/>
      <c r="L128" s="44"/>
    </row>
    <row collapsed="false" customFormat="false" customHeight="false" hidden="true" ht="14" outlineLevel="1" r="129">
      <c r="B129" s="0" t="n">
        <f aca="false">+'bid input'!B18</f>
        <v>1104155</v>
      </c>
      <c r="C129" s="13" t="str">
        <f aca="false">+IF('bid input'!Q18=1,"Y","N")</f>
        <v>N</v>
      </c>
      <c r="D129" s="14" t="n">
        <f aca="false">+IF(C129="N",0,'bid input'!K18)</f>
        <v>0</v>
      </c>
      <c r="E129" s="9" t="n">
        <f aca="false">+MIN('bid input'!D18,'bid input'!M18)</f>
        <v>639000</v>
      </c>
      <c r="F129" s="43" t="n">
        <f aca="false">+IF(D129&gt;0,E129,0)</f>
        <v>0</v>
      </c>
      <c r="G129" s="43" t="n">
        <f aca="false">+IF($F129&gt;0,RANK($D129,$D$113:$D$132),0)</f>
        <v>0</v>
      </c>
      <c r="H129" s="44" t="n">
        <f aca="false">+VLOOKUP(G129,$D$138:$E$144,2,0)</f>
        <v>0</v>
      </c>
      <c r="I129" s="44" t="n">
        <f aca="false">+F129-H129</f>
        <v>0</v>
      </c>
      <c r="J129" s="44"/>
      <c r="K129" s="44"/>
      <c r="L129" s="44"/>
    </row>
    <row collapsed="false" customFormat="false" customHeight="false" hidden="true" ht="14" outlineLevel="1" r="130">
      <c r="B130" s="0" t="n">
        <f aca="false">+'bid input'!B19</f>
        <v>1104156</v>
      </c>
      <c r="C130" s="13" t="str">
        <f aca="false">+IF('bid input'!Q19=1,"Y","N")</f>
        <v>N</v>
      </c>
      <c r="D130" s="14" t="n">
        <f aca="false">+IF(C130="N",0,'bid input'!K19)</f>
        <v>0</v>
      </c>
      <c r="E130" s="9" t="n">
        <f aca="false">+MIN('bid input'!D19,'bid input'!M19)</f>
        <v>274000</v>
      </c>
      <c r="F130" s="43" t="n">
        <f aca="false">+IF(D130&gt;0,E130,0)</f>
        <v>0</v>
      </c>
      <c r="G130" s="43" t="n">
        <f aca="false">+IF($F130&gt;0,RANK($D130,$D$113:$D$132),0)</f>
        <v>0</v>
      </c>
      <c r="H130" s="44" t="n">
        <f aca="false">+VLOOKUP(G130,$D$138:$E$144,2,0)</f>
        <v>0</v>
      </c>
      <c r="I130" s="44" t="n">
        <f aca="false">+F130-H130</f>
        <v>0</v>
      </c>
      <c r="J130" s="44"/>
      <c r="K130" s="44"/>
      <c r="L130" s="44"/>
    </row>
    <row collapsed="false" customFormat="false" customHeight="false" hidden="true" ht="14" outlineLevel="1" r="131">
      <c r="B131" s="0" t="n">
        <f aca="false">+'bid input'!B20</f>
        <v>1104157</v>
      </c>
      <c r="C131" s="13" t="str">
        <f aca="false">+IF('bid input'!Q20=1,"Y","N")</f>
        <v>N</v>
      </c>
      <c r="D131" s="14" t="n">
        <f aca="false">+IF(C131="N",0,'bid input'!K20)</f>
        <v>0</v>
      </c>
      <c r="E131" s="9" t="n">
        <f aca="false">+MIN('bid input'!D20,'bid input'!M20)</f>
        <v>629000</v>
      </c>
      <c r="F131" s="43" t="n">
        <f aca="false">+IF(D131&gt;0,E131,0)</f>
        <v>0</v>
      </c>
      <c r="G131" s="43" t="n">
        <f aca="false">+IF($F131&gt;0,RANK($D131,$D$113:$D$132),0)</f>
        <v>0</v>
      </c>
      <c r="H131" s="44" t="n">
        <f aca="false">+VLOOKUP(G131,$D$138:$E$144,2,0)</f>
        <v>0</v>
      </c>
      <c r="I131" s="44" t="n">
        <f aca="false">+F131-H131</f>
        <v>0</v>
      </c>
      <c r="J131" s="44"/>
      <c r="K131" s="44"/>
      <c r="L131" s="44"/>
    </row>
    <row collapsed="false" customFormat="false" customHeight="false" hidden="true" ht="14" outlineLevel="1" r="132">
      <c r="B132" s="0" t="n">
        <f aca="false">+'bid input'!B21</f>
        <v>1104158</v>
      </c>
      <c r="C132" s="13" t="str">
        <f aca="false">+IF('bid input'!Q21=1,"Y","N")</f>
        <v>N</v>
      </c>
      <c r="D132" s="14" t="n">
        <f aca="false">+IF(C132="N",0,'bid input'!K21)</f>
        <v>0</v>
      </c>
      <c r="E132" s="9" t="n">
        <f aca="false">+MIN('bid input'!D21,'bid input'!M21)</f>
        <v>562000</v>
      </c>
      <c r="F132" s="43" t="n">
        <f aca="false">+IF(D132&gt;0,E132,0)</f>
        <v>0</v>
      </c>
      <c r="G132" s="43" t="n">
        <f aca="false">+IF($F132&gt;0,RANK($D132,$D$113:$D$132),0)</f>
        <v>0</v>
      </c>
      <c r="H132" s="44" t="n">
        <f aca="false">+VLOOKUP(G132,$D$138:$E$144,2,0)</f>
        <v>0</v>
      </c>
      <c r="I132" s="44" t="n">
        <f aca="false">+F132-H132</f>
        <v>0</v>
      </c>
      <c r="J132" s="44"/>
      <c r="K132" s="44"/>
      <c r="L132" s="44"/>
    </row>
    <row collapsed="false" customFormat="false" customHeight="false" hidden="true" ht="14" outlineLevel="1" r="133">
      <c r="B133" s="0" t="s">
        <v>55</v>
      </c>
      <c r="C133" s="0" t="n">
        <f aca="false">+COUNTIF(C113:C132,"Y")</f>
        <v>4</v>
      </c>
      <c r="D133" s="14" t="n">
        <f aca="false">+SUMPRODUCT(E113:E132,D113:D132)/E133</f>
        <v>0.0241911764705882</v>
      </c>
      <c r="E133" s="13" t="n">
        <f aca="false">+SUMIF(C113:C132,"Y",E113:E132)</f>
        <v>1020000</v>
      </c>
      <c r="F133" s="9"/>
      <c r="G133" s="9"/>
      <c r="H133" s="9"/>
      <c r="I133" s="13" t="n">
        <f aca="false">SUM(I113:I132)</f>
        <v>1020000</v>
      </c>
      <c r="J133" s="9"/>
      <c r="K133" s="9"/>
      <c r="L133" s="9"/>
    </row>
    <row collapsed="false" customFormat="false" customHeight="false" hidden="true" ht="14" outlineLevel="1" r="134">
      <c r="D134" s="45"/>
      <c r="I134" s="14" t="n">
        <f aca="false">+SUMPRODUCT(D113:D132,I113:I132)/I133</f>
        <v>0.0241911764705882</v>
      </c>
    </row>
    <row collapsed="false" customFormat="false" customHeight="false" hidden="true" ht="14" outlineLevel="1" r="135">
      <c r="B135" s="0" t="s">
        <v>56</v>
      </c>
      <c r="E135" s="13" t="n">
        <f aca="false">IF(M104="UNDER",+M103,0)</f>
        <v>1522603.5</v>
      </c>
    </row>
    <row collapsed="false" customFormat="false" customHeight="false" hidden="true" ht="14" outlineLevel="1" r="137">
      <c r="B137" s="0" t="s">
        <v>57</v>
      </c>
      <c r="E137" s="13"/>
      <c r="F137" s="9" t="n">
        <f aca="false">+E133-E135</f>
        <v>-502603.5</v>
      </c>
    </row>
    <row collapsed="false" customFormat="false" customHeight="false" hidden="true" ht="14" outlineLevel="1" r="138">
      <c r="D138" s="0" t="n">
        <f aca="false">+C133</f>
        <v>4</v>
      </c>
      <c r="E138" s="44" t="n">
        <f aca="false">+IF(F137&gt;0,MIN(SUMIF($G$113:$G$132,D138,$E$113:$E$132),F137),0)</f>
        <v>0</v>
      </c>
      <c r="F138" s="13" t="n">
        <f aca="false">+F137-E138</f>
        <v>-502603.5</v>
      </c>
    </row>
    <row collapsed="false" customFormat="false" customHeight="false" hidden="true" ht="14" outlineLevel="1" r="139">
      <c r="D139" s="0" t="n">
        <f aca="false">+D138-1</f>
        <v>3</v>
      </c>
      <c r="E139" s="44" t="n">
        <f aca="false">+IF(F138&gt;0,MIN(SUMIF($G$113:$G$132,D139,$E$113:$E$132),F138),0)</f>
        <v>0</v>
      </c>
      <c r="F139" s="13" t="n">
        <f aca="false">+F138-E139</f>
        <v>-502603.5</v>
      </c>
    </row>
    <row collapsed="false" customFormat="false" customHeight="false" hidden="true" ht="14" outlineLevel="1" r="140">
      <c r="D140" s="0" t="n">
        <f aca="false">+D139-1</f>
        <v>2</v>
      </c>
      <c r="E140" s="44" t="n">
        <f aca="false">+IF(F139&gt;0,MIN(SUMIF($G$113:$G$132,D140,$E$113:$E$132),F139),0)</f>
        <v>0</v>
      </c>
      <c r="F140" s="13" t="n">
        <f aca="false">+F139-E140</f>
        <v>-502603.5</v>
      </c>
    </row>
    <row collapsed="false" customFormat="false" customHeight="false" hidden="true" ht="14" outlineLevel="1" r="141">
      <c r="D141" s="0" t="n">
        <f aca="false">+D140-1</f>
        <v>1</v>
      </c>
      <c r="E141" s="44" t="n">
        <f aca="false">+IF(F140&gt;0,MIN(SUMIF($G$113:$G$132,D141,$E$113:$E$132),F140),0)</f>
        <v>0</v>
      </c>
      <c r="F141" s="13" t="n">
        <f aca="false">+F140-E141</f>
        <v>-502603.5</v>
      </c>
    </row>
    <row collapsed="false" customFormat="false" customHeight="false" hidden="true" ht="14" outlineLevel="1" r="142">
      <c r="D142" s="0" t="n">
        <f aca="false">+D141-1</f>
        <v>0</v>
      </c>
      <c r="E142" s="44" t="n">
        <f aca="false">+IF(F141&gt;0,MIN(SUMIF($G$113:$G$132,D142,$E$113:$E$132),F141),0)</f>
        <v>0</v>
      </c>
      <c r="F142" s="13" t="n">
        <f aca="false">+F141-E142</f>
        <v>-502603.5</v>
      </c>
    </row>
    <row collapsed="false" customFormat="false" customHeight="false" hidden="true" ht="14" outlineLevel="1" r="143">
      <c r="D143" s="0" t="n">
        <f aca="false">+D142-1</f>
        <v>-1</v>
      </c>
      <c r="E143" s="44" t="n">
        <f aca="false">+IF(F142&gt;0,MIN(SUMIF($G$113:$G$132,D143,$E$113:$E$132),F142),0)</f>
        <v>0</v>
      </c>
      <c r="F143" s="13" t="n">
        <f aca="false">+F142-E143</f>
        <v>-502603.5</v>
      </c>
    </row>
    <row collapsed="false" customFormat="false" customHeight="false" hidden="true" ht="14" outlineLevel="1" r="144">
      <c r="D144" s="0" t="n">
        <f aca="false">+D143-1</f>
        <v>-2</v>
      </c>
      <c r="E144" s="44" t="n">
        <f aca="false">+IF(F143&gt;0,MIN(SUMIF($G$113:$G$132,D144,$E$113:$E$132),F143),0)</f>
        <v>0</v>
      </c>
      <c r="F144" s="13" t="n">
        <f aca="false">+F143-E144</f>
        <v>-502603.5</v>
      </c>
    </row>
    <row collapsed="false" customFormat="false" customHeight="false" hidden="true" ht="14" outlineLevel="1" r="145">
      <c r="E145" s="13"/>
    </row>
    <row collapsed="false" customFormat="false" customHeight="false" hidden="true" ht="14" outlineLevel="1" r="146">
      <c r="E146" s="13"/>
      <c r="G146" s="9" t="n">
        <f aca="false">+G103</f>
        <v>31872.5</v>
      </c>
      <c r="H146" s="9" t="n">
        <f aca="false">+H103</f>
        <v>225411</v>
      </c>
      <c r="I146" s="9" t="n">
        <f aca="false">+I103</f>
        <v>383900</v>
      </c>
      <c r="J146" s="9" t="n">
        <f aca="false">+J103</f>
        <v>105080</v>
      </c>
      <c r="K146" s="9" t="n">
        <f aca="false">+K103</f>
        <v>291340</v>
      </c>
      <c r="L146" s="9" t="n">
        <f aca="false">+L103</f>
        <v>485000</v>
      </c>
      <c r="M146" s="9" t="n">
        <f aca="false">+M103</f>
        <v>1522603.5</v>
      </c>
    </row>
    <row collapsed="false" customFormat="false" customHeight="false" hidden="true" ht="14" outlineLevel="1" r="147">
      <c r="B147" s="10" t="s">
        <v>35</v>
      </c>
      <c r="C147" s="10" t="s">
        <v>38</v>
      </c>
      <c r="D147" s="10" t="s">
        <v>58</v>
      </c>
      <c r="E147" s="10" t="s">
        <v>59</v>
      </c>
    </row>
    <row collapsed="false" customFormat="false" customHeight="false" hidden="true" ht="14" outlineLevel="1" r="148">
      <c r="B148" s="0" t="n">
        <f aca="false">+B113</f>
        <v>1104134</v>
      </c>
      <c r="C148" s="46" t="inlineStr">
        <f aca="false">+D113</f>
        <is>
          <t/>
        </is>
      </c>
      <c r="D148" s="9" t="n">
        <f aca="false">+I113</f>
        <v>0</v>
      </c>
      <c r="E148" s="46" t="n">
        <f aca="false">+IF(D148&gt;0,C148+(SUMPRODUCT($G148:$L148,$G$170:$L$170)/$M148),0)</f>
        <v>0</v>
      </c>
      <c r="G148" s="44" t="n">
        <f aca="false">+G$146/$M$146*$D148</f>
        <v>0</v>
      </c>
      <c r="H148" s="44" t="n">
        <f aca="false">+H$146/$M$146*$D148</f>
        <v>0</v>
      </c>
      <c r="I148" s="44" t="n">
        <f aca="false">+I$146/$M$146*$D148</f>
        <v>0</v>
      </c>
      <c r="J148" s="44" t="n">
        <f aca="false">+J$146/$M$146*$D148</f>
        <v>0</v>
      </c>
      <c r="K148" s="44" t="n">
        <f aca="false">+K$146/$M$146*$D148</f>
        <v>0</v>
      </c>
      <c r="L148" s="44" t="n">
        <f aca="false">+L$146/$M$146*$D148</f>
        <v>0</v>
      </c>
      <c r="M148" s="9" t="n">
        <f aca="false">SUM(G148:L148)</f>
        <v>0</v>
      </c>
    </row>
    <row collapsed="false" customFormat="false" customHeight="false" hidden="true" ht="14" outlineLevel="1" r="149">
      <c r="B149" s="0" t="n">
        <f aca="false">+B114</f>
        <v>1104143</v>
      </c>
      <c r="C149" s="46" t="inlineStr">
        <f aca="false">+D114</f>
        <is>
          <t/>
        </is>
      </c>
      <c r="D149" s="9" t="n">
        <f aca="false">+I114</f>
        <v>0</v>
      </c>
      <c r="E149" s="46" t="n">
        <f aca="false">+IF(D149&gt;0,C149+(SUMPRODUCT($G149:$L149,$G$170:$L$170)/$M149),0)</f>
        <v>0</v>
      </c>
      <c r="G149" s="44" t="n">
        <f aca="false">+G$146/$M$146*$D149</f>
        <v>0</v>
      </c>
      <c r="H149" s="44" t="n">
        <f aca="false">+H$146/$M$146*$D149</f>
        <v>0</v>
      </c>
      <c r="I149" s="44" t="n">
        <f aca="false">+I$146/$M$146*$D149</f>
        <v>0</v>
      </c>
      <c r="J149" s="44" t="n">
        <f aca="false">+J$146/$M$146*$D149</f>
        <v>0</v>
      </c>
      <c r="K149" s="44" t="n">
        <f aca="false">+K$146/$M$146*$D149</f>
        <v>0</v>
      </c>
      <c r="L149" s="44" t="n">
        <f aca="false">+L$146/$M$146*$D149</f>
        <v>0</v>
      </c>
      <c r="M149" s="9" t="n">
        <f aca="false">SUM(G149:L149)</f>
        <v>0</v>
      </c>
    </row>
    <row collapsed="false" customFormat="false" customHeight="false" hidden="true" ht="14" outlineLevel="1" r="150">
      <c r="B150" s="0" t="n">
        <f aca="false">+B115</f>
        <v>1104154</v>
      </c>
      <c r="C150" s="46" t="inlineStr">
        <f aca="false">+D115</f>
        <is>
          <t/>
        </is>
      </c>
      <c r="D150" s="9" t="n">
        <f aca="false">+I115</f>
        <v>185000</v>
      </c>
      <c r="E150" s="46" t="inlineStr">
        <f aca="false">+IF(D150&gt;0,C150+(SUMPRODUCT($G150:$L150,$G$170:$L$170)/$M150),0)</f>
        <is>
          <t/>
        </is>
      </c>
      <c r="G150" s="44" t="n">
        <f aca="false">+G$146/$M$146*$D150</f>
        <v>3872.58567315785</v>
      </c>
      <c r="H150" s="44" t="n">
        <f aca="false">+H$146/$M$146*$D150</f>
        <v>27387.9805215212</v>
      </c>
      <c r="I150" s="44" t="n">
        <f aca="false">+I$146/$M$146*$D150</f>
        <v>46644.7765291489</v>
      </c>
      <c r="J150" s="44" t="n">
        <f aca="false">+J$146/$M$146*$D150</f>
        <v>12767.4736068845</v>
      </c>
      <c r="K150" s="44" t="n">
        <f aca="false">+K$146/$M$146*$D150</f>
        <v>35398.5131388441</v>
      </c>
      <c r="L150" s="44" t="n">
        <f aca="false">+L$146/$M$146*$D150</f>
        <v>58928.6705304434</v>
      </c>
      <c r="M150" s="9" t="n">
        <f aca="false">SUM(G150:L150)</f>
        <v>185000</v>
      </c>
    </row>
    <row collapsed="false" customFormat="false" customHeight="false" hidden="true" ht="14" outlineLevel="1" r="151">
      <c r="B151" s="0" t="n">
        <f aca="false">+B116</f>
        <v>1104152</v>
      </c>
      <c r="C151" s="46" t="inlineStr">
        <f aca="false">+D116</f>
        <is>
          <t/>
        </is>
      </c>
      <c r="D151" s="9" t="n">
        <f aca="false">+I116</f>
        <v>0</v>
      </c>
      <c r="E151" s="46" t="n">
        <f aca="false">+IF(D151&gt;0,C151+(SUMPRODUCT($G151:$L151,$G$170:$L$170)/$M151),0)</f>
        <v>0</v>
      </c>
      <c r="G151" s="44" t="n">
        <f aca="false">+G$146/$M$146*$D151</f>
        <v>0</v>
      </c>
      <c r="H151" s="44" t="n">
        <f aca="false">+H$146/$M$146*$D151</f>
        <v>0</v>
      </c>
      <c r="I151" s="44" t="n">
        <f aca="false">+I$146/$M$146*$D151</f>
        <v>0</v>
      </c>
      <c r="J151" s="44" t="n">
        <f aca="false">+J$146/$M$146*$D151</f>
        <v>0</v>
      </c>
      <c r="K151" s="44" t="n">
        <f aca="false">+K$146/$M$146*$D151</f>
        <v>0</v>
      </c>
      <c r="L151" s="44" t="n">
        <f aca="false">+L$146/$M$146*$D151</f>
        <v>0</v>
      </c>
      <c r="M151" s="9" t="n">
        <f aca="false">SUM(G151:L151)</f>
        <v>0</v>
      </c>
    </row>
    <row collapsed="false" customFormat="false" customHeight="false" hidden="true" ht="14" outlineLevel="1" r="152">
      <c r="B152" s="0" t="n">
        <f aca="false">+B117</f>
        <v>1104136</v>
      </c>
      <c r="C152" s="46" t="inlineStr">
        <f aca="false">+D117</f>
        <is>
          <t/>
        </is>
      </c>
      <c r="D152" s="9" t="n">
        <f aca="false">+I117</f>
        <v>0</v>
      </c>
      <c r="E152" s="46" t="n">
        <f aca="false">+IF(D152&gt;0,C152+(SUMPRODUCT($G152:$L152,$G$170:$L$170)/$M152),0)</f>
        <v>0</v>
      </c>
      <c r="G152" s="44" t="n">
        <f aca="false">+G$146/$M$146*$D152</f>
        <v>0</v>
      </c>
      <c r="H152" s="44" t="n">
        <f aca="false">+H$146/$M$146*$D152</f>
        <v>0</v>
      </c>
      <c r="I152" s="44" t="n">
        <f aca="false">+I$146/$M$146*$D152</f>
        <v>0</v>
      </c>
      <c r="J152" s="44" t="n">
        <f aca="false">+J$146/$M$146*$D152</f>
        <v>0</v>
      </c>
      <c r="K152" s="44" t="n">
        <f aca="false">+K$146/$M$146*$D152</f>
        <v>0</v>
      </c>
      <c r="L152" s="44" t="n">
        <f aca="false">+L$146/$M$146*$D152</f>
        <v>0</v>
      </c>
      <c r="M152" s="9" t="n">
        <f aca="false">SUM(G152:L152)</f>
        <v>0</v>
      </c>
    </row>
    <row collapsed="false" customFormat="false" customHeight="false" hidden="true" ht="14" outlineLevel="1" r="153">
      <c r="B153" s="0" t="n">
        <f aca="false">+B118</f>
        <v>1104138</v>
      </c>
      <c r="C153" s="46" t="inlineStr">
        <f aca="false">+D118</f>
        <is>
          <t/>
        </is>
      </c>
      <c r="D153" s="9" t="n">
        <f aca="false">+I118</f>
        <v>300000</v>
      </c>
      <c r="E153" s="46" t="inlineStr">
        <f aca="false">+IF(D153&gt;0,C153+(SUMPRODUCT($G153:$L153,$G$170:$L$170)/$M153),0)</f>
        <is>
          <t/>
        </is>
      </c>
      <c r="G153" s="44" t="n">
        <f aca="false">+G$146/$M$146*$D153</f>
        <v>6279.86865917489</v>
      </c>
      <c r="H153" s="44" t="n">
        <f aca="false">+H$146/$M$146*$D153</f>
        <v>44412.9413862506</v>
      </c>
      <c r="I153" s="44" t="n">
        <f aca="false">+I$146/$M$146*$D153</f>
        <v>75640.1781553766</v>
      </c>
      <c r="J153" s="44" t="n">
        <f aca="false">+J$146/$M$146*$D153</f>
        <v>20704.0112544073</v>
      </c>
      <c r="K153" s="44" t="n">
        <f aca="false">+K$146/$M$146*$D153</f>
        <v>57402.9942792066</v>
      </c>
      <c r="L153" s="44" t="n">
        <f aca="false">+L$146/$M$146*$D153</f>
        <v>95560.0062655839</v>
      </c>
      <c r="M153" s="9" t="n">
        <f aca="false">SUM(G153:L153)</f>
        <v>300000</v>
      </c>
    </row>
    <row collapsed="false" customFormat="false" customHeight="false" hidden="true" ht="14" outlineLevel="1" r="154">
      <c r="B154" s="0" t="n">
        <f aca="false">+B119</f>
        <v>1104139</v>
      </c>
      <c r="C154" s="46" t="inlineStr">
        <f aca="false">+D119</f>
        <is>
          <t/>
        </is>
      </c>
      <c r="D154" s="9" t="n">
        <f aca="false">+I119</f>
        <v>250000</v>
      </c>
      <c r="E154" s="46" t="inlineStr">
        <f aca="false">+IF(D154&gt;0,C154+(SUMPRODUCT($G154:$L154,$G$170:$L$170)/$M154),0)</f>
        <is>
          <t/>
        </is>
      </c>
      <c r="G154" s="44" t="n">
        <f aca="false">+G$146/$M$146*$D154</f>
        <v>5233.22388264574</v>
      </c>
      <c r="H154" s="44" t="n">
        <f aca="false">+H$146/$M$146*$D154</f>
        <v>37010.7844885422</v>
      </c>
      <c r="I154" s="44" t="n">
        <f aca="false">+I$146/$M$146*$D154</f>
        <v>63033.4817961472</v>
      </c>
      <c r="J154" s="44" t="n">
        <f aca="false">+J$146/$M$146*$D154</f>
        <v>17253.3427120061</v>
      </c>
      <c r="K154" s="44" t="n">
        <f aca="false">+K$146/$M$146*$D154</f>
        <v>47835.8285660055</v>
      </c>
      <c r="L154" s="44" t="n">
        <f aca="false">+L$146/$M$146*$D154</f>
        <v>79633.3385546533</v>
      </c>
      <c r="M154" s="9" t="n">
        <f aca="false">SUM(G154:L154)</f>
        <v>250000</v>
      </c>
    </row>
    <row collapsed="false" customFormat="false" customHeight="false" hidden="true" ht="14" outlineLevel="1" r="155">
      <c r="B155" s="0" t="n">
        <f aca="false">+B120</f>
        <v>1104140</v>
      </c>
      <c r="C155" s="46" t="inlineStr">
        <f aca="false">+D120</f>
        <is>
          <t/>
        </is>
      </c>
      <c r="D155" s="9" t="n">
        <f aca="false">+I120</f>
        <v>0</v>
      </c>
      <c r="E155" s="46" t="n">
        <f aca="false">+IF(D155&gt;0,C155+(SUMPRODUCT($G155:$L155,$G$170:$L$170)/$M155),0)</f>
        <v>0</v>
      </c>
      <c r="G155" s="44" t="n">
        <f aca="false">+G$146/$M$146*$D155</f>
        <v>0</v>
      </c>
      <c r="H155" s="44" t="n">
        <f aca="false">+H$146/$M$146*$D155</f>
        <v>0</v>
      </c>
      <c r="I155" s="44" t="n">
        <f aca="false">+I$146/$M$146*$D155</f>
        <v>0</v>
      </c>
      <c r="J155" s="44" t="n">
        <f aca="false">+J$146/$M$146*$D155</f>
        <v>0</v>
      </c>
      <c r="K155" s="44" t="n">
        <f aca="false">+K$146/$M$146*$D155</f>
        <v>0</v>
      </c>
      <c r="L155" s="44" t="n">
        <f aca="false">+L$146/$M$146*$D155</f>
        <v>0</v>
      </c>
      <c r="M155" s="9" t="n">
        <f aca="false">SUM(G155:L155)</f>
        <v>0</v>
      </c>
    </row>
    <row collapsed="false" customFormat="false" customHeight="false" hidden="true" ht="14" outlineLevel="1" r="156">
      <c r="B156" s="0" t="n">
        <f aca="false">+B121</f>
        <v>1104141</v>
      </c>
      <c r="C156" s="46" t="inlineStr">
        <f aca="false">+D121</f>
        <is>
          <t/>
        </is>
      </c>
      <c r="D156" s="9" t="n">
        <f aca="false">+I121</f>
        <v>285000</v>
      </c>
      <c r="E156" s="46" t="inlineStr">
        <f aca="false">+IF(D156&gt;0,C156+(SUMPRODUCT($G156:$L156,$G$170:$L$170)/$M156),0)</f>
        <is>
          <t/>
        </is>
      </c>
      <c r="G156" s="44" t="n">
        <f aca="false">+G$146/$M$146*$D156</f>
        <v>5965.87522621615</v>
      </c>
      <c r="H156" s="44" t="n">
        <f aca="false">+H$146/$M$146*$D156</f>
        <v>42192.2943169381</v>
      </c>
      <c r="I156" s="44" t="n">
        <f aca="false">+I$146/$M$146*$D156</f>
        <v>71858.1692476078</v>
      </c>
      <c r="J156" s="44" t="n">
        <f aca="false">+J$146/$M$146*$D156</f>
        <v>19668.810691687</v>
      </c>
      <c r="K156" s="44" t="n">
        <f aca="false">+K$146/$M$146*$D156</f>
        <v>54532.8445652463</v>
      </c>
      <c r="L156" s="44" t="n">
        <f aca="false">+L$146/$M$146*$D156</f>
        <v>90782.0059523047</v>
      </c>
      <c r="M156" s="9" t="n">
        <f aca="false">SUM(G156:L156)</f>
        <v>285000</v>
      </c>
    </row>
    <row collapsed="false" customFormat="false" customHeight="false" hidden="true" ht="14" outlineLevel="1" r="157">
      <c r="B157" s="0" t="n">
        <f aca="false">+B122</f>
        <v>1104159</v>
      </c>
      <c r="C157" s="46" t="inlineStr">
        <f aca="false">+D122</f>
        <is>
          <t/>
        </is>
      </c>
      <c r="D157" s="9" t="n">
        <f aca="false">+I122</f>
        <v>0</v>
      </c>
      <c r="E157" s="46" t="n">
        <f aca="false">+IF(D157&gt;0,C157+(SUMPRODUCT($G157:$L157,$G$170:$L$170)/$M157),0)</f>
        <v>0</v>
      </c>
      <c r="G157" s="44" t="n">
        <f aca="false">+G$146/$M$146*$D157</f>
        <v>0</v>
      </c>
      <c r="H157" s="44" t="n">
        <f aca="false">+H$146/$M$146*$D157</f>
        <v>0</v>
      </c>
      <c r="I157" s="44" t="n">
        <f aca="false">+I$146/$M$146*$D157</f>
        <v>0</v>
      </c>
      <c r="J157" s="44" t="n">
        <f aca="false">+J$146/$M$146*$D157</f>
        <v>0</v>
      </c>
      <c r="K157" s="44" t="n">
        <f aca="false">+K$146/$M$146*$D157</f>
        <v>0</v>
      </c>
      <c r="L157" s="44" t="n">
        <f aca="false">+L$146/$M$146*$D157</f>
        <v>0</v>
      </c>
      <c r="M157" s="9" t="n">
        <f aca="false">SUM(G157:L157)</f>
        <v>0</v>
      </c>
    </row>
    <row collapsed="false" customFormat="false" customHeight="false" hidden="true" ht="14" outlineLevel="1" r="158">
      <c r="B158" s="0" t="n">
        <f aca="false">+B123</f>
        <v>1104161</v>
      </c>
      <c r="C158" s="46" t="inlineStr">
        <f aca="false">+D123</f>
        <is>
          <t/>
        </is>
      </c>
      <c r="D158" s="9" t="n">
        <f aca="false">+I123</f>
        <v>0</v>
      </c>
      <c r="E158" s="46" t="n">
        <f aca="false">+IF(D158&gt;0,C158+(SUMPRODUCT($G158:$L158,$G$170:$L$170)/$M158),0)</f>
        <v>0</v>
      </c>
      <c r="G158" s="44" t="n">
        <f aca="false">+G$146/$M$146*$D158</f>
        <v>0</v>
      </c>
      <c r="H158" s="44" t="n">
        <f aca="false">+H$146/$M$146*$D158</f>
        <v>0</v>
      </c>
      <c r="I158" s="44" t="n">
        <f aca="false">+I$146/$M$146*$D158</f>
        <v>0</v>
      </c>
      <c r="J158" s="44" t="n">
        <f aca="false">+J$146/$M$146*$D158</f>
        <v>0</v>
      </c>
      <c r="K158" s="44" t="n">
        <f aca="false">+K$146/$M$146*$D158</f>
        <v>0</v>
      </c>
      <c r="L158" s="44" t="n">
        <f aca="false">+L$146/$M$146*$D158</f>
        <v>0</v>
      </c>
      <c r="M158" s="9" t="n">
        <f aca="false">SUM(G158:L158)</f>
        <v>0</v>
      </c>
    </row>
    <row collapsed="false" customFormat="false" customHeight="false" hidden="true" ht="14" outlineLevel="1" r="159">
      <c r="B159" s="0" t="n">
        <f aca="false">+B124</f>
        <v>1104145</v>
      </c>
      <c r="C159" s="46" t="inlineStr">
        <f aca="false">+D124</f>
        <is>
          <t/>
        </is>
      </c>
      <c r="D159" s="9" t="n">
        <f aca="false">+I124</f>
        <v>0</v>
      </c>
      <c r="E159" s="46" t="n">
        <f aca="false">+IF(D159&gt;0,C159+(SUMPRODUCT($G159:$L159,$G$170:$L$170)/$M159),0)</f>
        <v>0</v>
      </c>
      <c r="G159" s="44" t="n">
        <f aca="false">+G$146/$M$146*$D159</f>
        <v>0</v>
      </c>
      <c r="H159" s="44" t="n">
        <f aca="false">+H$146/$M$146*$D159</f>
        <v>0</v>
      </c>
      <c r="I159" s="44" t="n">
        <f aca="false">+I$146/$M$146*$D159</f>
        <v>0</v>
      </c>
      <c r="J159" s="44" t="n">
        <f aca="false">+J$146/$M$146*$D159</f>
        <v>0</v>
      </c>
      <c r="K159" s="44" t="n">
        <f aca="false">+K$146/$M$146*$D159</f>
        <v>0</v>
      </c>
      <c r="L159" s="44" t="n">
        <f aca="false">+L$146/$M$146*$D159</f>
        <v>0</v>
      </c>
      <c r="M159" s="9" t="n">
        <f aca="false">SUM(G159:L159)</f>
        <v>0</v>
      </c>
    </row>
    <row collapsed="false" customFormat="false" customHeight="false" hidden="true" ht="14" outlineLevel="1" r="160">
      <c r="B160" s="0" t="n">
        <f aca="false">+B125</f>
        <v>1104133</v>
      </c>
      <c r="C160" s="46" t="inlineStr">
        <f aca="false">+D125</f>
        <is>
          <t/>
        </is>
      </c>
      <c r="D160" s="9" t="n">
        <f aca="false">+I125</f>
        <v>0</v>
      </c>
      <c r="E160" s="46" t="n">
        <f aca="false">+IF(D160&gt;0,C160+(SUMPRODUCT($G160:$L160,$G$170:$L$170)/$M160),0)</f>
        <v>0</v>
      </c>
      <c r="G160" s="44" t="n">
        <f aca="false">+G$146/$M$146*$D160</f>
        <v>0</v>
      </c>
      <c r="H160" s="44" t="n">
        <f aca="false">+H$146/$M$146*$D160</f>
        <v>0</v>
      </c>
      <c r="I160" s="44" t="n">
        <f aca="false">+I$146/$M$146*$D160</f>
        <v>0</v>
      </c>
      <c r="J160" s="44" t="n">
        <f aca="false">+J$146/$M$146*$D160</f>
        <v>0</v>
      </c>
      <c r="K160" s="44" t="n">
        <f aca="false">+K$146/$M$146*$D160</f>
        <v>0</v>
      </c>
      <c r="L160" s="44" t="n">
        <f aca="false">+L$146/$M$146*$D160</f>
        <v>0</v>
      </c>
      <c r="M160" s="9" t="n">
        <f aca="false">SUM(G160:L160)</f>
        <v>0</v>
      </c>
    </row>
    <row collapsed="false" customFormat="false" customHeight="false" hidden="true" ht="14" outlineLevel="1" r="161">
      <c r="B161" s="0" t="n">
        <f aca="false">+B126</f>
        <v>1104149</v>
      </c>
      <c r="C161" s="46" t="inlineStr">
        <f aca="false">+D126</f>
        <is>
          <t/>
        </is>
      </c>
      <c r="D161" s="9" t="n">
        <f aca="false">+I126</f>
        <v>0</v>
      </c>
      <c r="E161" s="46" t="n">
        <f aca="false">+IF(D161&gt;0,C161+(SUMPRODUCT($G161:$L161,$G$170:$L$170)/$M161),0)</f>
        <v>0</v>
      </c>
      <c r="G161" s="44" t="n">
        <f aca="false">+G$146/$M$146*$D161</f>
        <v>0</v>
      </c>
      <c r="H161" s="44" t="n">
        <f aca="false">+H$146/$M$146*$D161</f>
        <v>0</v>
      </c>
      <c r="I161" s="44" t="n">
        <f aca="false">+I$146/$M$146*$D161</f>
        <v>0</v>
      </c>
      <c r="J161" s="44" t="n">
        <f aca="false">+J$146/$M$146*$D161</f>
        <v>0</v>
      </c>
      <c r="K161" s="44" t="n">
        <f aca="false">+K$146/$M$146*$D161</f>
        <v>0</v>
      </c>
      <c r="L161" s="44" t="n">
        <f aca="false">+L$146/$M$146*$D161</f>
        <v>0</v>
      </c>
      <c r="M161" s="9" t="n">
        <f aca="false">SUM(G161:L161)</f>
        <v>0</v>
      </c>
    </row>
    <row collapsed="false" customFormat="false" customHeight="false" hidden="true" ht="14" outlineLevel="1" r="162">
      <c r="B162" s="0" t="n">
        <f aca="false">+B127</f>
        <v>1104151</v>
      </c>
      <c r="C162" s="46" t="inlineStr">
        <f aca="false">+D127</f>
        <is>
          <t/>
        </is>
      </c>
      <c r="D162" s="9" t="n">
        <f aca="false">+I127</f>
        <v>0</v>
      </c>
      <c r="E162" s="46" t="n">
        <f aca="false">+IF(D162&gt;0,C162+(SUMPRODUCT($G162:$L162,$G$170:$L$170)/$M162),0)</f>
        <v>0</v>
      </c>
      <c r="G162" s="44" t="n">
        <f aca="false">+G$146/$M$146*$D162</f>
        <v>0</v>
      </c>
      <c r="H162" s="44" t="n">
        <f aca="false">+H$146/$M$146*$D162</f>
        <v>0</v>
      </c>
      <c r="I162" s="44" t="n">
        <f aca="false">+I$146/$M$146*$D162</f>
        <v>0</v>
      </c>
      <c r="J162" s="44" t="n">
        <f aca="false">+J$146/$M$146*$D162</f>
        <v>0</v>
      </c>
      <c r="K162" s="44" t="n">
        <f aca="false">+K$146/$M$146*$D162</f>
        <v>0</v>
      </c>
      <c r="L162" s="44" t="n">
        <f aca="false">+L$146/$M$146*$D162</f>
        <v>0</v>
      </c>
      <c r="M162" s="9" t="n">
        <f aca="false">SUM(G162:L162)</f>
        <v>0</v>
      </c>
    </row>
    <row collapsed="false" customFormat="false" customHeight="false" hidden="true" ht="14" outlineLevel="1" r="163">
      <c r="B163" s="0" t="n">
        <f aca="false">+B128</f>
        <v>1104131</v>
      </c>
      <c r="C163" s="46" t="inlineStr">
        <f aca="false">+D128</f>
        <is>
          <t/>
        </is>
      </c>
      <c r="D163" s="9" t="n">
        <f aca="false">+I128</f>
        <v>0</v>
      </c>
      <c r="E163" s="46" t="n">
        <f aca="false">+IF(D163&gt;0,C163+(SUMPRODUCT($G163:$L163,$G$170:$L$170)/$M163),0)</f>
        <v>0</v>
      </c>
      <c r="G163" s="44" t="n">
        <f aca="false">+G$146/$M$146*$D163</f>
        <v>0</v>
      </c>
      <c r="H163" s="44" t="n">
        <f aca="false">+H$146/$M$146*$D163</f>
        <v>0</v>
      </c>
      <c r="I163" s="44" t="n">
        <f aca="false">+I$146/$M$146*$D163</f>
        <v>0</v>
      </c>
      <c r="J163" s="44" t="n">
        <f aca="false">+J$146/$M$146*$D163</f>
        <v>0</v>
      </c>
      <c r="K163" s="44" t="n">
        <f aca="false">+K$146/$M$146*$D163</f>
        <v>0</v>
      </c>
      <c r="L163" s="44" t="n">
        <f aca="false">+L$146/$M$146*$D163</f>
        <v>0</v>
      </c>
      <c r="M163" s="9" t="n">
        <f aca="false">SUM(G163:L163)</f>
        <v>0</v>
      </c>
    </row>
    <row collapsed="false" customFormat="false" customHeight="false" hidden="true" ht="14" outlineLevel="1" r="164">
      <c r="B164" s="0" t="n">
        <f aca="false">+B129</f>
        <v>1104155</v>
      </c>
      <c r="C164" s="46" t="inlineStr">
        <f aca="false">+D129</f>
        <is>
          <t/>
        </is>
      </c>
      <c r="D164" s="9" t="n">
        <f aca="false">+I129</f>
        <v>0</v>
      </c>
      <c r="E164" s="46" t="n">
        <f aca="false">+IF(D164&gt;0,C164+(SUMPRODUCT($G164:$L164,$G$170:$L$170)/$M164),0)</f>
        <v>0</v>
      </c>
      <c r="G164" s="44" t="n">
        <f aca="false">+G$146/$M$146*$D164</f>
        <v>0</v>
      </c>
      <c r="H164" s="44" t="n">
        <f aca="false">+H$146/$M$146*$D164</f>
        <v>0</v>
      </c>
      <c r="I164" s="44" t="n">
        <f aca="false">+I$146/$M$146*$D164</f>
        <v>0</v>
      </c>
      <c r="J164" s="44" t="n">
        <f aca="false">+J$146/$M$146*$D164</f>
        <v>0</v>
      </c>
      <c r="K164" s="44" t="n">
        <f aca="false">+K$146/$M$146*$D164</f>
        <v>0</v>
      </c>
      <c r="L164" s="44" t="n">
        <f aca="false">+L$146/$M$146*$D164</f>
        <v>0</v>
      </c>
      <c r="M164" s="9" t="n">
        <f aca="false">SUM(G164:L164)</f>
        <v>0</v>
      </c>
    </row>
    <row collapsed="false" customFormat="false" customHeight="false" hidden="true" ht="14" outlineLevel="1" r="165">
      <c r="B165" s="0" t="n">
        <f aca="false">+B130</f>
        <v>1104156</v>
      </c>
      <c r="C165" s="46" t="inlineStr">
        <f aca="false">+D130</f>
        <is>
          <t/>
        </is>
      </c>
      <c r="D165" s="9" t="n">
        <f aca="false">+I130</f>
        <v>0</v>
      </c>
      <c r="E165" s="46" t="n">
        <f aca="false">+IF(D165&gt;0,C165+(SUMPRODUCT($G165:$L165,$G$170:$L$170)/$M165),0)</f>
        <v>0</v>
      </c>
      <c r="G165" s="44" t="n">
        <f aca="false">+G$146/$M$146*$D165</f>
        <v>0</v>
      </c>
      <c r="H165" s="44" t="n">
        <f aca="false">+H$146/$M$146*$D165</f>
        <v>0</v>
      </c>
      <c r="I165" s="44" t="n">
        <f aca="false">+I$146/$M$146*$D165</f>
        <v>0</v>
      </c>
      <c r="J165" s="44" t="n">
        <f aca="false">+J$146/$M$146*$D165</f>
        <v>0</v>
      </c>
      <c r="K165" s="44" t="n">
        <f aca="false">+K$146/$M$146*$D165</f>
        <v>0</v>
      </c>
      <c r="L165" s="44" t="n">
        <f aca="false">+L$146/$M$146*$D165</f>
        <v>0</v>
      </c>
      <c r="M165" s="9" t="n">
        <f aca="false">SUM(G165:L165)</f>
        <v>0</v>
      </c>
    </row>
    <row collapsed="false" customFormat="false" customHeight="false" hidden="true" ht="14" outlineLevel="1" r="166">
      <c r="B166" s="0" t="n">
        <f aca="false">+B131</f>
        <v>1104157</v>
      </c>
      <c r="C166" s="46" t="inlineStr">
        <f aca="false">+D131</f>
        <is>
          <t/>
        </is>
      </c>
      <c r="D166" s="9" t="n">
        <f aca="false">+I131</f>
        <v>0</v>
      </c>
      <c r="E166" s="46" t="n">
        <f aca="false">+IF(D166&gt;0,C166+(SUMPRODUCT($G166:$L166,$G$170:$L$170)/$M166),0)</f>
        <v>0</v>
      </c>
      <c r="G166" s="44" t="n">
        <f aca="false">+G$146/$M$146*$D166</f>
        <v>0</v>
      </c>
      <c r="H166" s="44" t="n">
        <f aca="false">+H$146/$M$146*$D166</f>
        <v>0</v>
      </c>
      <c r="I166" s="44" t="n">
        <f aca="false">+I$146/$M$146*$D166</f>
        <v>0</v>
      </c>
      <c r="J166" s="44" t="n">
        <f aca="false">+J$146/$M$146*$D166</f>
        <v>0</v>
      </c>
      <c r="K166" s="44" t="n">
        <f aca="false">+K$146/$M$146*$D166</f>
        <v>0</v>
      </c>
      <c r="L166" s="44" t="n">
        <f aca="false">+L$146/$M$146*$D166</f>
        <v>0</v>
      </c>
      <c r="M166" s="9" t="n">
        <f aca="false">SUM(G166:L166)</f>
        <v>0</v>
      </c>
    </row>
    <row collapsed="false" customFormat="false" customHeight="false" hidden="true" ht="14" outlineLevel="1" r="167">
      <c r="B167" s="0" t="n">
        <f aca="false">+B132</f>
        <v>1104158</v>
      </c>
      <c r="C167" s="46" t="inlineStr">
        <f aca="false">+D132</f>
        <is>
          <t/>
        </is>
      </c>
      <c r="D167" s="9" t="n">
        <f aca="false">+I132</f>
        <v>0</v>
      </c>
      <c r="E167" s="46" t="n">
        <f aca="false">+IF(D167&gt;0,C167+(SUMPRODUCT($G167:$L167,$G$170:$L$170)/$M167),0)</f>
        <v>0</v>
      </c>
      <c r="G167" s="44" t="n">
        <f aca="false">+G$146/$M$146*$D167</f>
        <v>0</v>
      </c>
      <c r="H167" s="44" t="n">
        <f aca="false">+H$146/$M$146*$D167</f>
        <v>0</v>
      </c>
      <c r="I167" s="44" t="n">
        <f aca="false">+I$146/$M$146*$D167</f>
        <v>0</v>
      </c>
      <c r="J167" s="44" t="n">
        <f aca="false">+J$146/$M$146*$D167</f>
        <v>0</v>
      </c>
      <c r="K167" s="44" t="n">
        <f aca="false">+K$146/$M$146*$D167</f>
        <v>0</v>
      </c>
      <c r="L167" s="44" t="n">
        <f aca="false">+L$146/$M$146*$D167</f>
        <v>0</v>
      </c>
      <c r="M167" s="9" t="n">
        <f aca="false">SUM(G167:L167)</f>
        <v>0</v>
      </c>
    </row>
    <row collapsed="false" customFormat="false" customHeight="false" hidden="true" ht="14" outlineLevel="1" r="168">
      <c r="D168" s="9" t="n">
        <f aca="false">SUM(D148:D167)</f>
        <v>1020000</v>
      </c>
      <c r="E168" s="46" t="n">
        <f aca="false">+SUMPRODUCT(D148:D167,E148:E167)/D168</f>
        <v>0.0391552244367533</v>
      </c>
      <c r="G168" s="9" t="n">
        <f aca="false">SUM(G148:G167)</f>
        <v>21351.5534411946</v>
      </c>
      <c r="H168" s="9" t="n">
        <f aca="false">SUM(H148:H167)</f>
        <v>151004.000713252</v>
      </c>
      <c r="I168" s="9" t="n">
        <f aca="false">SUM(I148:I167)</f>
        <v>257176.605728281</v>
      </c>
      <c r="J168" s="9" t="n">
        <f aca="false">SUM(J148:J167)</f>
        <v>70393.6382649849</v>
      </c>
      <c r="K168" s="9" t="n">
        <f aca="false">SUM(K148:K167)</f>
        <v>195170.180549303</v>
      </c>
      <c r="L168" s="9" t="n">
        <f aca="false">SUM(L148:L167)</f>
        <v>324904.021302985</v>
      </c>
      <c r="M168" s="9" t="n">
        <f aca="false">SUM(M148:M167)</f>
        <v>1020000</v>
      </c>
    </row>
    <row collapsed="false" customFormat="false" customHeight="false" hidden="true" ht="14" outlineLevel="1" r="169">
      <c r="E169" s="47" t="inlineStr">
        <f aca="false">+E168-M177</f>
        <is>
          <t/>
        </is>
      </c>
      <c r="G169" s="14" t="n">
        <f aca="false">+SUMPRODUCT($C$148:$C$167,G$148:G$167)/G$168</f>
        <v>0.0241911764705882</v>
      </c>
      <c r="H169" s="14" t="n">
        <f aca="false">+SUMPRODUCT($C$148:$C$167,H$148:H$167)/H$168</f>
        <v>0.0241911764705882</v>
      </c>
      <c r="I169" s="14" t="n">
        <f aca="false">+SUMPRODUCT($C$148:$C$167,I$148:I$167)/I$168</f>
        <v>0.0241911764705882</v>
      </c>
      <c r="J169" s="14" t="n">
        <f aca="false">+SUMPRODUCT($C$148:$C$167,J$148:J$167)/J$168</f>
        <v>0.0241911764705882</v>
      </c>
      <c r="K169" s="14" t="n">
        <f aca="false">+SUMPRODUCT($C$148:$C$167,K$148:K$167)/K$168</f>
        <v>0.0241911764705882</v>
      </c>
      <c r="L169" s="14" t="n">
        <f aca="false">+SUMPRODUCT($C$148:$C$167,L$148:L$167)/L$168</f>
        <v>0.0241911764705882</v>
      </c>
      <c r="M169" s="14" t="n">
        <f aca="false">+SUMPRODUCT($C$148:$C$167,M$148:M$167)/M$168</f>
        <v>0.0241911764705882</v>
      </c>
    </row>
    <row collapsed="false" customFormat="false" customHeight="false" hidden="true" ht="14" outlineLevel="1" r="170">
      <c r="E170" s="13"/>
      <c r="G170" s="48" t="inlineStr">
        <f aca="false">+G177-G169</f>
        <is>
          <t/>
        </is>
      </c>
      <c r="H170" s="48" t="inlineStr">
        <f aca="false">+H177-H169</f>
        <is>
          <t/>
        </is>
      </c>
      <c r="I170" s="48" t="inlineStr">
        <f aca="false">+I177-I169</f>
        <is>
          <t/>
        </is>
      </c>
      <c r="J170" s="48" t="inlineStr">
        <f aca="false">+J177-J169</f>
        <is>
          <t/>
        </is>
      </c>
      <c r="K170" s="48" t="inlineStr">
        <f aca="false">+K177-K169</f>
        <is>
          <t/>
        </is>
      </c>
      <c r="L170" s="48" t="inlineStr">
        <f aca="false">+L177-L169</f>
        <is>
          <t/>
        </is>
      </c>
      <c r="M170" s="48" t="inlineStr">
        <f aca="false">+M177-M169</f>
        <is>
          <t/>
        </is>
      </c>
    </row>
    <row collapsed="false" customFormat="false" customHeight="false" hidden="true" ht="14" outlineLevel="1" r="171">
      <c r="B171" s="0" t="s">
        <v>60</v>
      </c>
      <c r="D171" s="46" t="inlineStr">
        <f aca="false">+MAX(F29:F48)</f>
        <is>
          <t/>
        </is>
      </c>
      <c r="E171" s="13"/>
      <c r="G171" s="14"/>
      <c r="H171" s="14"/>
      <c r="I171" s="14"/>
      <c r="J171" s="14"/>
      <c r="K171" s="14"/>
      <c r="L171" s="14"/>
      <c r="M171" s="14"/>
    </row>
    <row collapsed="false" customFormat="false" customHeight="false" hidden="true" ht="14" outlineLevel="1" r="172">
      <c r="B172" s="0" t="s">
        <v>61</v>
      </c>
      <c r="D172" s="49" t="inlineStr">
        <f aca="false">+M109</f>
        <is>
          <t/>
        </is>
      </c>
      <c r="E172" s="13"/>
      <c r="G172" s="14"/>
      <c r="H172" s="14"/>
      <c r="I172" s="14"/>
      <c r="J172" s="14"/>
      <c r="K172" s="14"/>
      <c r="L172" s="14"/>
      <c r="M172" s="14"/>
    </row>
    <row collapsed="false" customFormat="false" customHeight="false" hidden="true" ht="14" outlineLevel="1" r="173">
      <c r="B173" s="0" t="s">
        <v>62</v>
      </c>
      <c r="D173" s="50" t="inlineStr">
        <f aca="false">+D171-D172</f>
        <is>
          <t/>
        </is>
      </c>
      <c r="E173" s="13"/>
      <c r="G173" s="14"/>
      <c r="H173" s="14"/>
      <c r="I173" s="14"/>
      <c r="J173" s="14"/>
      <c r="K173" s="14"/>
      <c r="L173" s="14"/>
      <c r="M173" s="14"/>
    </row>
    <row collapsed="false" customFormat="false" customHeight="false" hidden="true" ht="14" outlineLevel="1" r="174">
      <c r="B174" s="0" t="s">
        <v>63</v>
      </c>
      <c r="E174" s="51"/>
      <c r="G174" s="14" t="n">
        <f aca="false">+(1-G108)*$D$173</f>
        <v>0.00280202964909323</v>
      </c>
      <c r="H174" s="14" t="n">
        <f aca="false">+(1-H108)*$D$173</f>
        <v>0.0168121778945594</v>
      </c>
      <c r="I174" s="14" t="n">
        <f aca="false">+(1-I108)*$D$173</f>
        <v>0.0224162371927459</v>
      </c>
      <c r="J174" s="14" t="n">
        <f aca="false">+(1-J108)*$D$173</f>
        <v>0.00560405929818646</v>
      </c>
      <c r="K174" s="14" t="n">
        <f aca="false">+(1-K108)*$D$173</f>
        <v>0.0158382561568962</v>
      </c>
      <c r="L174" s="14" t="n">
        <f aca="false">+(1-L108)*$D$173</f>
        <v>0.0280202964909323</v>
      </c>
    </row>
    <row collapsed="false" customFormat="false" customHeight="false" hidden="true" ht="14" outlineLevel="1" r="175">
      <c r="E175" s="13"/>
      <c r="G175" s="14" t="inlineStr">
        <f aca="false">+IF(G107&gt;0,IF(G169&lt;G109,G169+G174,G169),G169+G174)</f>
        <is>
          <t/>
        </is>
      </c>
      <c r="H175" s="14" t="inlineStr">
        <f aca="false">+IF(H107&gt;0,IF(H169&lt;H109,H169+H174,H169),H169+H174)</f>
        <is>
          <t/>
        </is>
      </c>
      <c r="I175" s="14" t="inlineStr">
        <f aca="false">+IF(I107&gt;0,IF(I169&lt;I109,I169+I174,I169),I169+I174)</f>
        <is>
          <t/>
        </is>
      </c>
      <c r="J175" s="14" t="inlineStr">
        <f aca="false">+IF(J107&gt;0,IF(J169&lt;J109,J169+J174,J169),J169+J174)</f>
        <is>
          <t/>
        </is>
      </c>
      <c r="K175" s="14" t="inlineStr">
        <f aca="false">+IF(K107&gt;0,IF(K169&lt;K109,K169+K174,K169),K169+K174)</f>
        <is>
          <t/>
        </is>
      </c>
      <c r="L175" s="14" t="inlineStr">
        <f aca="false">+IF(L107&gt;0,IF(L169&lt;L109,L169+L174,L169),L169+L174)</f>
        <is>
          <t/>
        </is>
      </c>
    </row>
    <row collapsed="false" customFormat="false" customHeight="false" hidden="false" ht="14" outlineLevel="0" r="176">
      <c r="D176" s="18" t="s">
        <v>64</v>
      </c>
      <c r="E176" s="19"/>
      <c r="F176" s="19"/>
      <c r="G176" s="20" t="n">
        <f aca="false">+G168</f>
        <v>21351.5534411946</v>
      </c>
      <c r="H176" s="20" t="n">
        <f aca="false">+H168</f>
        <v>151004.000713252</v>
      </c>
      <c r="I176" s="20" t="n">
        <f aca="false">+I168</f>
        <v>257176.605728281</v>
      </c>
      <c r="J176" s="20" t="n">
        <f aca="false">+J168</f>
        <v>70393.6382649849</v>
      </c>
      <c r="K176" s="20" t="n">
        <f aca="false">+K168</f>
        <v>195170.180549303</v>
      </c>
      <c r="L176" s="20" t="n">
        <f aca="false">+L168</f>
        <v>324904.021302985</v>
      </c>
      <c r="M176" s="21" t="n">
        <f aca="false">+M168</f>
        <v>1020000</v>
      </c>
    </row>
    <row collapsed="false" customFormat="false" customHeight="false" hidden="false" ht="14" outlineLevel="0" r="177">
      <c r="D177" s="22" t="s">
        <v>40</v>
      </c>
      <c r="E177" s="23"/>
      <c r="F177" s="23"/>
      <c r="G177" s="52" t="inlineStr">
        <f aca="false">+G175</f>
        <is>
          <t/>
        </is>
      </c>
      <c r="H177" s="52" t="inlineStr">
        <f aca="false">+H175</f>
        <is>
          <t/>
        </is>
      </c>
      <c r="I177" s="52" t="inlineStr">
        <f aca="false">+I175</f>
        <is>
          <t/>
        </is>
      </c>
      <c r="J177" s="52" t="inlineStr">
        <f aca="false">+J175</f>
        <is>
          <t/>
        </is>
      </c>
      <c r="K177" s="52" t="inlineStr">
        <f aca="false">+K175</f>
        <is>
          <t/>
        </is>
      </c>
      <c r="L177" s="52" t="inlineStr">
        <f aca="false">+L175</f>
        <is>
          <t/>
        </is>
      </c>
      <c r="M177" s="25" t="n">
        <f aca="false">+SUMPRODUCT(G176:L176,G177:L177/M176)</f>
        <v>0.0391552244367533</v>
      </c>
    </row>
    <row collapsed="false" customFormat="false" customHeight="false" hidden="false" ht="14" outlineLevel="0" r="178">
      <c r="E178" s="13"/>
    </row>
    <row collapsed="false" customFormat="false" customHeight="false" hidden="false" ht="14" outlineLevel="0" r="179">
      <c r="E179" s="13"/>
    </row>
    <row collapsed="false" customFormat="false" customHeight="false" hidden="false" ht="14" outlineLevel="0" r="180">
      <c r="D180" s="31" t="s">
        <v>48</v>
      </c>
      <c r="E180" s="32"/>
      <c r="F180" s="32"/>
      <c r="G180" s="33" t="n">
        <f aca="false">+G107+G168</f>
        <v>308204.053441195</v>
      </c>
      <c r="H180" s="33" t="n">
        <f aca="false">+H107+H168</f>
        <v>301278.000713252</v>
      </c>
      <c r="I180" s="33" t="n">
        <f aca="false">+I107+I168</f>
        <v>353151.605728281</v>
      </c>
      <c r="J180" s="33" t="n">
        <f aca="false">+J107+J168</f>
        <v>490713.638264985</v>
      </c>
      <c r="K180" s="33" t="n">
        <f aca="false">+K107+K168</f>
        <v>419255.180549303</v>
      </c>
      <c r="L180" s="33" t="n">
        <f aca="false">+L107+L168</f>
        <v>324904.021302985</v>
      </c>
      <c r="M180" s="34" t="n">
        <f aca="false">+M107+M168</f>
        <v>2197506.5</v>
      </c>
    </row>
    <row collapsed="false" customFormat="false" customHeight="false" hidden="false" ht="14" outlineLevel="0" r="181">
      <c r="D181" s="39" t="s">
        <v>40</v>
      </c>
      <c r="E181" s="40"/>
      <c r="F181" s="40"/>
      <c r="G181" s="41" t="n">
        <f aca="false">+IF(ISERR(G109),G175,((G168*G175)+(G107*G109))/G180)</f>
        <v>0.0218415579615391</v>
      </c>
      <c r="H181" s="41" t="n">
        <f aca="false">+IF(ISERR(H109),H175,((H168*H175)+(H107*H109))/H180)</f>
        <v>0.0233476371071448</v>
      </c>
      <c r="I181" s="41" t="n">
        <f aca="false">+IF(ISERR(I109),I175,((I168*I175)+(I107*I109))/I180)</f>
        <v>0.0420940644374358</v>
      </c>
      <c r="J181" s="41" t="n">
        <f aca="false">+IF(ISERR(J109),J175,((J168*J175)+(J107*J109))/J180)</f>
        <v>0.0449602239031581</v>
      </c>
      <c r="K181" s="41" t="n">
        <f aca="false">+IF(ISERR(K109),K175,((K168*K175)+(K107*K109))/K180)</f>
        <v>0.0237014424400087</v>
      </c>
      <c r="L181" s="41" t="inlineStr">
        <f aca="false">+IF(ISERR(L109),L175,((L168*L175)+(L107*L109))/L180)</f>
        <is>
          <t/>
        </is>
      </c>
      <c r="M181" s="42" t="n">
        <f aca="false">+SUMPRODUCT(G180:L180,G181:L181)/M180</f>
        <v>0.0353103108798487</v>
      </c>
    </row>
    <row collapsed="false" customFormat="false" customHeight="false" hidden="false" ht="14" outlineLevel="0" r="182">
      <c r="E182" s="13"/>
    </row>
    <row collapsed="false" customFormat="false" customHeight="false" hidden="false" ht="14" outlineLevel="0" r="183">
      <c r="D183" s="0" t="s">
        <v>41</v>
      </c>
      <c r="G183" s="9" t="n">
        <f aca="false">+G4-G180</f>
        <v>10520.9465588054</v>
      </c>
      <c r="H183" s="9" t="n">
        <f aca="false">+H4-H180</f>
        <v>74406.999286748</v>
      </c>
      <c r="I183" s="9" t="n">
        <f aca="false">+I4-I180</f>
        <v>126723.394271719</v>
      </c>
      <c r="J183" s="9" t="n">
        <f aca="false">+J4-J180</f>
        <v>34686.3617350151</v>
      </c>
      <c r="K183" s="9" t="n">
        <f aca="false">+K4-K180</f>
        <v>96169.8194506975</v>
      </c>
      <c r="L183" s="9" t="n">
        <f aca="false">+L4-L180</f>
        <v>160095.978697015</v>
      </c>
      <c r="M183" s="9" t="n">
        <f aca="false">+M4-M180</f>
        <v>502603.5</v>
      </c>
    </row>
    <row collapsed="false" customFormat="false" customHeight="false" hidden="false" ht="14" outlineLevel="0" r="184">
      <c r="D184" s="0" t="s">
        <v>42</v>
      </c>
      <c r="G184" s="26" t="str">
        <f aca="false">+IF(G183=0,"NA",IF(G183&lt;0,"OVER","UNDER"))</f>
        <v>UNDER</v>
      </c>
      <c r="H184" s="26" t="str">
        <f aca="false">+IF(H183=0,"NA",IF(H183&lt;0,"OVER","UNDER"))</f>
        <v>UNDER</v>
      </c>
      <c r="I184" s="26" t="str">
        <f aca="false">+IF(I183=0,"NA",IF(I183&lt;0,"OVER","UNDER"))</f>
        <v>UNDER</v>
      </c>
      <c r="J184" s="26" t="str">
        <f aca="false">+IF(J183=0,"NA",IF(J183&lt;0,"OVER","UNDER"))</f>
        <v>UNDER</v>
      </c>
      <c r="K184" s="26" t="str">
        <f aca="false">+IF(K183=0,"NA",IF(K183&lt;0,"OVER","UNDER"))</f>
        <v>UNDER</v>
      </c>
      <c r="L184" s="26" t="str">
        <f aca="false">+IF(L183=0,"NA",IF(L183&lt;0,"OVER","UNDER"))</f>
        <v>UNDER</v>
      </c>
      <c r="M184" s="26" t="str">
        <f aca="false">+IF(M183=0,"NA",IF(M183&lt;0,"OVER","UNDER"))</f>
        <v>UNDER</v>
      </c>
    </row>
    <row collapsed="false" customFormat="false" customHeight="false" hidden="false" ht="14" outlineLevel="0" r="185">
      <c r="D185" s="30"/>
      <c r="E185" s="30"/>
      <c r="F185" s="30"/>
      <c r="G185" s="14"/>
      <c r="H185" s="14"/>
      <c r="I185" s="14"/>
      <c r="J185" s="14"/>
      <c r="K185" s="14"/>
      <c r="L185" s="14"/>
      <c r="M185" s="14"/>
    </row>
    <row collapsed="false" customFormat="false" customHeight="false" hidden="false" ht="14" outlineLevel="0" r="186">
      <c r="A186" s="0" t="s">
        <v>65</v>
      </c>
      <c r="E186" s="13"/>
      <c r="M186" s="9"/>
    </row>
    <row collapsed="false" customFormat="false" customHeight="false" hidden="true" ht="28.35" outlineLevel="1" r="187">
      <c r="B187" s="10" t="s">
        <v>35</v>
      </c>
      <c r="C187" s="11" t="s">
        <v>66</v>
      </c>
      <c r="D187" s="10" t="s">
        <v>67</v>
      </c>
      <c r="E187" s="10" t="s">
        <v>68</v>
      </c>
    </row>
    <row collapsed="false" customFormat="false" customHeight="false" hidden="true" ht="14" outlineLevel="1" r="188">
      <c r="B188" s="0" t="n">
        <f aca="false">+'bid input'!B2</f>
        <v>1104134</v>
      </c>
      <c r="C188" s="13" t="str">
        <f aca="false">+IF('bid input'!R2=1,"Y","N")</f>
        <v>Y</v>
      </c>
      <c r="D188" s="9" t="n">
        <f aca="false">+IF(C188="Y",+'bid input'!M2,0)</f>
        <v>187500</v>
      </c>
      <c r="E188" s="13" t="n">
        <f aca="false">+D188*$D$210</f>
        <v>66622.9453870626</v>
      </c>
      <c r="G188" s="44" t="n">
        <f aca="false">+$E188/$E$208*G$183</f>
        <v>1394.61115572712</v>
      </c>
      <c r="H188" s="44" t="n">
        <f aca="false">+$E188/$E$208*H$183</f>
        <v>9863.06989484995</v>
      </c>
      <c r="I188" s="44" t="n">
        <f aca="false">+$E188/$E$208*I$183</f>
        <v>16797.9048610445</v>
      </c>
      <c r="J188" s="44" t="n">
        <f aca="false">+$E188/$E$208*J$183</f>
        <v>4597.87403698503</v>
      </c>
      <c r="K188" s="44" t="n">
        <f aca="false">+$E188/$E$208*K$183</f>
        <v>12747.8551763915</v>
      </c>
      <c r="L188" s="44" t="n">
        <f aca="false">+$E188/$E$208*L$183</f>
        <v>21221.6302620645</v>
      </c>
      <c r="M188" s="9" t="n">
        <f aca="false">SUM(G188:L188)</f>
        <v>66622.9453870626</v>
      </c>
    </row>
    <row collapsed="false" customFormat="false" customHeight="false" hidden="true" ht="14" outlineLevel="1" r="189">
      <c r="B189" s="0" t="n">
        <f aca="false">+'bid input'!B3</f>
        <v>1104143</v>
      </c>
      <c r="C189" s="13" t="str">
        <f aca="false">+IF('bid input'!R3=1,"Y","N")</f>
        <v>N</v>
      </c>
      <c r="D189" s="9" t="n">
        <f aca="false">+IF(C189="Y",+'bid input'!M3,0)</f>
        <v>0</v>
      </c>
      <c r="E189" s="13" t="n">
        <f aca="false">+D189*$D$210</f>
        <v>0</v>
      </c>
      <c r="G189" s="44" t="n">
        <f aca="false">+$E189/$E$208*G$183</f>
        <v>0</v>
      </c>
      <c r="H189" s="44" t="n">
        <f aca="false">+$E189/$E$208*H$183</f>
        <v>0</v>
      </c>
      <c r="I189" s="44" t="n">
        <f aca="false">+$E189/$E$208*I$183</f>
        <v>0</v>
      </c>
      <c r="J189" s="44" t="n">
        <f aca="false">+$E189/$E$208*J$183</f>
        <v>0</v>
      </c>
      <c r="K189" s="44" t="n">
        <f aca="false">+$E189/$E$208*K$183</f>
        <v>0</v>
      </c>
      <c r="L189" s="44" t="n">
        <f aca="false">+$E189/$E$208*L$183</f>
        <v>0</v>
      </c>
      <c r="M189" s="9" t="n">
        <f aca="false">SUM(G189:L189)</f>
        <v>0</v>
      </c>
    </row>
    <row collapsed="false" customFormat="false" customHeight="false" hidden="true" ht="14" outlineLevel="1" r="190">
      <c r="B190" s="0" t="n">
        <f aca="false">+'bid input'!B4</f>
        <v>1104154</v>
      </c>
      <c r="C190" s="13" t="str">
        <f aca="false">+IF('bid input'!R4=1,"Y","N")</f>
        <v>N</v>
      </c>
      <c r="D190" s="9" t="n">
        <f aca="false">+IF(C190="Y",+'bid input'!M4,0)</f>
        <v>0</v>
      </c>
      <c r="E190" s="13" t="n">
        <f aca="false">+D190*$D$210</f>
        <v>0</v>
      </c>
      <c r="G190" s="44" t="n">
        <f aca="false">+$E190/$E$208*G$183</f>
        <v>0</v>
      </c>
      <c r="H190" s="44" t="n">
        <f aca="false">+$E190/$E$208*H$183</f>
        <v>0</v>
      </c>
      <c r="I190" s="44" t="n">
        <f aca="false">+$E190/$E$208*I$183</f>
        <v>0</v>
      </c>
      <c r="J190" s="44" t="n">
        <f aca="false">+$E190/$E$208*J$183</f>
        <v>0</v>
      </c>
      <c r="K190" s="44" t="n">
        <f aca="false">+$E190/$E$208*K$183</f>
        <v>0</v>
      </c>
      <c r="L190" s="44" t="n">
        <f aca="false">+$E190/$E$208*L$183</f>
        <v>0</v>
      </c>
      <c r="M190" s="9" t="n">
        <f aca="false">SUM(G190:L190)</f>
        <v>0</v>
      </c>
    </row>
    <row collapsed="false" customFormat="false" customHeight="false" hidden="true" ht="14" outlineLevel="1" r="191">
      <c r="B191" s="0" t="n">
        <f aca="false">+'bid input'!B5</f>
        <v>1104152</v>
      </c>
      <c r="C191" s="13" t="str">
        <f aca="false">+IF('bid input'!R5=1,"Y","N")</f>
        <v>N</v>
      </c>
      <c r="D191" s="9" t="n">
        <f aca="false">+IF(C191="Y",+'bid input'!M5,0)</f>
        <v>0</v>
      </c>
      <c r="E191" s="13" t="n">
        <f aca="false">+D191*$D$210</f>
        <v>0</v>
      </c>
      <c r="G191" s="44" t="n">
        <f aca="false">+$E191/$E$208*G$183</f>
        <v>0</v>
      </c>
      <c r="H191" s="44" t="n">
        <f aca="false">+$E191/$E$208*H$183</f>
        <v>0</v>
      </c>
      <c r="I191" s="44" t="n">
        <f aca="false">+$E191/$E$208*I$183</f>
        <v>0</v>
      </c>
      <c r="J191" s="44" t="n">
        <f aca="false">+$E191/$E$208*J$183</f>
        <v>0</v>
      </c>
      <c r="K191" s="44" t="n">
        <f aca="false">+$E191/$E$208*K$183</f>
        <v>0</v>
      </c>
      <c r="L191" s="44" t="n">
        <f aca="false">+$E191/$E$208*L$183</f>
        <v>0</v>
      </c>
      <c r="M191" s="9" t="n">
        <f aca="false">SUM(G191:L191)</f>
        <v>0</v>
      </c>
    </row>
    <row collapsed="false" customFormat="false" customHeight="false" hidden="true" ht="14" outlineLevel="1" r="192">
      <c r="B192" s="0" t="n">
        <f aca="false">+'bid input'!B6</f>
        <v>1104136</v>
      </c>
      <c r="C192" s="13" t="str">
        <f aca="false">+IF('bid input'!R6=1,"Y","N")</f>
        <v>N</v>
      </c>
      <c r="D192" s="9" t="n">
        <f aca="false">+IF(C192="Y",+'bid input'!M6,0)</f>
        <v>0</v>
      </c>
      <c r="E192" s="13" t="n">
        <f aca="false">+D192*$D$210</f>
        <v>0</v>
      </c>
      <c r="G192" s="44" t="n">
        <f aca="false">+$E192/$E$208*G$183</f>
        <v>0</v>
      </c>
      <c r="H192" s="44" t="n">
        <f aca="false">+$E192/$E$208*H$183</f>
        <v>0</v>
      </c>
      <c r="I192" s="44" t="n">
        <f aca="false">+$E192/$E$208*I$183</f>
        <v>0</v>
      </c>
      <c r="J192" s="44" t="n">
        <f aca="false">+$E192/$E$208*J$183</f>
        <v>0</v>
      </c>
      <c r="K192" s="44" t="n">
        <f aca="false">+$E192/$E$208*K$183</f>
        <v>0</v>
      </c>
      <c r="L192" s="44" t="n">
        <f aca="false">+$E192/$E$208*L$183</f>
        <v>0</v>
      </c>
      <c r="M192" s="9" t="n">
        <f aca="false">SUM(G192:L192)</f>
        <v>0</v>
      </c>
    </row>
    <row collapsed="false" customFormat="false" customHeight="false" hidden="true" ht="14" outlineLevel="1" r="193">
      <c r="B193" s="0" t="n">
        <f aca="false">+'bid input'!B7</f>
        <v>1104138</v>
      </c>
      <c r="C193" s="13" t="str">
        <f aca="false">+IF('bid input'!R7=1,"Y","N")</f>
        <v>N</v>
      </c>
      <c r="D193" s="9" t="n">
        <f aca="false">+IF(C193="Y",+'bid input'!M7,0)</f>
        <v>0</v>
      </c>
      <c r="E193" s="13" t="n">
        <f aca="false">+D193*$D$210</f>
        <v>0</v>
      </c>
      <c r="G193" s="44" t="n">
        <f aca="false">+$E193/$E$208*G$183</f>
        <v>0</v>
      </c>
      <c r="H193" s="44" t="n">
        <f aca="false">+$E193/$E$208*H$183</f>
        <v>0</v>
      </c>
      <c r="I193" s="44" t="n">
        <f aca="false">+$E193/$E$208*I$183</f>
        <v>0</v>
      </c>
      <c r="J193" s="44" t="n">
        <f aca="false">+$E193/$E$208*J$183</f>
        <v>0</v>
      </c>
      <c r="K193" s="44" t="n">
        <f aca="false">+$E193/$E$208*K$183</f>
        <v>0</v>
      </c>
      <c r="L193" s="44" t="n">
        <f aca="false">+$E193/$E$208*L$183</f>
        <v>0</v>
      </c>
      <c r="M193" s="9" t="n">
        <f aca="false">SUM(G193:L193)</f>
        <v>0</v>
      </c>
    </row>
    <row collapsed="false" customFormat="false" customHeight="false" hidden="true" ht="14" outlineLevel="1" r="194">
      <c r="B194" s="0" t="n">
        <f aca="false">+'bid input'!B8</f>
        <v>1104139</v>
      </c>
      <c r="C194" s="13" t="str">
        <f aca="false">+IF('bid input'!R8=1,"Y","N")</f>
        <v>N</v>
      </c>
      <c r="D194" s="9" t="n">
        <f aca="false">+IF(C194="Y",+'bid input'!M8,0)</f>
        <v>0</v>
      </c>
      <c r="E194" s="13" t="n">
        <f aca="false">+D194*$D$210</f>
        <v>0</v>
      </c>
      <c r="G194" s="44" t="n">
        <f aca="false">+$E194/$E$208*G$183</f>
        <v>0</v>
      </c>
      <c r="H194" s="44" t="n">
        <f aca="false">+$E194/$E$208*H$183</f>
        <v>0</v>
      </c>
      <c r="I194" s="44" t="n">
        <f aca="false">+$E194/$E$208*I$183</f>
        <v>0</v>
      </c>
      <c r="J194" s="44" t="n">
        <f aca="false">+$E194/$E$208*J$183</f>
        <v>0</v>
      </c>
      <c r="K194" s="44" t="n">
        <f aca="false">+$E194/$E$208*K$183</f>
        <v>0</v>
      </c>
      <c r="L194" s="44" t="n">
        <f aca="false">+$E194/$E$208*L$183</f>
        <v>0</v>
      </c>
      <c r="M194" s="9" t="n">
        <f aca="false">SUM(G194:L194)</f>
        <v>0</v>
      </c>
    </row>
    <row collapsed="false" customFormat="false" customHeight="false" hidden="true" ht="14" outlineLevel="1" r="195">
      <c r="B195" s="0" t="n">
        <f aca="false">+'bid input'!B9</f>
        <v>1104140</v>
      </c>
      <c r="C195" s="13" t="str">
        <f aca="false">+IF('bid input'!R9=1,"Y","N")</f>
        <v>N</v>
      </c>
      <c r="D195" s="9" t="n">
        <f aca="false">+IF(C195="Y",+'bid input'!M9,0)</f>
        <v>0</v>
      </c>
      <c r="E195" s="13" t="n">
        <f aca="false">+D195*$D$210</f>
        <v>0</v>
      </c>
      <c r="G195" s="44" t="n">
        <f aca="false">+$E195/$E$208*G$183</f>
        <v>0</v>
      </c>
      <c r="H195" s="44" t="n">
        <f aca="false">+$E195/$E$208*H$183</f>
        <v>0</v>
      </c>
      <c r="I195" s="44" t="n">
        <f aca="false">+$E195/$E$208*I$183</f>
        <v>0</v>
      </c>
      <c r="J195" s="44" t="n">
        <f aca="false">+$E195/$E$208*J$183</f>
        <v>0</v>
      </c>
      <c r="K195" s="44" t="n">
        <f aca="false">+$E195/$E$208*K$183</f>
        <v>0</v>
      </c>
      <c r="L195" s="44" t="n">
        <f aca="false">+$E195/$E$208*L$183</f>
        <v>0</v>
      </c>
      <c r="M195" s="9" t="n">
        <f aca="false">SUM(G195:L195)</f>
        <v>0</v>
      </c>
    </row>
    <row collapsed="false" customFormat="false" customHeight="false" hidden="true" ht="14" outlineLevel="1" r="196">
      <c r="B196" s="0" t="n">
        <f aca="false">+'bid input'!B10</f>
        <v>1104141</v>
      </c>
      <c r="C196" s="13" t="str">
        <f aca="false">+IF('bid input'!R10=1,"Y","N")</f>
        <v>N</v>
      </c>
      <c r="D196" s="9" t="n">
        <f aca="false">+IF(C196="Y",+'bid input'!M10,0)</f>
        <v>0</v>
      </c>
      <c r="E196" s="13" t="n">
        <f aca="false">+D196*$D$210</f>
        <v>0</v>
      </c>
      <c r="G196" s="44" t="n">
        <f aca="false">+$E196/$E$208*G$183</f>
        <v>0</v>
      </c>
      <c r="H196" s="44" t="n">
        <f aca="false">+$E196/$E$208*H$183</f>
        <v>0</v>
      </c>
      <c r="I196" s="44" t="n">
        <f aca="false">+$E196/$E$208*I$183</f>
        <v>0</v>
      </c>
      <c r="J196" s="44" t="n">
        <f aca="false">+$E196/$E$208*J$183</f>
        <v>0</v>
      </c>
      <c r="K196" s="44" t="n">
        <f aca="false">+$E196/$E$208*K$183</f>
        <v>0</v>
      </c>
      <c r="L196" s="44" t="n">
        <f aca="false">+$E196/$E$208*L$183</f>
        <v>0</v>
      </c>
      <c r="M196" s="9" t="n">
        <f aca="false">SUM(G196:L196)</f>
        <v>0</v>
      </c>
    </row>
    <row collapsed="false" customFormat="false" customHeight="false" hidden="true" ht="14" outlineLevel="1" r="197">
      <c r="B197" s="0" t="n">
        <f aca="false">+'bid input'!B11</f>
        <v>1104159</v>
      </c>
      <c r="C197" s="13" t="str">
        <f aca="false">+IF('bid input'!R11=1,"Y","N")</f>
        <v>N</v>
      </c>
      <c r="D197" s="9" t="n">
        <f aca="false">+IF(C197="Y",+'bid input'!M11,0)</f>
        <v>0</v>
      </c>
      <c r="E197" s="13" t="n">
        <f aca="false">+D197*$D$210</f>
        <v>0</v>
      </c>
      <c r="G197" s="44" t="n">
        <f aca="false">+$E197/$E$208*G$183</f>
        <v>0</v>
      </c>
      <c r="H197" s="44" t="n">
        <f aca="false">+$E197/$E$208*H$183</f>
        <v>0</v>
      </c>
      <c r="I197" s="44" t="n">
        <f aca="false">+$E197/$E$208*I$183</f>
        <v>0</v>
      </c>
      <c r="J197" s="44" t="n">
        <f aca="false">+$E197/$E$208*J$183</f>
        <v>0</v>
      </c>
      <c r="K197" s="44" t="n">
        <f aca="false">+$E197/$E$208*K$183</f>
        <v>0</v>
      </c>
      <c r="L197" s="44" t="n">
        <f aca="false">+$E197/$E$208*L$183</f>
        <v>0</v>
      </c>
      <c r="M197" s="9" t="n">
        <f aca="false">SUM(G197:L197)</f>
        <v>0</v>
      </c>
    </row>
    <row collapsed="false" customFormat="false" customHeight="false" hidden="true" ht="14" outlineLevel="1" r="198">
      <c r="B198" s="0" t="n">
        <f aca="false">+'bid input'!B12</f>
        <v>1104161</v>
      </c>
      <c r="C198" s="13" t="str">
        <f aca="false">+IF('bid input'!R12=1,"Y","N")</f>
        <v>N</v>
      </c>
      <c r="D198" s="9" t="n">
        <f aca="false">+IF(C198="Y",+'bid input'!M12,0)</f>
        <v>0</v>
      </c>
      <c r="E198" s="13" t="n">
        <f aca="false">+D198*$D$210</f>
        <v>0</v>
      </c>
      <c r="G198" s="44" t="n">
        <f aca="false">+$E198/$E$208*G$183</f>
        <v>0</v>
      </c>
      <c r="H198" s="44" t="n">
        <f aca="false">+$E198/$E$208*H$183</f>
        <v>0</v>
      </c>
      <c r="I198" s="44" t="n">
        <f aca="false">+$E198/$E$208*I$183</f>
        <v>0</v>
      </c>
      <c r="J198" s="44" t="n">
        <f aca="false">+$E198/$E$208*J$183</f>
        <v>0</v>
      </c>
      <c r="K198" s="44" t="n">
        <f aca="false">+$E198/$E$208*K$183</f>
        <v>0</v>
      </c>
      <c r="L198" s="44" t="n">
        <f aca="false">+$E198/$E$208*L$183</f>
        <v>0</v>
      </c>
      <c r="M198" s="9" t="n">
        <f aca="false">SUM(G198:L198)</f>
        <v>0</v>
      </c>
    </row>
    <row collapsed="false" customFormat="false" customHeight="false" hidden="true" ht="14" outlineLevel="1" r="199">
      <c r="B199" s="0" t="n">
        <f aca="false">+'bid input'!B13</f>
        <v>1104145</v>
      </c>
      <c r="C199" s="13" t="str">
        <f aca="false">+IF('bid input'!R13=1,"Y","N")</f>
        <v>N</v>
      </c>
      <c r="D199" s="9" t="n">
        <f aca="false">+IF(C199="Y",+'bid input'!M13,0)</f>
        <v>0</v>
      </c>
      <c r="E199" s="13" t="n">
        <f aca="false">+D199*$D$210</f>
        <v>0</v>
      </c>
      <c r="G199" s="44" t="n">
        <f aca="false">+$E199/$E$208*G$183</f>
        <v>0</v>
      </c>
      <c r="H199" s="44" t="n">
        <f aca="false">+$E199/$E$208*H$183</f>
        <v>0</v>
      </c>
      <c r="I199" s="44" t="n">
        <f aca="false">+$E199/$E$208*I$183</f>
        <v>0</v>
      </c>
      <c r="J199" s="44" t="n">
        <f aca="false">+$E199/$E$208*J$183</f>
        <v>0</v>
      </c>
      <c r="K199" s="44" t="n">
        <f aca="false">+$E199/$E$208*K$183</f>
        <v>0</v>
      </c>
      <c r="L199" s="44" t="n">
        <f aca="false">+$E199/$E$208*L$183</f>
        <v>0</v>
      </c>
      <c r="M199" s="9" t="n">
        <f aca="false">SUM(G199:L199)</f>
        <v>0</v>
      </c>
    </row>
    <row collapsed="false" customFormat="false" customHeight="false" hidden="true" ht="14" outlineLevel="1" r="200">
      <c r="B200" s="0" t="n">
        <f aca="false">+'bid input'!B14</f>
        <v>1104133</v>
      </c>
      <c r="C200" s="13" t="str">
        <f aca="false">+IF('bid input'!R14=1,"Y","N")</f>
        <v>N</v>
      </c>
      <c r="D200" s="9" t="n">
        <f aca="false">+IF(C200="Y",+'bid input'!M14,0)</f>
        <v>0</v>
      </c>
      <c r="E200" s="13" t="n">
        <f aca="false">+D200*$D$210</f>
        <v>0</v>
      </c>
      <c r="G200" s="44" t="n">
        <f aca="false">+$E200/$E$208*G$183</f>
        <v>0</v>
      </c>
      <c r="H200" s="44" t="n">
        <f aca="false">+$E200/$E$208*H$183</f>
        <v>0</v>
      </c>
      <c r="I200" s="44" t="n">
        <f aca="false">+$E200/$E$208*I$183</f>
        <v>0</v>
      </c>
      <c r="J200" s="44" t="n">
        <f aca="false">+$E200/$E$208*J$183</f>
        <v>0</v>
      </c>
      <c r="K200" s="44" t="n">
        <f aca="false">+$E200/$E$208*K$183</f>
        <v>0</v>
      </c>
      <c r="L200" s="44" t="n">
        <f aca="false">+$E200/$E$208*L$183</f>
        <v>0</v>
      </c>
      <c r="M200" s="9" t="n">
        <f aca="false">SUM(G200:L200)</f>
        <v>0</v>
      </c>
    </row>
    <row collapsed="false" customFormat="false" customHeight="false" hidden="true" ht="14" outlineLevel="1" r="201">
      <c r="B201" s="0" t="n">
        <f aca="false">+'bid input'!B15</f>
        <v>1104149</v>
      </c>
      <c r="C201" s="13" t="str">
        <f aca="false">+IF('bid input'!R15=1,"Y","N")</f>
        <v>N</v>
      </c>
      <c r="D201" s="9" t="n">
        <f aca="false">+IF(C201="Y",+'bid input'!M15,0)</f>
        <v>0</v>
      </c>
      <c r="E201" s="13" t="n">
        <f aca="false">+D201*$D$210</f>
        <v>0</v>
      </c>
      <c r="G201" s="44" t="n">
        <f aca="false">+$E201/$E$208*G$183</f>
        <v>0</v>
      </c>
      <c r="H201" s="44" t="n">
        <f aca="false">+$E201/$E$208*H$183</f>
        <v>0</v>
      </c>
      <c r="I201" s="44" t="n">
        <f aca="false">+$E201/$E$208*I$183</f>
        <v>0</v>
      </c>
      <c r="J201" s="44" t="n">
        <f aca="false">+$E201/$E$208*J$183</f>
        <v>0</v>
      </c>
      <c r="K201" s="44" t="n">
        <f aca="false">+$E201/$E$208*K$183</f>
        <v>0</v>
      </c>
      <c r="L201" s="44" t="n">
        <f aca="false">+$E201/$E$208*L$183</f>
        <v>0</v>
      </c>
      <c r="M201" s="9" t="n">
        <f aca="false">SUM(G201:L201)</f>
        <v>0</v>
      </c>
    </row>
    <row collapsed="false" customFormat="false" customHeight="false" hidden="true" ht="14" outlineLevel="1" r="202">
      <c r="B202" s="0" t="n">
        <f aca="false">+'bid input'!B16</f>
        <v>1104151</v>
      </c>
      <c r="C202" s="13" t="str">
        <f aca="false">+IF('bid input'!R16=1,"Y","N")</f>
        <v>N</v>
      </c>
      <c r="D202" s="9" t="n">
        <f aca="false">+IF(C202="Y",+'bid input'!M16,0)</f>
        <v>0</v>
      </c>
      <c r="E202" s="13" t="n">
        <f aca="false">+D202*$D$210</f>
        <v>0</v>
      </c>
      <c r="G202" s="44" t="n">
        <f aca="false">+$E202/$E$208*G$183</f>
        <v>0</v>
      </c>
      <c r="H202" s="44" t="n">
        <f aca="false">+$E202/$E$208*H$183</f>
        <v>0</v>
      </c>
      <c r="I202" s="44" t="n">
        <f aca="false">+$E202/$E$208*I$183</f>
        <v>0</v>
      </c>
      <c r="J202" s="44" t="n">
        <f aca="false">+$E202/$E$208*J$183</f>
        <v>0</v>
      </c>
      <c r="K202" s="44" t="n">
        <f aca="false">+$E202/$E$208*K$183</f>
        <v>0</v>
      </c>
      <c r="L202" s="44" t="n">
        <f aca="false">+$E202/$E$208*L$183</f>
        <v>0</v>
      </c>
      <c r="M202" s="9" t="n">
        <f aca="false">SUM(G202:L202)</f>
        <v>0</v>
      </c>
    </row>
    <row collapsed="false" customFormat="false" customHeight="false" hidden="true" ht="14" outlineLevel="1" r="203">
      <c r="B203" s="0" t="n">
        <f aca="false">+'bid input'!B17</f>
        <v>1104131</v>
      </c>
      <c r="C203" s="13" t="str">
        <f aca="false">+IF('bid input'!R17=1,"Y","N")</f>
        <v>Y</v>
      </c>
      <c r="D203" s="9" t="n">
        <f aca="false">+IF(C203="Y",+'bid input'!M17,0)</f>
        <v>598000</v>
      </c>
      <c r="E203" s="13" t="n">
        <f aca="false">+D203*$D$210</f>
        <v>212482.780487805</v>
      </c>
      <c r="G203" s="44" t="n">
        <f aca="false">+$E203/$E$208*G$183</f>
        <v>4447.87984599901</v>
      </c>
      <c r="H203" s="44" t="n">
        <f aca="false">+$E203/$E$208*H$183</f>
        <v>31456.6175846414</v>
      </c>
      <c r="I203" s="44" t="n">
        <f aca="false">+$E203/$E$208*I$183</f>
        <v>53574.1179034912</v>
      </c>
      <c r="J203" s="44" t="n">
        <f aca="false">+$E203/$E$208*J$183</f>
        <v>14664.1529286243</v>
      </c>
      <c r="K203" s="44" t="n">
        <f aca="false">+$E203/$E$208*K$183</f>
        <v>40657.1594425713</v>
      </c>
      <c r="L203" s="44" t="n">
        <f aca="false">+$E203/$E$208*L$183</f>
        <v>67682.8527824777</v>
      </c>
      <c r="M203" s="9" t="n">
        <f aca="false">SUM(G203:L203)</f>
        <v>212482.780487805</v>
      </c>
    </row>
    <row collapsed="false" customFormat="false" customHeight="false" hidden="true" ht="14" outlineLevel="1" r="204">
      <c r="B204" s="0" t="n">
        <f aca="false">+'bid input'!B18</f>
        <v>1104155</v>
      </c>
      <c r="C204" s="13" t="str">
        <f aca="false">+IF('bid input'!R18=1,"Y","N")</f>
        <v>N</v>
      </c>
      <c r="D204" s="9" t="n">
        <f aca="false">+IF(C204="Y",+'bid input'!M18,0)</f>
        <v>0</v>
      </c>
      <c r="E204" s="13" t="n">
        <f aca="false">+D204*$D$210</f>
        <v>0</v>
      </c>
      <c r="G204" s="44" t="n">
        <f aca="false">+$E204/$E$208*G$183</f>
        <v>0</v>
      </c>
      <c r="H204" s="44" t="n">
        <f aca="false">+$E204/$E$208*H$183</f>
        <v>0</v>
      </c>
      <c r="I204" s="44" t="n">
        <f aca="false">+$E204/$E$208*I$183</f>
        <v>0</v>
      </c>
      <c r="J204" s="44" t="n">
        <f aca="false">+$E204/$E$208*J$183</f>
        <v>0</v>
      </c>
      <c r="K204" s="44" t="n">
        <f aca="false">+$E204/$E$208*K$183</f>
        <v>0</v>
      </c>
      <c r="L204" s="44" t="n">
        <f aca="false">+$E204/$E$208*L$183</f>
        <v>0</v>
      </c>
      <c r="M204" s="9" t="n">
        <f aca="false">SUM(G204:L204)</f>
        <v>0</v>
      </c>
    </row>
    <row collapsed="false" customFormat="false" customHeight="false" hidden="true" ht="14" outlineLevel="1" r="205">
      <c r="B205" s="0" t="n">
        <f aca="false">+'bid input'!B19</f>
        <v>1104156</v>
      </c>
      <c r="C205" s="13" t="str">
        <f aca="false">+IF('bid input'!R19=1,"Y","N")</f>
        <v>N</v>
      </c>
      <c r="D205" s="9" t="n">
        <f aca="false">+IF(C205="Y",+'bid input'!M19,0)</f>
        <v>0</v>
      </c>
      <c r="E205" s="13" t="n">
        <f aca="false">+D205*$D$210</f>
        <v>0</v>
      </c>
      <c r="G205" s="44" t="n">
        <f aca="false">+$E205/$E$208*G$183</f>
        <v>0</v>
      </c>
      <c r="H205" s="44" t="n">
        <f aca="false">+$E205/$E$208*H$183</f>
        <v>0</v>
      </c>
      <c r="I205" s="44" t="n">
        <f aca="false">+$E205/$E$208*I$183</f>
        <v>0</v>
      </c>
      <c r="J205" s="44" t="n">
        <f aca="false">+$E205/$E$208*J$183</f>
        <v>0</v>
      </c>
      <c r="K205" s="44" t="n">
        <f aca="false">+$E205/$E$208*K$183</f>
        <v>0</v>
      </c>
      <c r="L205" s="44" t="n">
        <f aca="false">+$E205/$E$208*L$183</f>
        <v>0</v>
      </c>
      <c r="M205" s="9" t="n">
        <f aca="false">SUM(G205:L205)</f>
        <v>0</v>
      </c>
    </row>
    <row collapsed="false" customFormat="false" customHeight="false" hidden="true" ht="14" outlineLevel="1" r="206">
      <c r="B206" s="0" t="n">
        <f aca="false">+'bid input'!B20</f>
        <v>1104157</v>
      </c>
      <c r="C206" s="13" t="str">
        <f aca="false">+IF('bid input'!R20=1,"Y","N")</f>
        <v>Y</v>
      </c>
      <c r="D206" s="9" t="n">
        <f aca="false">+IF(C206="Y",+'bid input'!M20,0)</f>
        <v>629000</v>
      </c>
      <c r="E206" s="13" t="n">
        <f aca="false">+D206*$D$210</f>
        <v>223497.774125133</v>
      </c>
      <c r="G206" s="44" t="n">
        <f aca="false">+$E206/$E$208*G$183</f>
        <v>4678.45555707923</v>
      </c>
      <c r="H206" s="44" t="n">
        <f aca="false">+$E206/$E$208*H$183</f>
        <v>33087.3118072566</v>
      </c>
      <c r="I206" s="44" t="n">
        <f aca="false">+$E206/$E$208*I$183</f>
        <v>56351.3715071838</v>
      </c>
      <c r="J206" s="44" t="n">
        <f aca="false">+$E206/$E$208*J$183</f>
        <v>15424.3347694058</v>
      </c>
      <c r="K206" s="44" t="n">
        <f aca="false">+$E206/$E$208*K$183</f>
        <v>42764.8048317347</v>
      </c>
      <c r="L206" s="44" t="n">
        <f aca="false">+$E206/$E$208*L$183</f>
        <v>71191.4956524724</v>
      </c>
      <c r="M206" s="9" t="n">
        <f aca="false">SUM(G206:L206)</f>
        <v>223497.774125133</v>
      </c>
    </row>
    <row collapsed="false" customFormat="false" customHeight="false" hidden="true" ht="14" outlineLevel="1" r="207">
      <c r="B207" s="0" t="n">
        <f aca="false">+'bid input'!B21</f>
        <v>1104158</v>
      </c>
      <c r="C207" s="13" t="str">
        <f aca="false">+IF('bid input'!R21=1,"Y","N")</f>
        <v>N</v>
      </c>
      <c r="D207" s="9" t="n">
        <f aca="false">+IF(C207="Y",+'bid input'!M21,0)</f>
        <v>0</v>
      </c>
      <c r="E207" s="13" t="n">
        <f aca="false">+D207*$D$210</f>
        <v>0</v>
      </c>
      <c r="G207" s="44" t="n">
        <f aca="false">+$E207/$E$208*G$183</f>
        <v>0</v>
      </c>
      <c r="H207" s="44" t="n">
        <f aca="false">+$E207/$E$208*H$183</f>
        <v>0</v>
      </c>
      <c r="I207" s="44" t="n">
        <f aca="false">+$E207/$E$208*I$183</f>
        <v>0</v>
      </c>
      <c r="J207" s="44" t="n">
        <f aca="false">+$E207/$E$208*J$183</f>
        <v>0</v>
      </c>
      <c r="K207" s="44" t="n">
        <f aca="false">+$E207/$E$208*K$183</f>
        <v>0</v>
      </c>
      <c r="L207" s="44" t="n">
        <f aca="false">+$E207/$E$208*L$183</f>
        <v>0</v>
      </c>
      <c r="M207" s="9" t="n">
        <f aca="false">SUM(G207:L207)</f>
        <v>0</v>
      </c>
    </row>
    <row collapsed="false" customFormat="false" customHeight="false" hidden="true" ht="14" outlineLevel="1" r="208">
      <c r="B208" s="0" t="s">
        <v>69</v>
      </c>
      <c r="C208" s="0" t="n">
        <f aca="false">+COUNTIF(C188:C207,"Y")</f>
        <v>3</v>
      </c>
      <c r="D208" s="9" t="n">
        <f aca="false">SUM(D188:D207)</f>
        <v>1414500</v>
      </c>
      <c r="E208" s="9" t="n">
        <f aca="false">SUM(E188:E207)</f>
        <v>502603.5</v>
      </c>
      <c r="H208" s="9"/>
      <c r="I208" s="9"/>
      <c r="J208" s="9"/>
      <c r="K208" s="9"/>
      <c r="L208" s="9"/>
      <c r="M208" s="9"/>
    </row>
    <row collapsed="false" customFormat="false" customHeight="false" hidden="true" ht="14" outlineLevel="1" r="209">
      <c r="B209" s="0" t="s">
        <v>70</v>
      </c>
      <c r="D209" s="9" t="n">
        <f aca="false">+M183</f>
        <v>502603.5</v>
      </c>
      <c r="E209" s="13"/>
    </row>
    <row collapsed="false" customFormat="false" customHeight="false" hidden="true" ht="14" outlineLevel="1" r="210">
      <c r="B210" s="0" t="s">
        <v>71</v>
      </c>
      <c r="D210" s="53" t="n">
        <f aca="false">+D209/D208</f>
        <v>0.355322375397667</v>
      </c>
      <c r="E210" s="13"/>
    </row>
    <row collapsed="false" customFormat="false" customHeight="false" hidden="true" ht="14" outlineLevel="1" r="211">
      <c r="E211" s="13"/>
      <c r="H211" s="46"/>
      <c r="I211" s="46"/>
      <c r="J211" s="46"/>
      <c r="K211" s="46"/>
      <c r="L211" s="46"/>
      <c r="M211" s="46"/>
    </row>
    <row collapsed="false" customFormat="false" customHeight="false" hidden="false" ht="14" outlineLevel="0" r="212">
      <c r="D212" s="18" t="s">
        <v>64</v>
      </c>
      <c r="E212" s="19"/>
      <c r="F212" s="19"/>
      <c r="G212" s="20" t="n">
        <f aca="false">SUM(G188:G207)</f>
        <v>10520.9465588054</v>
      </c>
      <c r="H212" s="20" t="n">
        <f aca="false">SUM(H188:H207)</f>
        <v>74406.999286748</v>
      </c>
      <c r="I212" s="20" t="n">
        <f aca="false">SUM(I188:I207)</f>
        <v>126723.394271719</v>
      </c>
      <c r="J212" s="20" t="n">
        <f aca="false">SUM(J188:J207)</f>
        <v>34686.3617350151</v>
      </c>
      <c r="K212" s="20" t="n">
        <f aca="false">SUM(K188:K207)</f>
        <v>96169.8194506975</v>
      </c>
      <c r="L212" s="20" t="n">
        <f aca="false">SUM(L188:L207)</f>
        <v>160095.978697015</v>
      </c>
      <c r="M212" s="21" t="n">
        <f aca="false">SUM(G212:L212)</f>
        <v>502603.5</v>
      </c>
    </row>
    <row collapsed="false" customFormat="false" customHeight="false" hidden="false" ht="14" outlineLevel="0" r="213">
      <c r="D213" s="22" t="s">
        <v>40</v>
      </c>
      <c r="E213" s="23"/>
      <c r="F213" s="23"/>
      <c r="G213" s="52" t="inlineStr">
        <f aca="false">+IF(ISERROR(G109),G175,MAX(G109,G175))</f>
        <is>
          <t/>
        </is>
      </c>
      <c r="H213" s="52" t="inlineStr">
        <f aca="false">+IF(ISERROR(H109),H175,MAX(H109,H175))</f>
        <is>
          <t/>
        </is>
      </c>
      <c r="I213" s="52" t="inlineStr">
        <f aca="false">+IF(ISERROR(I109),I175,MAX(I109,I175))</f>
        <is>
          <t/>
        </is>
      </c>
      <c r="J213" s="52" t="inlineStr">
        <f aca="false">+IF(ISERROR(J109),J175,MAX(J109,J175))</f>
        <is>
          <t/>
        </is>
      </c>
      <c r="K213" s="52" t="inlineStr">
        <f aca="false">+IF(ISERROR(K109),K175,MAX(K109,K175))</f>
        <is>
          <t/>
        </is>
      </c>
      <c r="L213" s="52" t="inlineStr">
        <f aca="false">+IF(ISERROR(L109),L175,MAX(L109,L175))</f>
        <is>
          <t/>
        </is>
      </c>
      <c r="M213" s="25" t="inlineStr">
        <f aca="false">+IF(ISERROR(M109),M177,MAX(M109,M177))</f>
        <is>
          <t/>
        </is>
      </c>
      <c r="N213" s="15" t="n">
        <f aca="false">+SUMPRODUCT(G212:L212,G213:L213)/M212</f>
        <v>0.0403770898964196</v>
      </c>
    </row>
    <row collapsed="false" customFormat="false" customHeight="false" hidden="false" ht="14" outlineLevel="0" r="214">
      <c r="E214" s="13"/>
    </row>
    <row collapsed="false" customFormat="false" customHeight="false" hidden="false" ht="14" outlineLevel="0" r="215">
      <c r="D215" s="31" t="s">
        <v>48</v>
      </c>
      <c r="E215" s="32"/>
      <c r="F215" s="32"/>
      <c r="G215" s="33" t="n">
        <f aca="false">+G180+G212</f>
        <v>318725</v>
      </c>
      <c r="H215" s="33" t="n">
        <f aca="false">+H180+H212</f>
        <v>375685</v>
      </c>
      <c r="I215" s="33" t="n">
        <f aca="false">+I180+I212</f>
        <v>479875</v>
      </c>
      <c r="J215" s="33" t="n">
        <f aca="false">+J180+J212</f>
        <v>525400</v>
      </c>
      <c r="K215" s="33" t="n">
        <f aca="false">+K180+K212</f>
        <v>515425</v>
      </c>
      <c r="L215" s="33" t="n">
        <f aca="false">+L180+L212</f>
        <v>485000</v>
      </c>
      <c r="M215" s="34" t="n">
        <f aca="false">+M180+M212</f>
        <v>2700110</v>
      </c>
    </row>
    <row collapsed="false" customFormat="false" customHeight="false" hidden="false" ht="14" outlineLevel="0" r="216">
      <c r="D216" s="39" t="s">
        <v>40</v>
      </c>
      <c r="E216" s="40"/>
      <c r="F216" s="40"/>
      <c r="G216" s="41" t="n">
        <f aca="false">+IF(ISERR(G181),G213,((G212*G213)+(G180*G181))/G215)</f>
        <v>0.0219191176470588</v>
      </c>
      <c r="H216" s="41" t="n">
        <f aca="false">+IF(ISERR(H181),H213,((H212*H213)+(H180*H181))/H215)</f>
        <v>0.0235147058823529</v>
      </c>
      <c r="I216" s="41" t="n">
        <f aca="false">+IF(ISERR(I181),I213,((I212*I213)+(I180*I181))/I215)</f>
        <v>0.0432859309306673</v>
      </c>
      <c r="J216" s="41" t="n">
        <f aca="false">+IF(ISERR(J181),J213,((J212*J213)+(J180*J181))/J215)</f>
        <v>0.0451278972804345</v>
      </c>
      <c r="K216" s="41" t="n">
        <f aca="false">+IF(ISERR(K181),K213,((K212*K213)+(K180*K181))/K215)</f>
        <v>0.0237928187475213</v>
      </c>
      <c r="L216" s="41" t="n">
        <f aca="false">+IF(ISERR(L181),L213,((L212*L213)+(L180*L181))/L215)</f>
        <v>0.0522114729615206</v>
      </c>
      <c r="M216" s="42" t="n">
        <f aca="false">+IF(ISERR(M181),M213,((M212*M213)+(M180*M181))/M215)</f>
        <v>0.0360260102442812</v>
      </c>
    </row>
    <row collapsed="false" customFormat="false" customHeight="false" hidden="false" ht="14" outlineLevel="0" r="217">
      <c r="E217" s="13"/>
    </row>
    <row collapsed="false" customFormat="false" customHeight="false" hidden="false" ht="14" outlineLevel="0" r="218">
      <c r="D218" s="0" t="s">
        <v>41</v>
      </c>
      <c r="G218" s="9" t="n">
        <f aca="false">+G4-G215</f>
        <v>0</v>
      </c>
      <c r="H218" s="9" t="n">
        <f aca="false">+H4-H215</f>
        <v>0</v>
      </c>
      <c r="I218" s="9" t="n">
        <f aca="false">+I4-I215</f>
        <v>0</v>
      </c>
      <c r="J218" s="9" t="n">
        <f aca="false">+J4-J215</f>
        <v>0</v>
      </c>
      <c r="K218" s="9" t="n">
        <f aca="false">+K4-K215</f>
        <v>0</v>
      </c>
      <c r="L218" s="9" t="n">
        <f aca="false">+L4-L215</f>
        <v>0</v>
      </c>
      <c r="M218" s="9" t="n">
        <f aca="false">+M4-M215</f>
        <v>0</v>
      </c>
    </row>
    <row collapsed="false" customFormat="false" customHeight="false" hidden="false" ht="14" outlineLevel="0" r="219">
      <c r="D219" s="0" t="s">
        <v>42</v>
      </c>
      <c r="G219" s="26" t="str">
        <f aca="false">+IF(G218=0,"NA",IF(G218&lt;0,"OVER","UNDER"))</f>
        <v>NA</v>
      </c>
      <c r="H219" s="26" t="str">
        <f aca="false">+IF(H218=0,"NA",IF(H218&lt;0,"OVER","UNDER"))</f>
        <v>NA</v>
      </c>
      <c r="I219" s="26" t="str">
        <f aca="false">+IF(I218=0,"NA",IF(I218&lt;0,"OVER","UNDER"))</f>
        <v>NA</v>
      </c>
      <c r="J219" s="26" t="str">
        <f aca="false">+IF(J218=0,"NA",IF(J218&lt;0,"OVER","UNDER"))</f>
        <v>NA</v>
      </c>
      <c r="K219" s="26" t="str">
        <f aca="false">+IF(K218=0,"NA",IF(K218&lt;0,"OVER","UNDER"))</f>
        <v>NA</v>
      </c>
      <c r="L219" s="26" t="str">
        <f aca="false">+IF(L218=0,"NA",IF(L218&lt;0,"OVER","UNDER"))</f>
        <v>NA</v>
      </c>
      <c r="M219" s="26" t="str">
        <f aca="false">+IF(M218=0,"NA",IF(M218&lt;0,"OVER","UNDER"))</f>
        <v>NA</v>
      </c>
    </row>
    <row collapsed="false" customFormat="false" customHeight="false" hidden="false" ht="14" outlineLevel="0" r="220">
      <c r="E220" s="13"/>
    </row>
    <row collapsed="false" customFormat="false" customHeight="false" hidden="false" ht="14" outlineLevel="0" r="221">
      <c r="A221" s="0" t="s">
        <v>72</v>
      </c>
      <c r="E221" s="13"/>
    </row>
    <row collapsed="false" customFormat="false" customHeight="false" hidden="true" ht="14" outlineLevel="1" r="222">
      <c r="E222" s="13"/>
    </row>
    <row collapsed="false" customFormat="false" customHeight="false" hidden="true" ht="14" outlineLevel="1" r="223">
      <c r="B223" s="10" t="s">
        <v>35</v>
      </c>
      <c r="C223" s="10" t="s">
        <v>38</v>
      </c>
      <c r="D223" s="10" t="s">
        <v>73</v>
      </c>
      <c r="E223" s="13"/>
    </row>
    <row collapsed="false" customFormat="false" customHeight="false" hidden="true" ht="14" outlineLevel="1" r="224">
      <c r="B224" s="0" t="n">
        <f aca="false">+'bid input'!B2</f>
        <v>1104134</v>
      </c>
      <c r="C224" s="46" t="inlineStr">
        <f aca="false">+IF(M29&gt;0,F29,0)+IF(M79&gt;0,SUMPRODUCT(G$57:L$57,G79:L79)/M79,0)+E148+IF(M188&gt;0,M$213,0)</f>
        <is>
          <t/>
        </is>
      </c>
      <c r="D224" s="9" t="n">
        <f aca="false">+M224</f>
        <v>66622.9453870626</v>
      </c>
      <c r="E224" s="13"/>
      <c r="G224" s="9" t="n">
        <f aca="false">+G188+G148+G79+G29</f>
        <v>1394.61115572712</v>
      </c>
      <c r="H224" s="9" t="n">
        <f aca="false">+H188+H148+H79+H29</f>
        <v>9863.06989484995</v>
      </c>
      <c r="I224" s="9" t="n">
        <f aca="false">+I188+I148+I79+I29</f>
        <v>16797.9048610445</v>
      </c>
      <c r="J224" s="9" t="n">
        <f aca="false">+J188+J148+J79+J29</f>
        <v>4597.87403698503</v>
      </c>
      <c r="K224" s="9" t="n">
        <f aca="false">+K188+K148+K79+K29</f>
        <v>12747.8551763915</v>
      </c>
      <c r="L224" s="9" t="n">
        <f aca="false">+L188+L148+L79+L29</f>
        <v>21221.6302620645</v>
      </c>
      <c r="M224" s="9" t="n">
        <f aca="false">SUM(G224:L224)</f>
        <v>66622.9453870626</v>
      </c>
    </row>
    <row collapsed="false" customFormat="false" customHeight="false" hidden="true" ht="14" outlineLevel="1" r="225">
      <c r="B225" s="0" t="n">
        <f aca="false">+'bid input'!B3</f>
        <v>1104143</v>
      </c>
      <c r="C225" s="46" t="n">
        <f aca="false">+IF(M30&gt;0,F30,0)+IF(M80&gt;0,SUMPRODUCT(G$57:L$57,G80:L80)/M80,0)+E149+IF(M189&gt;0,M$213,0)</f>
        <v>0.0225</v>
      </c>
      <c r="D225" s="9" t="n">
        <f aca="false">+M225</f>
        <v>138882</v>
      </c>
      <c r="E225" s="13"/>
      <c r="G225" s="9" t="n">
        <f aca="false">+G189+G149+G80+G30</f>
        <v>63745</v>
      </c>
      <c r="H225" s="9" t="n">
        <f aca="false">+H189+H149+H80+H30</f>
        <v>75137</v>
      </c>
      <c r="I225" s="9" t="n">
        <f aca="false">+I189+I149+I80+I30</f>
        <v>0</v>
      </c>
      <c r="J225" s="9" t="n">
        <f aca="false">+J189+J149+J80+J30</f>
        <v>0</v>
      </c>
      <c r="K225" s="9" t="n">
        <f aca="false">+K189+K149+K80+K30</f>
        <v>0</v>
      </c>
      <c r="L225" s="9" t="n">
        <f aca="false">+L189+L149+L80+L30</f>
        <v>0</v>
      </c>
      <c r="M225" s="9" t="n">
        <f aca="false">SUM(G225:L225)</f>
        <v>138882</v>
      </c>
    </row>
    <row collapsed="false" customFormat="false" customHeight="false" hidden="true" ht="14" outlineLevel="1" r="226">
      <c r="B226" s="0" t="n">
        <f aca="false">+'bid input'!B4</f>
        <v>1104154</v>
      </c>
      <c r="C226" s="46" t="n">
        <f aca="false">+IF(M31&gt;0,F31,0)+IF(M81&gt;0,SUMPRODUCT(G$57:L$57,G81:L81)/M81,0)+E150+IF(M190&gt;0,M$213,0)</f>
        <v>0.044964047966165</v>
      </c>
      <c r="D226" s="9" t="n">
        <f aca="false">+M226</f>
        <v>185000</v>
      </c>
      <c r="E226" s="13"/>
      <c r="G226" s="9" t="n">
        <f aca="false">+G190+G150+G81+G31</f>
        <v>3872.58567315785</v>
      </c>
      <c r="H226" s="9" t="n">
        <f aca="false">+H190+H150+H81+H31</f>
        <v>27387.9805215212</v>
      </c>
      <c r="I226" s="9" t="n">
        <f aca="false">+I190+I150+I81+I31</f>
        <v>46644.7765291489</v>
      </c>
      <c r="J226" s="9" t="n">
        <f aca="false">+J190+J150+J81+J31</f>
        <v>12767.4736068845</v>
      </c>
      <c r="K226" s="9" t="n">
        <f aca="false">+K190+K150+K81+K31</f>
        <v>35398.5131388441</v>
      </c>
      <c r="L226" s="9" t="n">
        <f aca="false">+L190+L150+L81+L31</f>
        <v>58928.6705304434</v>
      </c>
      <c r="M226" s="9" t="n">
        <f aca="false">SUM(G226:L226)</f>
        <v>185000</v>
      </c>
    </row>
    <row collapsed="false" customFormat="false" customHeight="false" hidden="true" ht="14" outlineLevel="1" r="227">
      <c r="B227" s="0" t="n">
        <f aca="false">+'bid input'!B5</f>
        <v>1104152</v>
      </c>
      <c r="C227" s="46" t="n">
        <f aca="false">+IF(M32&gt;0,F32,0)+IF(M82&gt;0,SUMPRODUCT(G$57:L$57,G82:L82)/M82,0)+E151+IF(M191&gt;0,M$213,0)</f>
        <v>0.03</v>
      </c>
      <c r="D227" s="9" t="n">
        <f aca="false">+M227</f>
        <v>201055</v>
      </c>
      <c r="E227" s="13"/>
      <c r="G227" s="9" t="n">
        <f aca="false">+G191+G151+G82+G32</f>
        <v>0</v>
      </c>
      <c r="H227" s="9" t="n">
        <f aca="false">+H191+H151+H82+H32</f>
        <v>0</v>
      </c>
      <c r="I227" s="9" t="n">
        <f aca="false">+I191+I151+I82+I32</f>
        <v>95975</v>
      </c>
      <c r="J227" s="9" t="n">
        <f aca="false">+J191+J151+J82+J32</f>
        <v>105080</v>
      </c>
      <c r="K227" s="9" t="n">
        <f aca="false">+K191+K151+K82+K32</f>
        <v>0</v>
      </c>
      <c r="L227" s="9" t="n">
        <f aca="false">+L191+L151+L82+L32</f>
        <v>0</v>
      </c>
      <c r="M227" s="9" t="n">
        <f aca="false">SUM(G227:L227)</f>
        <v>201055</v>
      </c>
    </row>
    <row collapsed="false" customFormat="false" customHeight="false" hidden="true" ht="14" outlineLevel="1" r="228">
      <c r="B228" s="0" t="n">
        <f aca="false">+'bid input'!B6</f>
        <v>1104136</v>
      </c>
      <c r="C228" s="46" t="n">
        <f aca="false">+IF(M33&gt;0,F33,0)+IF(M83&gt;0,SUMPRODUCT(G$57:L$57,G83:L83)/M83,0)+E152+IF(M192&gt;0,M$213,0)</f>
        <v>0.06</v>
      </c>
      <c r="D228" s="9" t="n">
        <f aca="false">+M228</f>
        <v>105080</v>
      </c>
      <c r="E228" s="13"/>
      <c r="G228" s="9" t="n">
        <f aca="false">+G192+G152+G83+G33</f>
        <v>0</v>
      </c>
      <c r="H228" s="9" t="n">
        <f aca="false">+H192+H152+H83+H33</f>
        <v>0</v>
      </c>
      <c r="I228" s="9" t="n">
        <f aca="false">+I192+I152+I83+I33</f>
        <v>0</v>
      </c>
      <c r="J228" s="9" t="n">
        <f aca="false">+J192+J152+J83+J33</f>
        <v>105080</v>
      </c>
      <c r="K228" s="9" t="n">
        <f aca="false">+K192+K152+K83+K33</f>
        <v>0</v>
      </c>
      <c r="L228" s="9" t="n">
        <f aca="false">+L192+L152+L83+L33</f>
        <v>0</v>
      </c>
      <c r="M228" s="9" t="n">
        <f aca="false">SUM(G228:L228)</f>
        <v>105080</v>
      </c>
    </row>
    <row collapsed="false" customFormat="false" customHeight="false" hidden="true" ht="14" outlineLevel="1" r="229">
      <c r="B229" s="0" t="n">
        <f aca="false">+'bid input'!B7</f>
        <v>1104138</v>
      </c>
      <c r="C229" s="46" t="n">
        <f aca="false">+IF(M34&gt;0,F34,0)+IF(M84&gt;0,SUMPRODUCT(G$57:L$57,G84:L84)/M84,0)+E153+IF(M193&gt;0,M$213,0)</f>
        <v>0.036214047966165</v>
      </c>
      <c r="D229" s="9" t="n">
        <f aca="false">+M229</f>
        <v>300000</v>
      </c>
      <c r="E229" s="13"/>
      <c r="G229" s="9" t="n">
        <f aca="false">+G193+G153+G84+G34</f>
        <v>6279.86865917489</v>
      </c>
      <c r="H229" s="9" t="n">
        <f aca="false">+H193+H153+H84+H34</f>
        <v>44412.9413862506</v>
      </c>
      <c r="I229" s="9" t="n">
        <f aca="false">+I193+I153+I84+I34</f>
        <v>75640.1781553766</v>
      </c>
      <c r="J229" s="9" t="n">
        <f aca="false">+J193+J153+J84+J34</f>
        <v>20704.0112544073</v>
      </c>
      <c r="K229" s="9" t="n">
        <f aca="false">+K193+K153+K84+K34</f>
        <v>57402.9942792066</v>
      </c>
      <c r="L229" s="9" t="n">
        <f aca="false">+L193+L153+L84+L34</f>
        <v>95560.0062655839</v>
      </c>
      <c r="M229" s="9" t="n">
        <f aca="false">SUM(G229:L229)</f>
        <v>300000</v>
      </c>
    </row>
    <row collapsed="false" customFormat="false" customHeight="false" hidden="true" ht="14" outlineLevel="1" r="230">
      <c r="B230" s="0" t="n">
        <f aca="false">+'bid input'!B8</f>
        <v>1104139</v>
      </c>
      <c r="C230" s="46" t="n">
        <f aca="false">+IF(M35&gt;0,F35,0)+IF(M85&gt;0,SUMPRODUCT(G$57:L$57,G85:L85)/M85,0)+E154+IF(M194&gt;0,M$213,0)</f>
        <v>0.037464047966165</v>
      </c>
      <c r="D230" s="9" t="n">
        <f aca="false">+M230</f>
        <v>250000</v>
      </c>
      <c r="E230" s="13"/>
      <c r="G230" s="9" t="n">
        <f aca="false">+G194+G154+G85+G35</f>
        <v>5233.22388264574</v>
      </c>
      <c r="H230" s="9" t="n">
        <f aca="false">+H194+H154+H85+H35</f>
        <v>37010.7844885422</v>
      </c>
      <c r="I230" s="9" t="n">
        <f aca="false">+I194+I154+I85+I35</f>
        <v>63033.4817961472</v>
      </c>
      <c r="J230" s="9" t="n">
        <f aca="false">+J194+J154+J85+J35</f>
        <v>17253.3427120061</v>
      </c>
      <c r="K230" s="9" t="n">
        <f aca="false">+K194+K154+K85+K35</f>
        <v>47835.8285660055</v>
      </c>
      <c r="L230" s="9" t="n">
        <f aca="false">+L194+L154+L85+L35</f>
        <v>79633.3385546533</v>
      </c>
      <c r="M230" s="9" t="n">
        <f aca="false">SUM(G230:L230)</f>
        <v>250000</v>
      </c>
    </row>
    <row collapsed="false" customFormat="false" customHeight="false" hidden="true" ht="14" outlineLevel="1" r="231">
      <c r="B231" s="0" t="n">
        <f aca="false">+'bid input'!B9</f>
        <v>1104140</v>
      </c>
      <c r="C231" s="46" t="n">
        <f aca="false">+IF(M36&gt;0,F36,0)+IF(M86&gt;0,SUMPRODUCT(G$57:L$57,G86:L86)/M86,0)+E155+IF(M195&gt;0,M$213,0)</f>
        <v>0.025</v>
      </c>
      <c r="D231" s="9" t="n">
        <f aca="false">+M231</f>
        <v>74000</v>
      </c>
      <c r="E231" s="13"/>
      <c r="G231" s="9" t="n">
        <f aca="false">+G195+G155+G86+G36</f>
        <v>0</v>
      </c>
      <c r="H231" s="9" t="n">
        <f aca="false">+H195+H155+H86+H36</f>
        <v>0</v>
      </c>
      <c r="I231" s="9" t="n">
        <f aca="false">+I195+I155+I86+I36</f>
        <v>0</v>
      </c>
      <c r="J231" s="9" t="n">
        <f aca="false">+J195+J155+J86+J36</f>
        <v>0</v>
      </c>
      <c r="K231" s="9" t="n">
        <f aca="false">+K195+K155+K86+K36</f>
        <v>74000</v>
      </c>
      <c r="L231" s="9" t="n">
        <f aca="false">+L195+L155+L86+L36</f>
        <v>0</v>
      </c>
      <c r="M231" s="9" t="n">
        <f aca="false">SUM(G231:L231)</f>
        <v>74000</v>
      </c>
    </row>
    <row collapsed="false" customFormat="false" customHeight="false" hidden="true" ht="14" outlineLevel="1" r="232">
      <c r="B232" s="0" t="n">
        <f aca="false">+'bid input'!B10</f>
        <v>1104141</v>
      </c>
      <c r="C232" s="46" t="n">
        <f aca="false">+IF(M37&gt;0,F37,0)+IF(M87&gt;0,SUMPRODUCT(G$57:L$57,G87:L87)/M87,0)+E156+IF(M196&gt;0,M$213,0)</f>
        <v>0.039964047966165</v>
      </c>
      <c r="D232" s="9" t="n">
        <f aca="false">+M232</f>
        <v>285000</v>
      </c>
      <c r="G232" s="9" t="n">
        <f aca="false">+G196+G156+G87+G37</f>
        <v>5965.87522621615</v>
      </c>
      <c r="H232" s="9" t="n">
        <f aca="false">+H196+H156+H87+H37</f>
        <v>42192.2943169381</v>
      </c>
      <c r="I232" s="9" t="n">
        <f aca="false">+I196+I156+I87+I37</f>
        <v>71858.1692476078</v>
      </c>
      <c r="J232" s="9" t="n">
        <f aca="false">+J196+J156+J87+J37</f>
        <v>19668.810691687</v>
      </c>
      <c r="K232" s="9" t="n">
        <f aca="false">+K196+K156+K87+K37</f>
        <v>54532.8445652463</v>
      </c>
      <c r="L232" s="9" t="n">
        <f aca="false">+L196+L156+L87+L37</f>
        <v>90782.0059523047</v>
      </c>
      <c r="M232" s="9" t="n">
        <f aca="false">SUM(G232:L232)</f>
        <v>285000</v>
      </c>
    </row>
    <row collapsed="false" customFormat="false" customHeight="false" hidden="true" ht="14" outlineLevel="1" r="233">
      <c r="B233" s="0" t="n">
        <f aca="false">+'bid input'!B11</f>
        <v>1104159</v>
      </c>
      <c r="C233" s="46" t="n">
        <f aca="false">+IF(M38&gt;0,F38,0)+IF(M88&gt;0,SUMPRODUCT(G$57:L$57,G88:L88)/M88,0)+E157+IF(M197&gt;0,M$213,0)</f>
        <v>0.0225</v>
      </c>
      <c r="D233" s="9" t="n">
        <f aca="false">+M233</f>
        <v>63745</v>
      </c>
      <c r="G233" s="9" t="n">
        <f aca="false">+G197+G157+G88+G38</f>
        <v>63745</v>
      </c>
      <c r="H233" s="9" t="n">
        <f aca="false">+H197+H157+H88+H38</f>
        <v>0</v>
      </c>
      <c r="I233" s="9" t="n">
        <f aca="false">+I197+I157+I88+I38</f>
        <v>0</v>
      </c>
      <c r="J233" s="9" t="n">
        <f aca="false">+J197+J157+J88+J38</f>
        <v>0</v>
      </c>
      <c r="K233" s="9" t="n">
        <f aca="false">+K197+K157+K88+K38</f>
        <v>0</v>
      </c>
      <c r="L233" s="9" t="n">
        <f aca="false">+L197+L157+L88+L38</f>
        <v>0</v>
      </c>
      <c r="M233" s="9" t="n">
        <f aca="false">SUM(G233:L233)</f>
        <v>63745</v>
      </c>
    </row>
    <row collapsed="false" customFormat="false" customHeight="false" hidden="true" ht="14" outlineLevel="1" r="234">
      <c r="B234" s="0" t="n">
        <f aca="false">+'bid input'!B12</f>
        <v>1104161</v>
      </c>
      <c r="C234" s="46" t="n">
        <f aca="false">+IF(M39&gt;0,F39,0)+IF(M89&gt;0,SUMPRODUCT(G$57:L$57,G89:L89)/M89,0)+E158+IF(M198&gt;0,M$213,0)</f>
        <v>0.06</v>
      </c>
      <c r="D234" s="9" t="n">
        <f aca="false">+M234</f>
        <v>105080</v>
      </c>
      <c r="G234" s="9" t="n">
        <f aca="false">+G198+G158+G89+G39</f>
        <v>0</v>
      </c>
      <c r="H234" s="9" t="n">
        <f aca="false">+H198+H158+H89+H39</f>
        <v>0</v>
      </c>
      <c r="I234" s="9" t="n">
        <f aca="false">+I198+I158+I89+I39</f>
        <v>0</v>
      </c>
      <c r="J234" s="9" t="n">
        <f aca="false">+J198+J158+J89+J39</f>
        <v>105080</v>
      </c>
      <c r="K234" s="9" t="n">
        <f aca="false">+K198+K158+K89+K39</f>
        <v>0</v>
      </c>
      <c r="L234" s="9" t="n">
        <f aca="false">+L198+L158+L89+L39</f>
        <v>0</v>
      </c>
      <c r="M234" s="9" t="n">
        <f aca="false">SUM(G234:L234)</f>
        <v>105080</v>
      </c>
    </row>
    <row collapsed="false" customFormat="false" customHeight="false" hidden="true" ht="14" outlineLevel="1" r="235">
      <c r="B235" s="0" t="n">
        <f aca="false">+'bid input'!B13</f>
        <v>1104145</v>
      </c>
      <c r="C235" s="46" t="n">
        <f aca="false">+IF(M40&gt;0,F40,0)+IF(M90&gt;0,SUMPRODUCT(G$57:L$57,G90:L90)/M90,0)+E159+IF(M199&gt;0,M$213,0)</f>
        <v>0.015</v>
      </c>
      <c r="D235" s="9" t="n">
        <f aca="false">+M235</f>
        <v>31872.5</v>
      </c>
      <c r="G235" s="9" t="n">
        <f aca="false">+G199+G159+G90+G40</f>
        <v>31872.5</v>
      </c>
      <c r="H235" s="9" t="n">
        <f aca="false">+H199+H159+H90+H40</f>
        <v>0</v>
      </c>
      <c r="I235" s="9" t="n">
        <f aca="false">+I199+I159+I90+I40</f>
        <v>0</v>
      </c>
      <c r="J235" s="9" t="n">
        <f aca="false">+J199+J159+J90+J40</f>
        <v>0</v>
      </c>
      <c r="K235" s="9" t="n">
        <f aca="false">+K199+K159+K90+K40</f>
        <v>0</v>
      </c>
      <c r="L235" s="9" t="n">
        <f aca="false">+L199+L159+L90+L40</f>
        <v>0</v>
      </c>
      <c r="M235" s="9" t="n">
        <f aca="false">SUM(G235:L235)</f>
        <v>31872.5</v>
      </c>
    </row>
    <row collapsed="false" customFormat="false" customHeight="false" hidden="true" ht="14" outlineLevel="1" r="236">
      <c r="B236" s="0" t="n">
        <f aca="false">+'bid input'!B14</f>
        <v>1104133</v>
      </c>
      <c r="C236" s="46" t="n">
        <f aca="false">+IF(M41&gt;0,F41,0)+IF(M91&gt;0,SUMPRODUCT(G$57:L$57,G91:L91)/M91,0)+E160+IF(M200&gt;0,M$213,0)</f>
        <v>0.04</v>
      </c>
      <c r="D236" s="9" t="n">
        <f aca="false">+M236</f>
        <v>105080</v>
      </c>
      <c r="G236" s="9" t="n">
        <f aca="false">+G200+G160+G91+G41</f>
        <v>0</v>
      </c>
      <c r="H236" s="9" t="n">
        <f aca="false">+H200+H160+H91+H41</f>
        <v>0</v>
      </c>
      <c r="I236" s="9" t="n">
        <f aca="false">+I200+I160+I91+I41</f>
        <v>0</v>
      </c>
      <c r="J236" s="9" t="n">
        <f aca="false">+J200+J160+J91+J41</f>
        <v>105080</v>
      </c>
      <c r="K236" s="9" t="n">
        <f aca="false">+K200+K160+K91+K41</f>
        <v>0</v>
      </c>
      <c r="L236" s="9" t="n">
        <f aca="false">+L200+L160+L91+L41</f>
        <v>0</v>
      </c>
      <c r="M236" s="9" t="n">
        <f aca="false">SUM(G236:L236)</f>
        <v>105080</v>
      </c>
    </row>
    <row collapsed="false" customFormat="false" customHeight="false" hidden="true" ht="14" outlineLevel="1" r="237">
      <c r="B237" s="0" t="n">
        <f aca="false">+'bid input'!B15</f>
        <v>1104149</v>
      </c>
      <c r="C237" s="46" t="n">
        <f aca="false">+IF(M42&gt;0,F42,0)+IF(M92&gt;0,SUMPRODUCT(G$57:L$57,G92:L92)/M92,0)+E161+IF(M201&gt;0,M$213,0)</f>
        <v>0.025</v>
      </c>
      <c r="D237" s="9" t="n">
        <f aca="false">+M237</f>
        <v>47000</v>
      </c>
      <c r="G237" s="9" t="n">
        <f aca="false">+G201+G161+G92+G42</f>
        <v>0</v>
      </c>
      <c r="H237" s="9" t="n">
        <f aca="false">+H201+H161+H92+H42</f>
        <v>0</v>
      </c>
      <c r="I237" s="9" t="n">
        <f aca="false">+I201+I161+I92+I42</f>
        <v>0</v>
      </c>
      <c r="J237" s="9" t="n">
        <f aca="false">+J201+J161+J92+J42</f>
        <v>0</v>
      </c>
      <c r="K237" s="9" t="n">
        <f aca="false">+K201+K161+K92+K42</f>
        <v>47000</v>
      </c>
      <c r="L237" s="9" t="n">
        <f aca="false">+L201+L161+L92+L42</f>
        <v>0</v>
      </c>
      <c r="M237" s="9" t="n">
        <f aca="false">SUM(G237:L237)</f>
        <v>47000</v>
      </c>
    </row>
    <row collapsed="false" customFormat="false" customHeight="false" hidden="true" ht="14" outlineLevel="1" r="238">
      <c r="B238" s="0" t="n">
        <f aca="false">+'bid input'!B16</f>
        <v>1104151</v>
      </c>
      <c r="C238" s="46" t="n">
        <f aca="false">+IF(M43&gt;0,F43,0)+IF(M93&gt;0,SUMPRODUCT(G$57:L$57,G93:L93)/M93,0)+E162+IF(M202&gt;0,M$213,0)</f>
        <v>0.0225</v>
      </c>
      <c r="D238" s="9" t="n">
        <f aca="false">+M238</f>
        <v>63745</v>
      </c>
      <c r="G238" s="9" t="n">
        <f aca="false">+G202+G162+G93+G43</f>
        <v>63745</v>
      </c>
      <c r="H238" s="9" t="n">
        <f aca="false">+H202+H162+H93+H43</f>
        <v>0</v>
      </c>
      <c r="I238" s="9" t="n">
        <f aca="false">+I202+I162+I93+I43</f>
        <v>0</v>
      </c>
      <c r="J238" s="9" t="n">
        <f aca="false">+J202+J162+J93+J43</f>
        <v>0</v>
      </c>
      <c r="K238" s="9" t="n">
        <f aca="false">+K202+K162+K93+K43</f>
        <v>0</v>
      </c>
      <c r="L238" s="9" t="n">
        <f aca="false">+L202+L162+L93+L43</f>
        <v>0</v>
      </c>
      <c r="M238" s="9" t="n">
        <f aca="false">SUM(G238:L238)</f>
        <v>63745</v>
      </c>
    </row>
    <row collapsed="false" customFormat="false" customHeight="false" hidden="true" ht="14" outlineLevel="1" r="239">
      <c r="B239" s="0" t="n">
        <f aca="false">+'bid input'!B17</f>
        <v>1104131</v>
      </c>
      <c r="C239" s="46" t="inlineStr">
        <f aca="false">+IF(M44&gt;0,F44,0)+IF(M94&gt;0,SUMPRODUCT(G$57:L$57,G94:L94)/M94,0)+E163+IF(M203&gt;0,M$213,0)</f>
        <is>
          <t/>
        </is>
      </c>
      <c r="D239" s="9" t="n">
        <f aca="false">+M239</f>
        <v>212482.780487805</v>
      </c>
      <c r="G239" s="9" t="n">
        <f aca="false">+G203+G163+G94+G44</f>
        <v>4447.87984599901</v>
      </c>
      <c r="H239" s="9" t="n">
        <f aca="false">+H203+H163+H94+H44</f>
        <v>31456.6175846414</v>
      </c>
      <c r="I239" s="9" t="n">
        <f aca="false">+I203+I163+I94+I44</f>
        <v>53574.1179034912</v>
      </c>
      <c r="J239" s="9" t="n">
        <f aca="false">+J203+J163+J94+J44</f>
        <v>14664.1529286243</v>
      </c>
      <c r="K239" s="9" t="n">
        <f aca="false">+K203+K163+K94+K44</f>
        <v>40657.1594425713</v>
      </c>
      <c r="L239" s="9" t="n">
        <f aca="false">+L203+L163+L94+L44</f>
        <v>67682.8527824777</v>
      </c>
      <c r="M239" s="9" t="n">
        <f aca="false">SUM(G239:L239)</f>
        <v>212482.780487805</v>
      </c>
    </row>
    <row collapsed="false" customFormat="false" customHeight="false" hidden="true" ht="14" outlineLevel="1" r="240">
      <c r="B240" s="0" t="n">
        <f aca="false">+'bid input'!B18</f>
        <v>1104155</v>
      </c>
      <c r="C240" s="46" t="n">
        <f aca="false">+IF(M45&gt;0,F45,0)+IF(M95&gt;0,SUMPRODUCT(G$57:L$57,G95:L95)/M95,0)+E164+IF(M204&gt;0,M$213,0)</f>
        <v>0.02125</v>
      </c>
      <c r="D240" s="9" t="n">
        <f aca="false">+M240</f>
        <v>103085</v>
      </c>
      <c r="G240" s="9" t="n">
        <f aca="false">+G204+G164+G95+G45</f>
        <v>0</v>
      </c>
      <c r="H240" s="9" t="n">
        <f aca="false">+H204+H164+H95+H45</f>
        <v>0</v>
      </c>
      <c r="I240" s="9" t="n">
        <f aca="false">+I204+I164+I95+I45</f>
        <v>0</v>
      </c>
      <c r="J240" s="9" t="n">
        <f aca="false">+J204+J164+J95+J45</f>
        <v>0</v>
      </c>
      <c r="K240" s="9" t="n">
        <f aca="false">+K204+K164+K95+K45</f>
        <v>103085</v>
      </c>
      <c r="L240" s="9" t="n">
        <f aca="false">+L204+L164+L95+L45</f>
        <v>0</v>
      </c>
      <c r="M240" s="9" t="n">
        <f aca="false">SUM(G240:L240)</f>
        <v>103085</v>
      </c>
    </row>
    <row collapsed="false" customFormat="false" customHeight="false" hidden="true" ht="14" outlineLevel="1" r="241">
      <c r="B241" s="0" t="n">
        <f aca="false">+'bid input'!B19</f>
        <v>1104156</v>
      </c>
      <c r="C241" s="46" t="n">
        <f aca="false">+IF(M46&gt;0,F46,0)+IF(M96&gt;0,SUMPRODUCT(G$57:L$57,G96:L96)/M96,0)+E165+IF(M205&gt;0,M$213,0)</f>
        <v>0.0225</v>
      </c>
      <c r="D241" s="9" t="n">
        <f aca="false">+M241</f>
        <v>75137</v>
      </c>
      <c r="G241" s="9" t="n">
        <f aca="false">+G205+G165+G96+G46</f>
        <v>0</v>
      </c>
      <c r="H241" s="9" t="n">
        <f aca="false">+H205+H165+H96+H46</f>
        <v>75137</v>
      </c>
      <c r="I241" s="9" t="n">
        <f aca="false">+I205+I165+I96+I46</f>
        <v>0</v>
      </c>
      <c r="J241" s="9" t="n">
        <f aca="false">+J205+J165+J96+J46</f>
        <v>0</v>
      </c>
      <c r="K241" s="9" t="n">
        <f aca="false">+K205+K165+K96+K46</f>
        <v>0</v>
      </c>
      <c r="L241" s="9" t="n">
        <f aca="false">+L205+L165+L96+L46</f>
        <v>0</v>
      </c>
      <c r="M241" s="9" t="n">
        <f aca="false">SUM(G241:L241)</f>
        <v>75137</v>
      </c>
    </row>
    <row collapsed="false" customFormat="false" customHeight="false" hidden="true" ht="14" outlineLevel="1" r="242">
      <c r="B242" s="0" t="n">
        <f aca="false">+'bid input'!B20</f>
        <v>1104157</v>
      </c>
      <c r="C242" s="46" t="inlineStr">
        <f aca="false">+IF(M47&gt;0,F47,0)+IF(M97&gt;0,SUMPRODUCT(G$57:L$57,G97:L97)/M97,0)+E166+IF(M206&gt;0,M$213,0)</f>
        <is>
          <t/>
        </is>
      </c>
      <c r="D242" s="9" t="n">
        <f aca="false">+M242</f>
        <v>223497.774125133</v>
      </c>
      <c r="G242" s="9" t="n">
        <f aca="false">+G206+G166+G97+G47</f>
        <v>4678.45555707923</v>
      </c>
      <c r="H242" s="9" t="n">
        <f aca="false">+H206+H166+H97+H47</f>
        <v>33087.3118072566</v>
      </c>
      <c r="I242" s="9" t="n">
        <f aca="false">+I206+I166+I97+I47</f>
        <v>56351.3715071838</v>
      </c>
      <c r="J242" s="9" t="n">
        <f aca="false">+J206+J166+J97+J47</f>
        <v>15424.3347694058</v>
      </c>
      <c r="K242" s="9" t="n">
        <f aca="false">+K206+K166+K97+K47</f>
        <v>42764.8048317347</v>
      </c>
      <c r="L242" s="9" t="n">
        <f aca="false">+L206+L166+L97+L47</f>
        <v>71191.4956524724</v>
      </c>
      <c r="M242" s="9" t="n">
        <f aca="false">SUM(G242:L242)</f>
        <v>223497.774125133</v>
      </c>
    </row>
    <row collapsed="false" customFormat="false" customHeight="false" hidden="true" ht="14" outlineLevel="1" r="243">
      <c r="B243" s="0" t="n">
        <f aca="false">+'bid input'!B21</f>
        <v>1104158</v>
      </c>
      <c r="C243" s="46" t="n">
        <f aca="false">+IF(M48&gt;0,F48,0)+IF(M98&gt;0,SUMPRODUCT(G$57:L$57,G98:L98)/M98,0)+E167+IF(M207&gt;0,M$213,0)</f>
        <v>0.0225</v>
      </c>
      <c r="D243" s="9" t="n">
        <f aca="false">+M243</f>
        <v>63745</v>
      </c>
      <c r="G243" s="9" t="n">
        <f aca="false">+G207+G167+G98+G48</f>
        <v>63745</v>
      </c>
      <c r="H243" s="9" t="n">
        <f aca="false">+H207+H167+H98+H48</f>
        <v>0</v>
      </c>
      <c r="I243" s="9" t="n">
        <f aca="false">+I207+I167+I98+I48</f>
        <v>0</v>
      </c>
      <c r="J243" s="9" t="n">
        <f aca="false">+J207+J167+J98+J48</f>
        <v>0</v>
      </c>
      <c r="K243" s="9" t="n">
        <f aca="false">+K207+K167+K98+K48</f>
        <v>0</v>
      </c>
      <c r="L243" s="9" t="n">
        <f aca="false">+L207+L167+L98+L48</f>
        <v>0</v>
      </c>
      <c r="M243" s="9" t="n">
        <f aca="false">SUM(G243:L243)</f>
        <v>63745</v>
      </c>
    </row>
    <row collapsed="false" customFormat="false" customHeight="false" hidden="false" ht="14.9" outlineLevel="0" r="244">
      <c r="B244" s="1" t="s">
        <v>74</v>
      </c>
      <c r="C244" s="46" t="n">
        <f aca="false">+SUMPRODUCT(C224:C243,M224:M243)/M244</f>
        <v>0.0360260102442812</v>
      </c>
      <c r="D244" s="9" t="n">
        <f aca="false">SUM(D224:D243)</f>
        <v>2700110</v>
      </c>
      <c r="G244" s="9" t="n">
        <f aca="false">SUM(G224:G243)</f>
        <v>318725</v>
      </c>
      <c r="H244" s="9" t="n">
        <f aca="false">SUM(H224:H243)</f>
        <v>375685</v>
      </c>
      <c r="I244" s="9" t="n">
        <f aca="false">SUM(I224:I243)</f>
        <v>479875</v>
      </c>
      <c r="J244" s="9" t="n">
        <f aca="false">SUM(J224:J243)</f>
        <v>525400</v>
      </c>
      <c r="K244" s="9" t="n">
        <f aca="false">SUM(K224:K243)</f>
        <v>515425</v>
      </c>
      <c r="L244" s="9" t="n">
        <f aca="false">SUM(L224:L243)</f>
        <v>485000</v>
      </c>
      <c r="M244" s="9" t="n">
        <f aca="false">SUM(G244:L244)</f>
        <v>2700110</v>
      </c>
    </row>
    <row collapsed="false" customFormat="false" customHeight="false" hidden="false" ht="14" outlineLevel="0" r="245">
      <c r="C245" s="46"/>
    </row>
    <row collapsed="false" customFormat="false" customHeight="false" hidden="false" ht="14" outlineLevel="0" r="246">
      <c r="B246" s="0" t="s">
        <v>75</v>
      </c>
      <c r="C246" s="14" t="n">
        <v>0.01</v>
      </c>
    </row>
    <row collapsed="false" customFormat="false" customHeight="false" hidden="false" ht="14" outlineLevel="0" r="248">
      <c r="B248" s="0" t="s">
        <v>76</v>
      </c>
      <c r="C248" s="14" t="inlineStr">
        <f aca="false">+C246+C244</f>
        <is>
          <t/>
        </is>
      </c>
      <c r="G248" s="46" t="inlineStr">
        <f aca="false">+G216+$C$246</f>
        <is>
          <t/>
        </is>
      </c>
      <c r="H248" s="46" t="inlineStr">
        <f aca="false">+H216+$C$246</f>
        <is>
          <t/>
        </is>
      </c>
      <c r="I248" s="46" t="inlineStr">
        <f aca="false">+I216+$C$246</f>
        <is>
          <t/>
        </is>
      </c>
      <c r="J248" s="46" t="inlineStr">
        <f aca="false">+J216+$C$246</f>
        <is>
          <t/>
        </is>
      </c>
      <c r="K248" s="46" t="inlineStr">
        <f aca="false">+K216+$C$246</f>
        <is>
          <t/>
        </is>
      </c>
      <c r="L248" s="46" t="inlineStr">
        <f aca="false">+L216+$C$246</f>
        <is>
          <t/>
        </is>
      </c>
      <c r="M248" s="46" t="inlineStr">
        <f aca="false">+M216+$C$246</f>
        <is>
          <t/>
        </is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blackAndWhite="false" cellComments="none" copies="1" draft="false" firstPageNumber="0" fitToHeight="1" fitToWidth="1" horizontalDpi="300" orientation="portrait" pageOrder="downThenOver" paperSize="1" scale="100" useFirstPageNumber="false" usePrinterDefaults="false" verticalDpi="300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revision>0</cp:revision>
</cp:coreProperties>
</file>