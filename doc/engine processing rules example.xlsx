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90" windowWidth="19035" windowHeight="8955" activeTab="1"/>
  </bookViews>
  <sheets>
    <sheet name="bid input" sheetId="6" r:id="rId1"/>
    <sheet name="assets available for bid" sheetId="7" r:id="rId2"/>
  </sheets>
  <definedNames>
    <definedName name="_xlnm._FilterDatabase" localSheetId="0" hidden="1">'bid input'!$A$1:$N$21</definedName>
  </definedNames>
  <calcPr calcId="125725"/>
</workbook>
</file>

<file path=xl/calcChain.xml><?xml version="1.0" encoding="utf-8"?>
<calcChain xmlns="http://schemas.openxmlformats.org/spreadsheetml/2006/main">
  <c r="B183" i="7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201"/>
  <c r="B182"/>
  <c r="B147"/>
  <c r="C147"/>
  <c r="D147" s="1"/>
  <c r="B148"/>
  <c r="C148"/>
  <c r="D148" s="1"/>
  <c r="B149"/>
  <c r="C149"/>
  <c r="D149" s="1"/>
  <c r="B150"/>
  <c r="C150"/>
  <c r="D150" s="1"/>
  <c r="B151"/>
  <c r="C151"/>
  <c r="D151" s="1"/>
  <c r="B152"/>
  <c r="C152"/>
  <c r="D152" s="1"/>
  <c r="B153"/>
  <c r="C153"/>
  <c r="D153" s="1"/>
  <c r="B154"/>
  <c r="C154"/>
  <c r="D154" s="1"/>
  <c r="B155"/>
  <c r="C155"/>
  <c r="D155" s="1"/>
  <c r="B156"/>
  <c r="C156"/>
  <c r="D156" s="1"/>
  <c r="B157"/>
  <c r="C157"/>
  <c r="D157" s="1"/>
  <c r="B158"/>
  <c r="C158"/>
  <c r="D158" s="1"/>
  <c r="B159"/>
  <c r="C159"/>
  <c r="D159" s="1"/>
  <c r="B160"/>
  <c r="C160"/>
  <c r="D160" s="1"/>
  <c r="B161"/>
  <c r="C161"/>
  <c r="D161" s="1"/>
  <c r="B162"/>
  <c r="C162"/>
  <c r="D162" s="1"/>
  <c r="B163"/>
  <c r="C163"/>
  <c r="D163" s="1"/>
  <c r="B164"/>
  <c r="C164"/>
  <c r="D164" s="1"/>
  <c r="B165"/>
  <c r="C165"/>
  <c r="D165" s="1"/>
  <c r="C146"/>
  <c r="D146" s="1"/>
  <c r="R3" i="6"/>
  <c r="R4"/>
  <c r="R5"/>
  <c r="R6"/>
  <c r="R7"/>
  <c r="R8"/>
  <c r="R9"/>
  <c r="R10"/>
  <c r="R11"/>
  <c r="R12"/>
  <c r="R13"/>
  <c r="R14"/>
  <c r="R15"/>
  <c r="R16"/>
  <c r="R17"/>
  <c r="R18"/>
  <c r="R19"/>
  <c r="R20"/>
  <c r="R21"/>
  <c r="R2"/>
  <c r="B146" i="7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71"/>
  <c r="B72"/>
  <c r="B107" s="1"/>
  <c r="B73"/>
  <c r="B108" s="1"/>
  <c r="B74"/>
  <c r="B109" s="1"/>
  <c r="B75"/>
  <c r="B110" s="1"/>
  <c r="B76"/>
  <c r="B111" s="1"/>
  <c r="B77"/>
  <c r="B112" s="1"/>
  <c r="B78"/>
  <c r="B113" s="1"/>
  <c r="B79"/>
  <c r="B114" s="1"/>
  <c r="B80"/>
  <c r="B115" s="1"/>
  <c r="B81"/>
  <c r="B116" s="1"/>
  <c r="B82"/>
  <c r="B117" s="1"/>
  <c r="B83"/>
  <c r="B118" s="1"/>
  <c r="B84"/>
  <c r="B119" s="1"/>
  <c r="B85"/>
  <c r="B120" s="1"/>
  <c r="B86"/>
  <c r="B121" s="1"/>
  <c r="B87"/>
  <c r="B122" s="1"/>
  <c r="B88"/>
  <c r="B123" s="1"/>
  <c r="B89"/>
  <c r="B124" s="1"/>
  <c r="B90"/>
  <c r="B125" s="1"/>
  <c r="Q3" i="6"/>
  <c r="C72" i="7" s="1"/>
  <c r="D72" s="1"/>
  <c r="Q4" i="6"/>
  <c r="C73" i="7" s="1"/>
  <c r="D73" s="1"/>
  <c r="Q5" i="6"/>
  <c r="C74" i="7" s="1"/>
  <c r="D74" s="1"/>
  <c r="Q6" i="6"/>
  <c r="C75" i="7" s="1"/>
  <c r="D75" s="1"/>
  <c r="Q7" i="6"/>
  <c r="C76" i="7" s="1"/>
  <c r="D76" s="1"/>
  <c r="Q8" i="6"/>
  <c r="C77" i="7" s="1"/>
  <c r="D77" s="1"/>
  <c r="Q9" i="6"/>
  <c r="C78" i="7" s="1"/>
  <c r="D78" s="1"/>
  <c r="Q10" i="6"/>
  <c r="C79" i="7" s="1"/>
  <c r="D79" s="1"/>
  <c r="Q11" i="6"/>
  <c r="C80" i="7" s="1"/>
  <c r="D80" s="1"/>
  <c r="Q12" i="6"/>
  <c r="C81" i="7" s="1"/>
  <c r="D81" s="1"/>
  <c r="Q13" i="6"/>
  <c r="C82" i="7" s="1"/>
  <c r="D82" s="1"/>
  <c r="Q14" i="6"/>
  <c r="C83" i="7" s="1"/>
  <c r="D83" s="1"/>
  <c r="Q15" i="6"/>
  <c r="C84" i="7" s="1"/>
  <c r="D84" s="1"/>
  <c r="Q16" i="6"/>
  <c r="C85" i="7" s="1"/>
  <c r="D85" s="1"/>
  <c r="Q17" i="6"/>
  <c r="C86" i="7" s="1"/>
  <c r="D86" s="1"/>
  <c r="Q18" i="6"/>
  <c r="C87" i="7" s="1"/>
  <c r="D87" s="1"/>
  <c r="Q19" i="6"/>
  <c r="C88" i="7" s="1"/>
  <c r="D88" s="1"/>
  <c r="Q20" i="6"/>
  <c r="C89" i="7" s="1"/>
  <c r="D89" s="1"/>
  <c r="Q21" i="6"/>
  <c r="C90" i="7" s="1"/>
  <c r="D90" s="1"/>
  <c r="Q2" i="6"/>
  <c r="C71" i="7" s="1"/>
  <c r="B71"/>
  <c r="B106" s="1"/>
  <c r="M4"/>
  <c r="P3" i="6"/>
  <c r="E38" i="7" s="1"/>
  <c r="P4" i="6"/>
  <c r="E39" i="7" s="1"/>
  <c r="P5" i="6"/>
  <c r="E40" i="7" s="1"/>
  <c r="P6" i="6"/>
  <c r="E41" i="7" s="1"/>
  <c r="P7" i="6"/>
  <c r="E42" i="7" s="1"/>
  <c r="P8" i="6"/>
  <c r="E43" i="7" s="1"/>
  <c r="P9" i="6"/>
  <c r="E44" i="7" s="1"/>
  <c r="P10" i="6"/>
  <c r="E45" i="7" s="1"/>
  <c r="P11" i="6"/>
  <c r="E46" i="7" s="1"/>
  <c r="P12" i="6"/>
  <c r="E47" i="7" s="1"/>
  <c r="P13" i="6"/>
  <c r="E48" i="7" s="1"/>
  <c r="P14" i="6"/>
  <c r="E49" i="7" s="1"/>
  <c r="P15" i="6"/>
  <c r="E50" i="7" s="1"/>
  <c r="P16" i="6"/>
  <c r="E51" i="7" s="1"/>
  <c r="P17" i="6"/>
  <c r="E52" i="7" s="1"/>
  <c r="P18" i="6"/>
  <c r="E53" i="7" s="1"/>
  <c r="P19" i="6"/>
  <c r="E54" i="7" s="1"/>
  <c r="P20" i="6"/>
  <c r="E55" i="7" s="1"/>
  <c r="P21" i="6"/>
  <c r="E56" i="7" s="1"/>
  <c r="P2" i="6"/>
  <c r="E37" i="7" s="1"/>
  <c r="D9"/>
  <c r="D38" s="1"/>
  <c r="D10"/>
  <c r="D39" s="1"/>
  <c r="D11"/>
  <c r="D40" s="1"/>
  <c r="D12"/>
  <c r="D41" s="1"/>
  <c r="D13"/>
  <c r="D42" s="1"/>
  <c r="D14"/>
  <c r="D43" s="1"/>
  <c r="D15"/>
  <c r="D44" s="1"/>
  <c r="D16"/>
  <c r="D45" s="1"/>
  <c r="D17"/>
  <c r="D46" s="1"/>
  <c r="D18"/>
  <c r="D47" s="1"/>
  <c r="D19"/>
  <c r="D48" s="1"/>
  <c r="D20"/>
  <c r="D49" s="1"/>
  <c r="D21"/>
  <c r="D50" s="1"/>
  <c r="D22"/>
  <c r="D51" s="1"/>
  <c r="D23"/>
  <c r="D52" s="1"/>
  <c r="D24"/>
  <c r="D53" s="1"/>
  <c r="D25"/>
  <c r="D54" s="1"/>
  <c r="D26"/>
  <c r="D55" s="1"/>
  <c r="D27"/>
  <c r="D56" s="1"/>
  <c r="D8"/>
  <c r="D37" s="1"/>
  <c r="F9"/>
  <c r="F10"/>
  <c r="F11"/>
  <c r="I36" s="1"/>
  <c r="I59" s="1"/>
  <c r="F12"/>
  <c r="J36" s="1"/>
  <c r="J59" s="1"/>
  <c r="F13"/>
  <c r="F14"/>
  <c r="F15"/>
  <c r="K36" s="1"/>
  <c r="K59" s="1"/>
  <c r="F16"/>
  <c r="F17"/>
  <c r="F18"/>
  <c r="F19"/>
  <c r="F20"/>
  <c r="F21"/>
  <c r="F22"/>
  <c r="F23"/>
  <c r="F24"/>
  <c r="F25"/>
  <c r="F26"/>
  <c r="F27"/>
  <c r="G36" s="1"/>
  <c r="F8"/>
  <c r="C9"/>
  <c r="C38" s="1"/>
  <c r="C10"/>
  <c r="C39" s="1"/>
  <c r="C11"/>
  <c r="C40" s="1"/>
  <c r="C12"/>
  <c r="C41" s="1"/>
  <c r="C13"/>
  <c r="C42" s="1"/>
  <c r="C14"/>
  <c r="C43" s="1"/>
  <c r="C15"/>
  <c r="C44" s="1"/>
  <c r="C16"/>
  <c r="C45" s="1"/>
  <c r="C17"/>
  <c r="C46" s="1"/>
  <c r="C18"/>
  <c r="C47" s="1"/>
  <c r="C19"/>
  <c r="C48" s="1"/>
  <c r="C20"/>
  <c r="C49" s="1"/>
  <c r="C21"/>
  <c r="C50" s="1"/>
  <c r="C22"/>
  <c r="C51" s="1"/>
  <c r="C23"/>
  <c r="C52" s="1"/>
  <c r="C24"/>
  <c r="C53" s="1"/>
  <c r="C25"/>
  <c r="C54" s="1"/>
  <c r="C26"/>
  <c r="C55" s="1"/>
  <c r="C27"/>
  <c r="C56" s="1"/>
  <c r="C8"/>
  <c r="C37" s="1"/>
  <c r="B9"/>
  <c r="B38" s="1"/>
  <c r="B10"/>
  <c r="B39" s="1"/>
  <c r="B11"/>
  <c r="B40" s="1"/>
  <c r="B12"/>
  <c r="B41" s="1"/>
  <c r="B13"/>
  <c r="B42" s="1"/>
  <c r="B14"/>
  <c r="B43" s="1"/>
  <c r="B15"/>
  <c r="B44" s="1"/>
  <c r="B16"/>
  <c r="B45" s="1"/>
  <c r="B17"/>
  <c r="B46" s="1"/>
  <c r="B18"/>
  <c r="B47" s="1"/>
  <c r="B19"/>
  <c r="B48" s="1"/>
  <c r="B20"/>
  <c r="B49" s="1"/>
  <c r="B21"/>
  <c r="B50" s="1"/>
  <c r="B22"/>
  <c r="B51" s="1"/>
  <c r="B23"/>
  <c r="B52" s="1"/>
  <c r="B24"/>
  <c r="B53" s="1"/>
  <c r="B25"/>
  <c r="B54" s="1"/>
  <c r="B26"/>
  <c r="B55" s="1"/>
  <c r="B27"/>
  <c r="B56" s="1"/>
  <c r="B8"/>
  <c r="B37" s="1"/>
  <c r="O2" i="6"/>
  <c r="E8" i="7" s="1"/>
  <c r="H8" s="1"/>
  <c r="O3" i="6"/>
  <c r="E9" i="7" s="1"/>
  <c r="O4" i="6"/>
  <c r="E10" i="7" s="1"/>
  <c r="H10" s="1"/>
  <c r="O5" i="6"/>
  <c r="E11" i="7" s="1"/>
  <c r="O6" i="6"/>
  <c r="E12" i="7" s="1"/>
  <c r="H12" s="1"/>
  <c r="O7" i="6"/>
  <c r="E13" i="7" s="1"/>
  <c r="O8" i="6"/>
  <c r="E14" i="7" s="1"/>
  <c r="H14" s="1"/>
  <c r="O9" i="6"/>
  <c r="E15" i="7" s="1"/>
  <c r="O10" i="6"/>
  <c r="E16" i="7" s="1"/>
  <c r="H16" s="1"/>
  <c r="O11" i="6"/>
  <c r="E17" i="7" s="1"/>
  <c r="O12" i="6"/>
  <c r="E18" i="7" s="1"/>
  <c r="H18" s="1"/>
  <c r="O13" i="6"/>
  <c r="E19" i="7" s="1"/>
  <c r="O14" i="6"/>
  <c r="E20" i="7" s="1"/>
  <c r="H20" s="1"/>
  <c r="O15" i="6"/>
  <c r="E21" i="7" s="1"/>
  <c r="O16" i="6"/>
  <c r="E22" i="7" s="1"/>
  <c r="H22" s="1"/>
  <c r="O17" i="6"/>
  <c r="E23" i="7" s="1"/>
  <c r="O18" i="6"/>
  <c r="E24" i="7" s="1"/>
  <c r="H24" s="1"/>
  <c r="O19" i="6"/>
  <c r="E25" i="7" s="1"/>
  <c r="O20" i="6"/>
  <c r="E26" i="7" s="1"/>
  <c r="H26" s="1"/>
  <c r="O21" i="6"/>
  <c r="E27" i="7" s="1"/>
  <c r="D166" l="1"/>
  <c r="C166"/>
  <c r="D129"/>
  <c r="C91"/>
  <c r="D96" s="1"/>
  <c r="D97" s="1"/>
  <c r="D98" s="1"/>
  <c r="D99" s="1"/>
  <c r="D100" s="1"/>
  <c r="D101" s="1"/>
  <c r="D102" s="1"/>
  <c r="C125"/>
  <c r="F90"/>
  <c r="C123"/>
  <c r="F88"/>
  <c r="C121"/>
  <c r="F86"/>
  <c r="C119"/>
  <c r="F84"/>
  <c r="C118"/>
  <c r="F83"/>
  <c r="C116"/>
  <c r="F81"/>
  <c r="C113"/>
  <c r="F78"/>
  <c r="C108"/>
  <c r="F73"/>
  <c r="C124"/>
  <c r="F89"/>
  <c r="C122"/>
  <c r="F87"/>
  <c r="C120"/>
  <c r="F85"/>
  <c r="C117"/>
  <c r="F82"/>
  <c r="C115"/>
  <c r="F80"/>
  <c r="C114"/>
  <c r="F79"/>
  <c r="C112"/>
  <c r="F77"/>
  <c r="C111"/>
  <c r="F76"/>
  <c r="C110"/>
  <c r="F75"/>
  <c r="C109"/>
  <c r="F74"/>
  <c r="C107"/>
  <c r="F72"/>
  <c r="D71"/>
  <c r="E91"/>
  <c r="H56"/>
  <c r="H54"/>
  <c r="H52"/>
  <c r="H50"/>
  <c r="H48"/>
  <c r="H46"/>
  <c r="H44"/>
  <c r="H42"/>
  <c r="H40"/>
  <c r="H38"/>
  <c r="H27"/>
  <c r="H25"/>
  <c r="H23"/>
  <c r="H21"/>
  <c r="H19"/>
  <c r="H17"/>
  <c r="H15"/>
  <c r="H13"/>
  <c r="L11"/>
  <c r="H9"/>
  <c r="I37"/>
  <c r="I55"/>
  <c r="I53"/>
  <c r="I51"/>
  <c r="I49"/>
  <c r="I47"/>
  <c r="I45"/>
  <c r="I43"/>
  <c r="I41"/>
  <c r="I39"/>
  <c r="L36"/>
  <c r="L59" s="1"/>
  <c r="G59"/>
  <c r="H36"/>
  <c r="H59" s="1"/>
  <c r="G56"/>
  <c r="G54"/>
  <c r="G52"/>
  <c r="G50"/>
  <c r="G48"/>
  <c r="G46"/>
  <c r="G44"/>
  <c r="G42"/>
  <c r="G40"/>
  <c r="G38"/>
  <c r="K56"/>
  <c r="I56"/>
  <c r="L55"/>
  <c r="J55"/>
  <c r="H55"/>
  <c r="K54"/>
  <c r="I54"/>
  <c r="L53"/>
  <c r="J53"/>
  <c r="H53"/>
  <c r="K52"/>
  <c r="I52"/>
  <c r="L51"/>
  <c r="J51"/>
  <c r="H51"/>
  <c r="K50"/>
  <c r="I50"/>
  <c r="L49"/>
  <c r="J49"/>
  <c r="H49"/>
  <c r="K48"/>
  <c r="I48"/>
  <c r="L47"/>
  <c r="J47"/>
  <c r="H47"/>
  <c r="K46"/>
  <c r="I46"/>
  <c r="L45"/>
  <c r="J45"/>
  <c r="H45"/>
  <c r="K44"/>
  <c r="I44"/>
  <c r="L43"/>
  <c r="J43"/>
  <c r="H43"/>
  <c r="K42"/>
  <c r="I42"/>
  <c r="L41"/>
  <c r="J41"/>
  <c r="H41"/>
  <c r="K40"/>
  <c r="I40"/>
  <c r="L39"/>
  <c r="J39"/>
  <c r="H39"/>
  <c r="K38"/>
  <c r="I38"/>
  <c r="L37"/>
  <c r="J37"/>
  <c r="H37"/>
  <c r="G37"/>
  <c r="G55"/>
  <c r="G53"/>
  <c r="G51"/>
  <c r="G49"/>
  <c r="G47"/>
  <c r="G45"/>
  <c r="G43"/>
  <c r="G41"/>
  <c r="G39"/>
  <c r="L56"/>
  <c r="J56"/>
  <c r="K55"/>
  <c r="L54"/>
  <c r="J54"/>
  <c r="K53"/>
  <c r="L52"/>
  <c r="J52"/>
  <c r="K51"/>
  <c r="L50"/>
  <c r="J50"/>
  <c r="K49"/>
  <c r="L48"/>
  <c r="J48"/>
  <c r="K47"/>
  <c r="L46"/>
  <c r="J46"/>
  <c r="K45"/>
  <c r="L44"/>
  <c r="J44"/>
  <c r="K43"/>
  <c r="L42"/>
  <c r="J42"/>
  <c r="K41"/>
  <c r="L40"/>
  <c r="J40"/>
  <c r="K39"/>
  <c r="L38"/>
  <c r="J38"/>
  <c r="K37"/>
  <c r="I11"/>
  <c r="G11"/>
  <c r="K11"/>
  <c r="K27"/>
  <c r="I27"/>
  <c r="G27"/>
  <c r="K26"/>
  <c r="I26"/>
  <c r="G26"/>
  <c r="K25"/>
  <c r="I25"/>
  <c r="G25"/>
  <c r="K24"/>
  <c r="I24"/>
  <c r="G24"/>
  <c r="K23"/>
  <c r="I23"/>
  <c r="G23"/>
  <c r="K22"/>
  <c r="I22"/>
  <c r="G22"/>
  <c r="K21"/>
  <c r="I21"/>
  <c r="G21"/>
  <c r="K20"/>
  <c r="I20"/>
  <c r="G20"/>
  <c r="K19"/>
  <c r="I19"/>
  <c r="G19"/>
  <c r="K18"/>
  <c r="I18"/>
  <c r="G18"/>
  <c r="K17"/>
  <c r="I17"/>
  <c r="G17"/>
  <c r="K16"/>
  <c r="I16"/>
  <c r="G16"/>
  <c r="K15"/>
  <c r="I15"/>
  <c r="G15"/>
  <c r="K14"/>
  <c r="I14"/>
  <c r="G14"/>
  <c r="K13"/>
  <c r="I13"/>
  <c r="G13"/>
  <c r="K12"/>
  <c r="I12"/>
  <c r="G12"/>
  <c r="K10"/>
  <c r="I10"/>
  <c r="G10"/>
  <c r="K9"/>
  <c r="I9"/>
  <c r="G9"/>
  <c r="K8"/>
  <c r="I8"/>
  <c r="G8"/>
  <c r="J11"/>
  <c r="H11"/>
  <c r="L27"/>
  <c r="J27"/>
  <c r="L26"/>
  <c r="J26"/>
  <c r="L25"/>
  <c r="J25"/>
  <c r="L24"/>
  <c r="J24"/>
  <c r="L23"/>
  <c r="J23"/>
  <c r="L22"/>
  <c r="J22"/>
  <c r="L21"/>
  <c r="J21"/>
  <c r="L20"/>
  <c r="J20"/>
  <c r="L19"/>
  <c r="J19"/>
  <c r="L18"/>
  <c r="J18"/>
  <c r="L17"/>
  <c r="J17"/>
  <c r="L16"/>
  <c r="J16"/>
  <c r="L15"/>
  <c r="J15"/>
  <c r="L14"/>
  <c r="J14"/>
  <c r="L13"/>
  <c r="J13"/>
  <c r="L12"/>
  <c r="J12"/>
  <c r="L10"/>
  <c r="J10"/>
  <c r="L9"/>
  <c r="J9"/>
  <c r="L8"/>
  <c r="J8"/>
  <c r="M39" l="1"/>
  <c r="M43"/>
  <c r="M47"/>
  <c r="M51"/>
  <c r="M55"/>
  <c r="M15"/>
  <c r="M17"/>
  <c r="M21"/>
  <c r="M25"/>
  <c r="M27"/>
  <c r="M11"/>
  <c r="M38"/>
  <c r="M42"/>
  <c r="M46"/>
  <c r="M50"/>
  <c r="M54"/>
  <c r="M8"/>
  <c r="M10"/>
  <c r="M13"/>
  <c r="M19"/>
  <c r="M23"/>
  <c r="M9"/>
  <c r="M12"/>
  <c r="M14"/>
  <c r="M16"/>
  <c r="M18"/>
  <c r="M20"/>
  <c r="M22"/>
  <c r="M24"/>
  <c r="M26"/>
  <c r="M41"/>
  <c r="M45"/>
  <c r="M49"/>
  <c r="M53"/>
  <c r="M37"/>
  <c r="M40"/>
  <c r="M44"/>
  <c r="M48"/>
  <c r="M52"/>
  <c r="M56"/>
  <c r="D91"/>
  <c r="G72"/>
  <c r="G74"/>
  <c r="G75"/>
  <c r="F71"/>
  <c r="C106"/>
  <c r="G76"/>
  <c r="G77"/>
  <c r="G79"/>
  <c r="G80"/>
  <c r="G82"/>
  <c r="G85"/>
  <c r="G87"/>
  <c r="G89"/>
  <c r="G73"/>
  <c r="G78"/>
  <c r="G81"/>
  <c r="G83"/>
  <c r="G84"/>
  <c r="G86"/>
  <c r="G88"/>
  <c r="G90"/>
  <c r="I58"/>
  <c r="K58"/>
  <c r="H58"/>
  <c r="L58"/>
  <c r="G58"/>
  <c r="J58"/>
  <c r="K29"/>
  <c r="J29"/>
  <c r="I29"/>
  <c r="G29"/>
  <c r="H29"/>
  <c r="L29"/>
  <c r="G71" l="1"/>
  <c r="M58"/>
  <c r="H30"/>
  <c r="H67" s="1"/>
  <c r="H65"/>
  <c r="I32"/>
  <c r="I33" s="1"/>
  <c r="I30"/>
  <c r="I67" s="1"/>
  <c r="I65"/>
  <c r="L32"/>
  <c r="L33" s="1"/>
  <c r="L30"/>
  <c r="L67" s="1"/>
  <c r="L65"/>
  <c r="G32"/>
  <c r="G33" s="1"/>
  <c r="G30"/>
  <c r="G67" s="1"/>
  <c r="G65"/>
  <c r="M29"/>
  <c r="J32"/>
  <c r="J33" s="1"/>
  <c r="J30"/>
  <c r="J67" s="1"/>
  <c r="J65"/>
  <c r="K32"/>
  <c r="K33" s="1"/>
  <c r="K30"/>
  <c r="K67" s="1"/>
  <c r="K65"/>
  <c r="H32"/>
  <c r="H33" s="1"/>
  <c r="H61" l="1"/>
  <c r="H62" s="1"/>
  <c r="J61"/>
  <c r="J62" s="1"/>
  <c r="G61"/>
  <c r="G62" s="1"/>
  <c r="I61"/>
  <c r="I62" s="1"/>
  <c r="K61"/>
  <c r="K62" s="1"/>
  <c r="L61"/>
  <c r="L62" s="1"/>
  <c r="K66"/>
  <c r="L66"/>
  <c r="J66"/>
  <c r="G66"/>
  <c r="I66"/>
  <c r="H66"/>
  <c r="M59"/>
  <c r="M32"/>
  <c r="M33" s="1"/>
  <c r="M30"/>
  <c r="M65"/>
  <c r="M61" l="1"/>
  <c r="L104"/>
  <c r="K104"/>
  <c r="I104"/>
  <c r="G104"/>
  <c r="J104"/>
  <c r="H104"/>
  <c r="M67"/>
  <c r="D130" s="1"/>
  <c r="D131" s="1"/>
  <c r="H132" s="1"/>
  <c r="M104" l="1"/>
  <c r="M62"/>
  <c r="E93" s="1"/>
  <c r="F95" s="1"/>
  <c r="E96" s="1"/>
  <c r="K132"/>
  <c r="J132"/>
  <c r="I132"/>
  <c r="L132"/>
  <c r="G132"/>
  <c r="F96" l="1"/>
  <c r="E97" s="1"/>
  <c r="H76" s="1"/>
  <c r="I76" s="1"/>
  <c r="D111" s="1"/>
  <c r="L111" l="1"/>
  <c r="I111"/>
  <c r="K111"/>
  <c r="H111"/>
  <c r="J111"/>
  <c r="G111"/>
  <c r="F97"/>
  <c r="M111"/>
  <c r="E98" l="1"/>
  <c r="H77" l="1"/>
  <c r="I77" s="1"/>
  <c r="D112" s="1"/>
  <c r="F98"/>
  <c r="K112" l="1"/>
  <c r="J112"/>
  <c r="H112"/>
  <c r="L112"/>
  <c r="I112"/>
  <c r="G112"/>
  <c r="E99"/>
  <c r="M112" l="1"/>
  <c r="H73"/>
  <c r="I73" s="1"/>
  <c r="D108" s="1"/>
  <c r="J108" s="1"/>
  <c r="H79"/>
  <c r="I79" s="1"/>
  <c r="D114" s="1"/>
  <c r="F99"/>
  <c r="E100" s="1"/>
  <c r="F100" s="1"/>
  <c r="I108" l="1"/>
  <c r="H108"/>
  <c r="L108"/>
  <c r="G108"/>
  <c r="K108"/>
  <c r="H114"/>
  <c r="I114"/>
  <c r="L114"/>
  <c r="J114"/>
  <c r="K114"/>
  <c r="G114"/>
  <c r="E101"/>
  <c r="F101" s="1"/>
  <c r="H84"/>
  <c r="I84" s="1"/>
  <c r="D119" s="1"/>
  <c r="E119" s="1"/>
  <c r="H87"/>
  <c r="I87" s="1"/>
  <c r="D122" s="1"/>
  <c r="E122" s="1"/>
  <c r="H82"/>
  <c r="I82" s="1"/>
  <c r="D117" s="1"/>
  <c r="E117" s="1"/>
  <c r="H90"/>
  <c r="I90" s="1"/>
  <c r="D125" s="1"/>
  <c r="E125" s="1"/>
  <c r="H83"/>
  <c r="I83" s="1"/>
  <c r="D118" s="1"/>
  <c r="E118" s="1"/>
  <c r="H75"/>
  <c r="I75" s="1"/>
  <c r="D110" s="1"/>
  <c r="E110" s="1"/>
  <c r="H72"/>
  <c r="I72" s="1"/>
  <c r="D107" s="1"/>
  <c r="E107" s="1"/>
  <c r="H88"/>
  <c r="I88" s="1"/>
  <c r="D123" s="1"/>
  <c r="E123" s="1"/>
  <c r="H81"/>
  <c r="I81" s="1"/>
  <c r="D116" s="1"/>
  <c r="E116" s="1"/>
  <c r="H89"/>
  <c r="I89" s="1"/>
  <c r="D124" s="1"/>
  <c r="E124" s="1"/>
  <c r="H85"/>
  <c r="I85" s="1"/>
  <c r="D120" s="1"/>
  <c r="E120" s="1"/>
  <c r="H80"/>
  <c r="I80" s="1"/>
  <c r="D115" s="1"/>
  <c r="E115" s="1"/>
  <c r="H86"/>
  <c r="I86" s="1"/>
  <c r="D121" s="1"/>
  <c r="E121" s="1"/>
  <c r="H78"/>
  <c r="I78" s="1"/>
  <c r="D113" s="1"/>
  <c r="E113" s="1"/>
  <c r="H74"/>
  <c r="H71"/>
  <c r="I71" s="1"/>
  <c r="M108" l="1"/>
  <c r="M114"/>
  <c r="I74"/>
  <c r="D106"/>
  <c r="K115"/>
  <c r="J115"/>
  <c r="L115"/>
  <c r="H115"/>
  <c r="G115"/>
  <c r="I115"/>
  <c r="J121"/>
  <c r="L121"/>
  <c r="H121"/>
  <c r="K121"/>
  <c r="G121"/>
  <c r="I121"/>
  <c r="K120"/>
  <c r="J120"/>
  <c r="L120"/>
  <c r="H120"/>
  <c r="I120"/>
  <c r="G120"/>
  <c r="J116"/>
  <c r="H116"/>
  <c r="K116"/>
  <c r="I116"/>
  <c r="G116"/>
  <c r="L116"/>
  <c r="K107"/>
  <c r="G107"/>
  <c r="I107"/>
  <c r="J107"/>
  <c r="L107"/>
  <c r="H107"/>
  <c r="G118"/>
  <c r="J118"/>
  <c r="L118"/>
  <c r="H118"/>
  <c r="K118"/>
  <c r="I118"/>
  <c r="K117"/>
  <c r="G117"/>
  <c r="J117"/>
  <c r="L117"/>
  <c r="H117"/>
  <c r="I117"/>
  <c r="J119"/>
  <c r="H119"/>
  <c r="K119"/>
  <c r="G119"/>
  <c r="I119"/>
  <c r="L119"/>
  <c r="J113"/>
  <c r="L113"/>
  <c r="K113"/>
  <c r="G113"/>
  <c r="I113"/>
  <c r="H113"/>
  <c r="J124"/>
  <c r="L124"/>
  <c r="K124"/>
  <c r="I124"/>
  <c r="G124"/>
  <c r="H124"/>
  <c r="G123"/>
  <c r="I123"/>
  <c r="J123"/>
  <c r="L123"/>
  <c r="H123"/>
  <c r="K123"/>
  <c r="K110"/>
  <c r="I110"/>
  <c r="G110"/>
  <c r="J110"/>
  <c r="L110"/>
  <c r="H110"/>
  <c r="I125"/>
  <c r="J125"/>
  <c r="L125"/>
  <c r="H125"/>
  <c r="K125"/>
  <c r="G125"/>
  <c r="G122"/>
  <c r="L122"/>
  <c r="K122"/>
  <c r="I122"/>
  <c r="J122"/>
  <c r="H122"/>
  <c r="E102"/>
  <c r="F102" s="1"/>
  <c r="E106" l="1"/>
  <c r="D109"/>
  <c r="E109" s="1"/>
  <c r="I91"/>
  <c r="I92" s="1"/>
  <c r="M125"/>
  <c r="M120"/>
  <c r="D126"/>
  <c r="L106"/>
  <c r="G106"/>
  <c r="K106"/>
  <c r="I106"/>
  <c r="J106"/>
  <c r="H106"/>
  <c r="M113"/>
  <c r="M119"/>
  <c r="M117"/>
  <c r="M107"/>
  <c r="M122"/>
  <c r="M110"/>
  <c r="M123"/>
  <c r="M124"/>
  <c r="M118"/>
  <c r="M116"/>
  <c r="M121"/>
  <c r="M115"/>
  <c r="I109" l="1"/>
  <c r="L109"/>
  <c r="G109"/>
  <c r="K109"/>
  <c r="J109"/>
  <c r="H109"/>
  <c r="I126"/>
  <c r="I134" s="1"/>
  <c r="M106"/>
  <c r="H126" l="1"/>
  <c r="H134" s="1"/>
  <c r="K126"/>
  <c r="K134" s="1"/>
  <c r="L126"/>
  <c r="L134" s="1"/>
  <c r="J126"/>
  <c r="J134" s="1"/>
  <c r="G126"/>
  <c r="G134" s="1"/>
  <c r="I138"/>
  <c r="I127"/>
  <c r="M109"/>
  <c r="H138" l="1"/>
  <c r="I133"/>
  <c r="G127"/>
  <c r="L138"/>
  <c r="L141" s="1"/>
  <c r="L142" s="1"/>
  <c r="H127"/>
  <c r="J127"/>
  <c r="K127"/>
  <c r="L127"/>
  <c r="G138"/>
  <c r="G141" s="1"/>
  <c r="G142" s="1"/>
  <c r="K138"/>
  <c r="K141" s="1"/>
  <c r="K142" s="1"/>
  <c r="J138"/>
  <c r="H141"/>
  <c r="H142" s="1"/>
  <c r="I141"/>
  <c r="I142" s="1"/>
  <c r="I139"/>
  <c r="M126"/>
  <c r="I171" l="1"/>
  <c r="I135"/>
  <c r="I128" s="1"/>
  <c r="L133"/>
  <c r="L139" s="1"/>
  <c r="K133"/>
  <c r="H133"/>
  <c r="H135" s="1"/>
  <c r="H128" s="1"/>
  <c r="G133"/>
  <c r="G135" s="1"/>
  <c r="M138"/>
  <c r="M141" s="1"/>
  <c r="M142" s="1"/>
  <c r="M134"/>
  <c r="J133"/>
  <c r="J141"/>
  <c r="J142" s="1"/>
  <c r="M127"/>
  <c r="G128" l="1"/>
  <c r="K171"/>
  <c r="K135"/>
  <c r="K128" s="1"/>
  <c r="J171"/>
  <c r="J135"/>
  <c r="J128" s="1"/>
  <c r="L171"/>
  <c r="L135"/>
  <c r="L128" s="1"/>
  <c r="J139"/>
  <c r="G171"/>
  <c r="G139"/>
  <c r="H171"/>
  <c r="H139"/>
  <c r="K139"/>
  <c r="D167"/>
  <c r="D168" s="1"/>
  <c r="E111" l="1"/>
  <c r="E112"/>
  <c r="E114"/>
  <c r="E108"/>
  <c r="M135"/>
  <c r="M128" s="1"/>
  <c r="M139"/>
  <c r="E164"/>
  <c r="E162"/>
  <c r="E160"/>
  <c r="E156"/>
  <c r="E152"/>
  <c r="E148"/>
  <c r="E155"/>
  <c r="E147"/>
  <c r="E153"/>
  <c r="E165"/>
  <c r="E163"/>
  <c r="E161"/>
  <c r="E158"/>
  <c r="E154"/>
  <c r="E150"/>
  <c r="E159"/>
  <c r="E151"/>
  <c r="E146"/>
  <c r="E157"/>
  <c r="E149"/>
  <c r="E126" l="1"/>
  <c r="E127" s="1"/>
  <c r="E166"/>
  <c r="H157" s="1"/>
  <c r="H193" s="1"/>
  <c r="G156" l="1"/>
  <c r="J147"/>
  <c r="J183" s="1"/>
  <c r="J148"/>
  <c r="J184" s="1"/>
  <c r="K161"/>
  <c r="K197" s="1"/>
  <c r="J162"/>
  <c r="J198" s="1"/>
  <c r="K156"/>
  <c r="K192" s="1"/>
  <c r="K147"/>
  <c r="K183" s="1"/>
  <c r="G165"/>
  <c r="J154"/>
  <c r="J190" s="1"/>
  <c r="J161"/>
  <c r="J197" s="1"/>
  <c r="G159"/>
  <c r="G162"/>
  <c r="K162"/>
  <c r="K198" s="1"/>
  <c r="J156"/>
  <c r="J192" s="1"/>
  <c r="G148"/>
  <c r="K148"/>
  <c r="K184" s="1"/>
  <c r="G147"/>
  <c r="K165"/>
  <c r="K201" s="1"/>
  <c r="J165"/>
  <c r="J201" s="1"/>
  <c r="G161"/>
  <c r="G154"/>
  <c r="K154"/>
  <c r="K190" s="1"/>
  <c r="G146"/>
  <c r="L162"/>
  <c r="L198" s="1"/>
  <c r="H162"/>
  <c r="H198" s="1"/>
  <c r="I162"/>
  <c r="I198" s="1"/>
  <c r="L156"/>
  <c r="L192" s="1"/>
  <c r="H156"/>
  <c r="H192" s="1"/>
  <c r="I156"/>
  <c r="I192" s="1"/>
  <c r="L148"/>
  <c r="L184" s="1"/>
  <c r="H148"/>
  <c r="H184" s="1"/>
  <c r="I148"/>
  <c r="I184" s="1"/>
  <c r="I147"/>
  <c r="I183" s="1"/>
  <c r="L147"/>
  <c r="L183" s="1"/>
  <c r="H147"/>
  <c r="H183" s="1"/>
  <c r="I165"/>
  <c r="I201" s="1"/>
  <c r="L165"/>
  <c r="L201" s="1"/>
  <c r="H165"/>
  <c r="H201" s="1"/>
  <c r="I161"/>
  <c r="I197" s="1"/>
  <c r="L161"/>
  <c r="L197" s="1"/>
  <c r="H161"/>
  <c r="H197" s="1"/>
  <c r="L154"/>
  <c r="L190" s="1"/>
  <c r="H154"/>
  <c r="H190" s="1"/>
  <c r="K159"/>
  <c r="K195" s="1"/>
  <c r="J159"/>
  <c r="J195" s="1"/>
  <c r="J146"/>
  <c r="J182" s="1"/>
  <c r="K149"/>
  <c r="K185" s="1"/>
  <c r="J149"/>
  <c r="J185" s="1"/>
  <c r="J164"/>
  <c r="J200" s="1"/>
  <c r="G160"/>
  <c r="K160"/>
  <c r="K196" s="1"/>
  <c r="J152"/>
  <c r="J188" s="1"/>
  <c r="K155"/>
  <c r="K191" s="1"/>
  <c r="J155"/>
  <c r="J191" s="1"/>
  <c r="G153"/>
  <c r="K163"/>
  <c r="K199" s="1"/>
  <c r="J163"/>
  <c r="J199" s="1"/>
  <c r="J158"/>
  <c r="J194" s="1"/>
  <c r="G150"/>
  <c r="K150"/>
  <c r="K186" s="1"/>
  <c r="G151"/>
  <c r="K157"/>
  <c r="K193" s="1"/>
  <c r="J157"/>
  <c r="J193" s="1"/>
  <c r="I154"/>
  <c r="I190" s="1"/>
  <c r="I159"/>
  <c r="I195" s="1"/>
  <c r="L159"/>
  <c r="L195" s="1"/>
  <c r="H159"/>
  <c r="H195" s="1"/>
  <c r="L146"/>
  <c r="L182" s="1"/>
  <c r="H146"/>
  <c r="H182" s="1"/>
  <c r="K146"/>
  <c r="K182" s="1"/>
  <c r="G149"/>
  <c r="G164"/>
  <c r="K164"/>
  <c r="K200" s="1"/>
  <c r="J160"/>
  <c r="J196" s="1"/>
  <c r="G152"/>
  <c r="K152"/>
  <c r="K188" s="1"/>
  <c r="G155"/>
  <c r="K153"/>
  <c r="K189" s="1"/>
  <c r="J153"/>
  <c r="J189" s="1"/>
  <c r="G163"/>
  <c r="G158"/>
  <c r="K158"/>
  <c r="K194" s="1"/>
  <c r="J150"/>
  <c r="J186" s="1"/>
  <c r="K151"/>
  <c r="K187" s="1"/>
  <c r="J151"/>
  <c r="J187" s="1"/>
  <c r="G157"/>
  <c r="I146"/>
  <c r="I182" s="1"/>
  <c r="I149"/>
  <c r="I185" s="1"/>
  <c r="L149"/>
  <c r="L185" s="1"/>
  <c r="H149"/>
  <c r="H185" s="1"/>
  <c r="L164"/>
  <c r="L200" s="1"/>
  <c r="H164"/>
  <c r="H200" s="1"/>
  <c r="I164"/>
  <c r="I200" s="1"/>
  <c r="L160"/>
  <c r="L196" s="1"/>
  <c r="H160"/>
  <c r="H196" s="1"/>
  <c r="I160"/>
  <c r="I196" s="1"/>
  <c r="L152"/>
  <c r="L188" s="1"/>
  <c r="H152"/>
  <c r="H188" s="1"/>
  <c r="I152"/>
  <c r="I188" s="1"/>
  <c r="I155"/>
  <c r="I191" s="1"/>
  <c r="L155"/>
  <c r="L191" s="1"/>
  <c r="H155"/>
  <c r="H191" s="1"/>
  <c r="I153"/>
  <c r="I189" s="1"/>
  <c r="L153"/>
  <c r="L189" s="1"/>
  <c r="H153"/>
  <c r="H189" s="1"/>
  <c r="I163"/>
  <c r="I199" s="1"/>
  <c r="L163"/>
  <c r="L199" s="1"/>
  <c r="H163"/>
  <c r="H199" s="1"/>
  <c r="L158"/>
  <c r="L194" s="1"/>
  <c r="H158"/>
  <c r="H194" s="1"/>
  <c r="I158"/>
  <c r="I194" s="1"/>
  <c r="L150"/>
  <c r="L186" s="1"/>
  <c r="H150"/>
  <c r="H186" s="1"/>
  <c r="I150"/>
  <c r="I186" s="1"/>
  <c r="I151"/>
  <c r="I187" s="1"/>
  <c r="L151"/>
  <c r="L187" s="1"/>
  <c r="H151"/>
  <c r="H187" s="1"/>
  <c r="I157"/>
  <c r="I193" s="1"/>
  <c r="L157"/>
  <c r="L193" s="1"/>
  <c r="G193" l="1"/>
  <c r="M193" s="1"/>
  <c r="D193" s="1"/>
  <c r="G200"/>
  <c r="M200" s="1"/>
  <c r="D200" s="1"/>
  <c r="G196"/>
  <c r="M196" s="1"/>
  <c r="D196" s="1"/>
  <c r="G197"/>
  <c r="M197" s="1"/>
  <c r="D197" s="1"/>
  <c r="G194"/>
  <c r="M194" s="1"/>
  <c r="D194" s="1"/>
  <c r="G191"/>
  <c r="M191" s="1"/>
  <c r="D191" s="1"/>
  <c r="G188"/>
  <c r="M188" s="1"/>
  <c r="D188" s="1"/>
  <c r="G185"/>
  <c r="M185" s="1"/>
  <c r="D185" s="1"/>
  <c r="G187"/>
  <c r="M187" s="1"/>
  <c r="D187" s="1"/>
  <c r="G186"/>
  <c r="M186" s="1"/>
  <c r="D186" s="1"/>
  <c r="G189"/>
  <c r="M189" s="1"/>
  <c r="D189" s="1"/>
  <c r="G182"/>
  <c r="G190"/>
  <c r="M190" s="1"/>
  <c r="D190" s="1"/>
  <c r="G183"/>
  <c r="M183" s="1"/>
  <c r="D183" s="1"/>
  <c r="G184"/>
  <c r="M184" s="1"/>
  <c r="D184" s="1"/>
  <c r="G195"/>
  <c r="M195" s="1"/>
  <c r="D195" s="1"/>
  <c r="G192"/>
  <c r="M192" s="1"/>
  <c r="D192" s="1"/>
  <c r="K202"/>
  <c r="J202"/>
  <c r="I202"/>
  <c r="H202"/>
  <c r="G199"/>
  <c r="M199" s="1"/>
  <c r="D199" s="1"/>
  <c r="G198"/>
  <c r="M198" s="1"/>
  <c r="D198" s="1"/>
  <c r="G201"/>
  <c r="M201" s="1"/>
  <c r="D201" s="1"/>
  <c r="L202"/>
  <c r="M161"/>
  <c r="M156"/>
  <c r="C192" s="1"/>
  <c r="M147"/>
  <c r="C183" s="1"/>
  <c r="M150"/>
  <c r="C186" s="1"/>
  <c r="M160"/>
  <c r="C196" s="1"/>
  <c r="M164"/>
  <c r="M146"/>
  <c r="I170"/>
  <c r="K170"/>
  <c r="L170"/>
  <c r="J170"/>
  <c r="G170"/>
  <c r="H170"/>
  <c r="M154"/>
  <c r="C190" s="1"/>
  <c r="M165"/>
  <c r="C201" s="1"/>
  <c r="M148"/>
  <c r="C184" s="1"/>
  <c r="M162"/>
  <c r="C198" s="1"/>
  <c r="M159"/>
  <c r="C195" s="1"/>
  <c r="M155"/>
  <c r="C191" s="1"/>
  <c r="M157"/>
  <c r="C193" s="1"/>
  <c r="M151"/>
  <c r="C187" s="1"/>
  <c r="M158"/>
  <c r="C194" s="1"/>
  <c r="M163"/>
  <c r="C199" s="1"/>
  <c r="M153"/>
  <c r="C189" s="1"/>
  <c r="M152"/>
  <c r="C188" s="1"/>
  <c r="M149"/>
  <c r="C185" s="1"/>
  <c r="M182" l="1"/>
  <c r="D182" s="1"/>
  <c r="D202" s="1"/>
  <c r="G202"/>
  <c r="M202" s="1"/>
  <c r="H173"/>
  <c r="H174" s="1"/>
  <c r="H206" s="1"/>
  <c r="J173"/>
  <c r="J176" s="1"/>
  <c r="J177" s="1"/>
  <c r="L173"/>
  <c r="L176" s="1"/>
  <c r="L177" s="1"/>
  <c r="K173"/>
  <c r="K176" s="1"/>
  <c r="K177" s="1"/>
  <c r="G173"/>
  <c r="G176" s="1"/>
  <c r="G177" s="1"/>
  <c r="I173"/>
  <c r="I176" s="1"/>
  <c r="I177" s="1"/>
  <c r="M170"/>
  <c r="H176" l="1"/>
  <c r="H177" s="1"/>
  <c r="J174"/>
  <c r="J206" s="1"/>
  <c r="L174"/>
  <c r="L206" s="1"/>
  <c r="I174"/>
  <c r="I206" s="1"/>
  <c r="K174"/>
  <c r="K206" s="1"/>
  <c r="G174"/>
  <c r="G206" s="1"/>
  <c r="M171"/>
  <c r="M173"/>
  <c r="M176" s="1"/>
  <c r="M177" s="1"/>
  <c r="C182" l="1"/>
  <c r="C200"/>
  <c r="C197"/>
  <c r="M174"/>
  <c r="M206" s="1"/>
  <c r="C202" l="1"/>
  <c r="C206" s="1"/>
</calcChain>
</file>

<file path=xl/comments1.xml><?xml version="1.0" encoding="utf-8"?>
<comments xmlns="http://schemas.openxmlformats.org/spreadsheetml/2006/main">
  <authors>
    <author>duHadway</author>
  </authors>
  <commentList>
    <comment ref="E11" authorId="0">
      <text>
        <r>
          <rPr>
            <b/>
            <sz val="8"/>
            <color indexed="81"/>
            <rFont val="Tahoma"/>
            <family val="2"/>
          </rPr>
          <t>duHadway:</t>
        </r>
        <r>
          <rPr>
            <sz val="8"/>
            <color indexed="81"/>
            <rFont val="Tahoma"/>
            <family val="2"/>
          </rPr>
          <t xml:space="preserve">
Specified to MO</t>
        </r>
      </text>
    </comment>
    <comment ref="E24" authorId="0">
      <text>
        <r>
          <rPr>
            <b/>
            <sz val="8"/>
            <color indexed="81"/>
            <rFont val="Tahoma"/>
            <family val="2"/>
          </rPr>
          <t>duHadway:</t>
        </r>
        <r>
          <rPr>
            <sz val="8"/>
            <color indexed="81"/>
            <rFont val="Tahoma"/>
            <family val="2"/>
          </rPr>
          <t xml:space="preserve">
Specified to MO</t>
        </r>
      </text>
    </comment>
    <comment ref="D33" authorId="0">
      <text>
        <r>
          <rPr>
            <b/>
            <sz val="8"/>
            <color indexed="81"/>
            <rFont val="Tahoma"/>
            <family val="2"/>
          </rPr>
          <t>duHadway:</t>
        </r>
        <r>
          <rPr>
            <sz val="8"/>
            <color indexed="81"/>
            <rFont val="Tahoma"/>
            <family val="2"/>
          </rPr>
          <t xml:space="preserve">
Not automated to kill bids based upon rates if over subscribed</t>
        </r>
      </text>
    </comment>
    <comment ref="D62" authorId="0">
      <text>
        <r>
          <rPr>
            <b/>
            <sz val="8"/>
            <color indexed="81"/>
            <rFont val="Tahoma"/>
            <family val="2"/>
          </rPr>
          <t>duHadway:</t>
        </r>
        <r>
          <rPr>
            <sz val="8"/>
            <color indexed="81"/>
            <rFont val="Tahoma"/>
            <family val="2"/>
          </rPr>
          <t xml:space="preserve">
Not automated to kill bids if oversubscribed</t>
        </r>
      </text>
    </comment>
  </commentList>
</comments>
</file>

<file path=xl/sharedStrings.xml><?xml version="1.0" encoding="utf-8"?>
<sst xmlns="http://schemas.openxmlformats.org/spreadsheetml/2006/main" count="174" uniqueCount="77">
  <si>
    <t>time</t>
  </si>
  <si>
    <t>bidID</t>
  </si>
  <si>
    <t>Competitive</t>
  </si>
  <si>
    <t>WA Rate</t>
  </si>
  <si>
    <t>Total</t>
  </si>
  <si>
    <t>Loan Amount</t>
  </si>
  <si>
    <t>Bid Type</t>
  </si>
  <si>
    <t>if general: Aggregate $</t>
  </si>
  <si>
    <t>if general, max % per asset</t>
  </si>
  <si>
    <t>if specified, loan or MO</t>
  </si>
  <si>
    <t>Loan # if applicable</t>
  </si>
  <si>
    <t>MO if applicable</t>
  </si>
  <si>
    <t>order type</t>
  </si>
  <si>
    <t>if competitive, bid rate</t>
  </si>
  <si>
    <t>order timing</t>
  </si>
  <si>
    <t>General</t>
  </si>
  <si>
    <t>Specified</t>
  </si>
  <si>
    <t>Noncompetitive</t>
  </si>
  <si>
    <t>Day Trade</t>
  </si>
  <si>
    <t>Auto</t>
  </si>
  <si>
    <t>Loan</t>
  </si>
  <si>
    <t>MO</t>
  </si>
  <si>
    <t>ABC Mortgage</t>
  </si>
  <si>
    <t>Prime Lending</t>
  </si>
  <si>
    <t>if specified, bid %</t>
  </si>
  <si>
    <t>If auto, date/time order placed</t>
  </si>
  <si>
    <t>Best Loans Inc</t>
  </si>
  <si>
    <t>Loan Number</t>
  </si>
  <si>
    <t>Integrity Lending</t>
  </si>
  <si>
    <t>Specified &amp; Competitive</t>
  </si>
  <si>
    <t>Allocation process:</t>
  </si>
  <si>
    <t>Bid ID</t>
  </si>
  <si>
    <t>Loan #</t>
  </si>
  <si>
    <t>Specific &amp; Competitive?</t>
  </si>
  <si>
    <t>Rate</t>
  </si>
  <si>
    <t>Remaining need</t>
  </si>
  <si>
    <t>Over(under)subscribed</t>
  </si>
  <si>
    <t>Specific &amp; NonCompetitive?</t>
  </si>
  <si>
    <t>Specified &amp; Noncompetitive</t>
  </si>
  <si>
    <t>Rate &gt;&gt;</t>
  </si>
  <si>
    <t>Cummulative</t>
  </si>
  <si>
    <t>Batch Total</t>
  </si>
  <si>
    <t>Step 4 of process - Market rate is determined:</t>
  </si>
  <si>
    <t>Step 5 of process - General/Competitive bids are assigned to undersubscribed assets:</t>
  </si>
  <si>
    <t>General &amp; Competitive?</t>
  </si>
  <si>
    <t>General &amp; Competitive</t>
  </si>
  <si>
    <t>Aggregate $</t>
  </si>
  <si>
    <t>Funds available</t>
  </si>
  <si>
    <t>total</t>
  </si>
  <si>
    <t>rank</t>
  </si>
  <si>
    <t>If bids&gt;under subscribed amount, accept lowest rate first:</t>
  </si>
  <si>
    <t>Amount required to fund all under subscribed:</t>
  </si>
  <si>
    <t>Allocated &amp; accepted</t>
  </si>
  <si>
    <t>Amount Awarded</t>
  </si>
  <si>
    <t>Market Premium, if applicable</t>
  </si>
  <si>
    <t>Subscription %</t>
  </si>
  <si>
    <t>Market Rate differential</t>
  </si>
  <si>
    <t>Highest daily rate</t>
  </si>
  <si>
    <t>less: Daily market rate</t>
  </si>
  <si>
    <t>Step 6 of process - General/Noncompetitive bids are assigned to undersubscribed assets:</t>
  </si>
  <si>
    <t>General &amp; Noncompetitive?</t>
  </si>
  <si>
    <t>General &amp; Noncompetitive</t>
  </si>
  <si>
    <t>Amount</t>
  </si>
  <si>
    <t>Total available</t>
  </si>
  <si>
    <t>Need</t>
  </si>
  <si>
    <t>allocation %</t>
  </si>
  <si>
    <t>Allocation</t>
  </si>
  <si>
    <t>Total General/Noncompetitive</t>
  </si>
  <si>
    <t>Total Specified/Noncompetitive</t>
  </si>
  <si>
    <t>Step 3 of process - Assets are assigned Specified/Non Competitive bids:</t>
  </si>
  <si>
    <t>Step 2 of process - Assets are assigned Specified/Competitive bids:</t>
  </si>
  <si>
    <t>Total Specified/Competitive</t>
  </si>
  <si>
    <t>Summary of bid allocations:</t>
  </si>
  <si>
    <t>Rate Awarded</t>
  </si>
  <si>
    <t>Rate to SSI</t>
  </si>
  <si>
    <t>LS Spread</t>
  </si>
  <si>
    <t>Rate to MO</t>
  </si>
</sst>
</file>

<file path=xl/styles.xml><?xml version="1.0" encoding="utf-8"?>
<styleSheet xmlns="http://schemas.openxmlformats.org/spreadsheetml/2006/main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h:mm:ss\ AM/PM;@"/>
    <numFmt numFmtId="168" formatCode="0.000%"/>
    <numFmt numFmtId="169" formatCode="0.0%"/>
    <numFmt numFmtId="173" formatCode="[$-409]m/d/yy\ h:mm\ AM/PM;@"/>
    <numFmt numFmtId="175" formatCode="_(* #,##0_);_(* \(#,##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double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164" fontId="0" fillId="0" borderId="0" xfId="0" applyNumberFormat="1"/>
    <xf numFmtId="44" fontId="0" fillId="0" borderId="0" xfId="0" applyNumberFormat="1"/>
    <xf numFmtId="44" fontId="0" fillId="0" borderId="0" xfId="2" applyFont="1"/>
    <xf numFmtId="168" fontId="0" fillId="0" borderId="0" xfId="3" applyNumberFormat="1" applyFont="1"/>
    <xf numFmtId="168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9" fontId="0" fillId="0" borderId="0" xfId="3" applyNumberFormat="1" applyFont="1"/>
    <xf numFmtId="0" fontId="5" fillId="0" borderId="0" xfId="0" applyFont="1"/>
    <xf numFmtId="0" fontId="6" fillId="0" borderId="0" xfId="0" applyFont="1"/>
    <xf numFmtId="44" fontId="6" fillId="0" borderId="0" xfId="0" applyNumberFormat="1" applyFont="1"/>
    <xf numFmtId="44" fontId="6" fillId="0" borderId="0" xfId="2" applyFont="1"/>
    <xf numFmtId="9" fontId="6" fillId="0" borderId="0" xfId="3" applyFont="1"/>
    <xf numFmtId="168" fontId="6" fillId="0" borderId="0" xfId="3" applyNumberFormat="1" applyFont="1"/>
    <xf numFmtId="173" fontId="6" fillId="0" borderId="0" xfId="0" applyNumberFormat="1" applyFont="1"/>
    <xf numFmtId="0" fontId="7" fillId="0" borderId="0" xfId="0" applyFont="1" applyBorder="1" applyAlignment="1">
      <alignment horizontal="center"/>
    </xf>
    <xf numFmtId="44" fontId="5" fillId="0" borderId="0" xfId="0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44" fontId="0" fillId="0" borderId="3" xfId="0" applyNumberFormat="1" applyBorder="1"/>
    <xf numFmtId="44" fontId="0" fillId="0" borderId="4" xfId="0" applyNumberFormat="1" applyBorder="1"/>
    <xf numFmtId="0" fontId="0" fillId="0" borderId="5" xfId="0" applyBorder="1"/>
    <xf numFmtId="0" fontId="0" fillId="0" borderId="1" xfId="0" applyBorder="1"/>
    <xf numFmtId="168" fontId="0" fillId="0" borderId="1" xfId="3" applyNumberFormat="1" applyFont="1" applyBorder="1"/>
    <xf numFmtId="168" fontId="0" fillId="0" borderId="6" xfId="3" applyNumberFormat="1" applyFont="1" applyBorder="1"/>
    <xf numFmtId="0" fontId="7" fillId="0" borderId="0" xfId="0" applyFont="1" applyBorder="1" applyAlignment="1">
      <alignment horizontal="center" wrapText="1"/>
    </xf>
    <xf numFmtId="168" fontId="6" fillId="0" borderId="0" xfId="0" applyNumberFormat="1" applyFont="1"/>
    <xf numFmtId="0" fontId="0" fillId="2" borderId="2" xfId="0" applyFill="1" applyBorder="1"/>
    <xf numFmtId="0" fontId="0" fillId="2" borderId="3" xfId="0" applyFill="1" applyBorder="1"/>
    <xf numFmtId="44" fontId="0" fillId="2" borderId="3" xfId="0" applyNumberFormat="1" applyFill="1" applyBorder="1"/>
    <xf numFmtId="44" fontId="0" fillId="2" borderId="4" xfId="0" applyNumberFormat="1" applyFill="1" applyBorder="1"/>
    <xf numFmtId="0" fontId="0" fillId="2" borderId="5" xfId="0" applyFill="1" applyBorder="1"/>
    <xf numFmtId="0" fontId="0" fillId="2" borderId="1" xfId="0" applyFill="1" applyBorder="1"/>
    <xf numFmtId="168" fontId="0" fillId="2" borderId="1" xfId="3" applyNumberFormat="1" applyFont="1" applyFill="1" applyBorder="1"/>
    <xf numFmtId="168" fontId="0" fillId="2" borderId="6" xfId="3" applyNumberFormat="1" applyFont="1" applyFill="1" applyBorder="1"/>
    <xf numFmtId="0" fontId="0" fillId="0" borderId="0" xfId="0" applyBorder="1"/>
    <xf numFmtId="168" fontId="0" fillId="0" borderId="0" xfId="3" applyNumberFormat="1" applyFont="1" applyBorder="1"/>
    <xf numFmtId="0" fontId="7" fillId="0" borderId="0" xfId="0" applyFont="1" applyFill="1" applyBorder="1" applyAlignment="1">
      <alignment horizontal="center"/>
    </xf>
    <xf numFmtId="10" fontId="6" fillId="0" borderId="0" xfId="0" applyNumberFormat="1" applyFont="1"/>
    <xf numFmtId="175" fontId="0" fillId="0" borderId="0" xfId="1" applyNumberFormat="1" applyFont="1"/>
    <xf numFmtId="10" fontId="6" fillId="0" borderId="0" xfId="0" applyNumberFormat="1" applyFont="1" applyAlignment="1">
      <alignment horizontal="center"/>
    </xf>
    <xf numFmtId="0" fontId="0" fillId="2" borderId="7" xfId="0" applyFill="1" applyBorder="1"/>
    <xf numFmtId="0" fontId="0" fillId="2" borderId="0" xfId="0" applyFill="1" applyBorder="1"/>
    <xf numFmtId="44" fontId="0" fillId="2" borderId="8" xfId="0" applyNumberFormat="1" applyFill="1" applyBorder="1"/>
    <xf numFmtId="9" fontId="0" fillId="2" borderId="0" xfId="3" applyFont="1" applyFill="1" applyBorder="1"/>
    <xf numFmtId="168" fontId="8" fillId="0" borderId="0" xfId="0" applyNumberFormat="1" applyFont="1"/>
    <xf numFmtId="168" fontId="7" fillId="0" borderId="0" xfId="0" applyNumberFormat="1" applyFont="1"/>
    <xf numFmtId="168" fontId="0" fillId="0" borderId="1" xfId="0" applyNumberFormat="1" applyBorder="1"/>
    <xf numFmtId="168" fontId="5" fillId="0" borderId="0" xfId="0" applyNumberFormat="1" applyFont="1" applyAlignment="1">
      <alignment horizontal="center"/>
    </xf>
    <xf numFmtId="168" fontId="4" fillId="0" borderId="0" xfId="3" applyNumberFormat="1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33"/>
  <sheetViews>
    <sheetView workbookViewId="0">
      <selection activeCell="K22" sqref="K22"/>
    </sheetView>
  </sheetViews>
  <sheetFormatPr defaultRowHeight="15"/>
  <cols>
    <col min="1" max="1" width="11.42578125" bestFit="1" customWidth="1"/>
    <col min="4" max="4" width="15.28515625" bestFit="1" customWidth="1"/>
    <col min="9" max="9" width="15.5703125" customWidth="1"/>
    <col min="10" max="10" width="15.85546875" customWidth="1"/>
    <col min="12" max="12" width="9.7109375" customWidth="1"/>
    <col min="13" max="13" width="16.85546875" customWidth="1"/>
    <col min="14" max="14" width="18.85546875" customWidth="1"/>
  </cols>
  <sheetData>
    <row r="1" spans="1:18" s="6" customFormat="1" ht="60">
      <c r="A1" t="s">
        <v>0</v>
      </c>
      <c r="B1" t="s">
        <v>1</v>
      </c>
      <c r="C1" s="6" t="s">
        <v>6</v>
      </c>
      <c r="D1" s="6" t="s">
        <v>7</v>
      </c>
      <c r="E1" s="6" t="s">
        <v>8</v>
      </c>
      <c r="F1" s="6" t="s">
        <v>24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13</v>
      </c>
      <c r="L1" s="6" t="s">
        <v>14</v>
      </c>
      <c r="M1" s="6" t="s">
        <v>47</v>
      </c>
      <c r="N1" s="6" t="s">
        <v>25</v>
      </c>
      <c r="O1" s="6" t="s">
        <v>29</v>
      </c>
      <c r="P1" s="6" t="s">
        <v>38</v>
      </c>
      <c r="Q1" s="6" t="s">
        <v>45</v>
      </c>
      <c r="R1" s="6" t="s">
        <v>61</v>
      </c>
    </row>
    <row r="2" spans="1:18">
      <c r="A2" s="1">
        <v>0.625</v>
      </c>
      <c r="B2">
        <v>1104134</v>
      </c>
      <c r="C2" s="10" t="s">
        <v>15</v>
      </c>
      <c r="D2" s="12">
        <v>15000000</v>
      </c>
      <c r="E2" s="13">
        <v>0.1</v>
      </c>
      <c r="F2" s="13"/>
      <c r="G2" s="10"/>
      <c r="H2" s="10"/>
      <c r="I2" s="10"/>
      <c r="J2" s="10" t="s">
        <v>17</v>
      </c>
      <c r="K2" s="14"/>
      <c r="L2" s="10" t="s">
        <v>19</v>
      </c>
      <c r="M2" s="12">
        <v>187500</v>
      </c>
      <c r="N2" s="15">
        <v>40892.537094907406</v>
      </c>
      <c r="O2">
        <f>+IF(AND(C2="Specified",J2="Competitive"),1,0)</f>
        <v>0</v>
      </c>
      <c r="P2">
        <f>+IF(AND(C2="Specified",J2="Noncompetitive"),1,0)</f>
        <v>0</v>
      </c>
      <c r="Q2">
        <f>+IF(AND(C2="General",J2="Competitive"),1,0)</f>
        <v>0</v>
      </c>
      <c r="R2">
        <f>+IF(AND(C2="General",J2="Noncompetitive"),1,0)</f>
        <v>1</v>
      </c>
    </row>
    <row r="3" spans="1:18">
      <c r="A3" s="1">
        <v>0.625</v>
      </c>
      <c r="B3">
        <v>1104143</v>
      </c>
      <c r="C3" s="10" t="s">
        <v>16</v>
      </c>
      <c r="D3" s="12"/>
      <c r="E3" s="13"/>
      <c r="F3" s="13">
        <v>0.2</v>
      </c>
      <c r="G3" s="10" t="s">
        <v>21</v>
      </c>
      <c r="H3" s="10"/>
      <c r="I3" s="10" t="s">
        <v>22</v>
      </c>
      <c r="J3" s="10" t="s">
        <v>17</v>
      </c>
      <c r="K3" s="14"/>
      <c r="L3" s="10" t="s">
        <v>19</v>
      </c>
      <c r="M3" s="12">
        <v>500000</v>
      </c>
      <c r="N3" s="15">
        <v>40897.363634259258</v>
      </c>
      <c r="O3">
        <f>+IF(AND(C3="Specified",J3="Competitive"),1,0)</f>
        <v>0</v>
      </c>
      <c r="P3">
        <f t="shared" ref="P3:P21" si="0">+IF(AND(C3="Specified",J3="Noncompetitive"),1,0)</f>
        <v>1</v>
      </c>
      <c r="Q3">
        <f t="shared" ref="Q3:Q21" si="1">+IF(AND(C3="General",J3="Competitive"),1,0)</f>
        <v>0</v>
      </c>
      <c r="R3">
        <f t="shared" ref="R3:R21" si="2">+IF(AND(C3="General",J3="Noncompetitive"),1,0)</f>
        <v>0</v>
      </c>
    </row>
    <row r="4" spans="1:18">
      <c r="A4" s="1">
        <v>0.625</v>
      </c>
      <c r="B4">
        <v>1104154</v>
      </c>
      <c r="C4" s="10" t="s">
        <v>15</v>
      </c>
      <c r="D4" s="12">
        <v>20000000</v>
      </c>
      <c r="E4" s="13">
        <v>0.2</v>
      </c>
      <c r="F4" s="13"/>
      <c r="G4" s="10"/>
      <c r="H4" s="10"/>
      <c r="I4" s="10"/>
      <c r="J4" s="10" t="s">
        <v>2</v>
      </c>
      <c r="K4" s="14">
        <v>0.03</v>
      </c>
      <c r="L4" s="10" t="s">
        <v>19</v>
      </c>
      <c r="M4" s="12">
        <v>185000</v>
      </c>
      <c r="N4" s="15">
        <v>40913.386666666665</v>
      </c>
      <c r="O4">
        <f>+IF(AND(C4="Specified",J4="Competitive"),1,0)</f>
        <v>0</v>
      </c>
      <c r="P4">
        <f t="shared" si="0"/>
        <v>0</v>
      </c>
      <c r="Q4">
        <f t="shared" si="1"/>
        <v>1</v>
      </c>
      <c r="R4">
        <f t="shared" si="2"/>
        <v>0</v>
      </c>
    </row>
    <row r="5" spans="1:18">
      <c r="A5" s="1">
        <v>0.625</v>
      </c>
      <c r="B5">
        <v>1104152</v>
      </c>
      <c r="C5" s="10" t="s">
        <v>16</v>
      </c>
      <c r="D5" s="12"/>
      <c r="E5" s="13"/>
      <c r="F5" s="13">
        <v>0.2</v>
      </c>
      <c r="G5" s="10" t="s">
        <v>21</v>
      </c>
      <c r="H5" s="10"/>
      <c r="I5" s="10" t="s">
        <v>23</v>
      </c>
      <c r="J5" s="10" t="s">
        <v>2</v>
      </c>
      <c r="K5" s="14">
        <v>0.03</v>
      </c>
      <c r="L5" s="10" t="s">
        <v>19</v>
      </c>
      <c r="M5" s="12">
        <v>1500000</v>
      </c>
      <c r="N5" s="15">
        <v>40913.385671296295</v>
      </c>
      <c r="O5">
        <f>+IF(AND(C5="Specified",J5="Competitive"),1,0)</f>
        <v>1</v>
      </c>
      <c r="P5">
        <f t="shared" si="0"/>
        <v>0</v>
      </c>
      <c r="Q5">
        <f t="shared" si="1"/>
        <v>0</v>
      </c>
      <c r="R5">
        <f t="shared" si="2"/>
        <v>0</v>
      </c>
    </row>
    <row r="6" spans="1:18">
      <c r="A6" s="1">
        <v>0.71263888888888904</v>
      </c>
      <c r="B6">
        <v>1104136</v>
      </c>
      <c r="C6" s="10" t="s">
        <v>16</v>
      </c>
      <c r="D6" s="12"/>
      <c r="E6" s="13"/>
      <c r="F6" s="13">
        <v>0.2</v>
      </c>
      <c r="G6" s="10" t="s">
        <v>20</v>
      </c>
      <c r="H6" s="10">
        <v>4</v>
      </c>
      <c r="I6" s="10"/>
      <c r="J6" s="10" t="s">
        <v>2</v>
      </c>
      <c r="K6" s="14">
        <v>0.06</v>
      </c>
      <c r="L6" s="10" t="s">
        <v>18</v>
      </c>
      <c r="M6" s="12">
        <v>860000</v>
      </c>
      <c r="N6" s="15"/>
      <c r="O6">
        <f>+IF(AND(C6="Specified",J6="Competitive"),1,0)</f>
        <v>1</v>
      </c>
      <c r="P6">
        <f t="shared" si="0"/>
        <v>0</v>
      </c>
      <c r="Q6">
        <f t="shared" si="1"/>
        <v>0</v>
      </c>
      <c r="R6">
        <f t="shared" si="2"/>
        <v>0</v>
      </c>
    </row>
    <row r="7" spans="1:18">
      <c r="A7" s="1">
        <v>0.7726388888888891</v>
      </c>
      <c r="B7">
        <v>1104138</v>
      </c>
      <c r="C7" s="10" t="s">
        <v>15</v>
      </c>
      <c r="D7" s="12">
        <v>1000000</v>
      </c>
      <c r="E7" s="13">
        <v>0.5</v>
      </c>
      <c r="F7" s="13"/>
      <c r="G7" s="10"/>
      <c r="H7" s="10"/>
      <c r="I7" s="10"/>
      <c r="J7" s="10" t="s">
        <v>2</v>
      </c>
      <c r="K7" s="14">
        <v>2.1250000000000002E-2</v>
      </c>
      <c r="L7" s="10" t="s">
        <v>18</v>
      </c>
      <c r="M7" s="12">
        <v>300000</v>
      </c>
      <c r="N7" s="15"/>
      <c r="O7">
        <f>+IF(AND(C7="Specified",J7="Competitive"),1,0)</f>
        <v>0</v>
      </c>
      <c r="P7">
        <f t="shared" si="0"/>
        <v>0</v>
      </c>
      <c r="Q7">
        <f t="shared" si="1"/>
        <v>1</v>
      </c>
      <c r="R7">
        <f t="shared" si="2"/>
        <v>0</v>
      </c>
    </row>
    <row r="8" spans="1:18">
      <c r="A8" s="1">
        <v>0.80263888888888912</v>
      </c>
      <c r="B8">
        <v>1104139</v>
      </c>
      <c r="C8" s="10" t="s">
        <v>15</v>
      </c>
      <c r="D8" s="12">
        <v>500000</v>
      </c>
      <c r="E8" s="13">
        <v>0.3</v>
      </c>
      <c r="F8" s="13"/>
      <c r="G8" s="10"/>
      <c r="H8" s="10"/>
      <c r="I8" s="10"/>
      <c r="J8" s="10" t="s">
        <v>2</v>
      </c>
      <c r="K8" s="14">
        <v>2.2499999999999999E-2</v>
      </c>
      <c r="L8" s="10" t="s">
        <v>18</v>
      </c>
      <c r="M8" s="12">
        <v>250000</v>
      </c>
      <c r="N8" s="15"/>
      <c r="O8">
        <f>+IF(AND(C8="Specified",J8="Competitive"),1,0)</f>
        <v>0</v>
      </c>
      <c r="P8">
        <f t="shared" si="0"/>
        <v>0</v>
      </c>
      <c r="Q8">
        <f t="shared" si="1"/>
        <v>1</v>
      </c>
      <c r="R8">
        <f t="shared" si="2"/>
        <v>0</v>
      </c>
    </row>
    <row r="9" spans="1:18">
      <c r="A9" s="1">
        <v>0.83263888888888915</v>
      </c>
      <c r="B9">
        <v>1104140</v>
      </c>
      <c r="C9" s="10" t="s">
        <v>16</v>
      </c>
      <c r="D9" s="12"/>
      <c r="E9" s="13"/>
      <c r="F9" s="13">
        <v>0.2</v>
      </c>
      <c r="G9" s="10" t="s">
        <v>20</v>
      </c>
      <c r="H9" s="10">
        <v>5</v>
      </c>
      <c r="I9" s="10"/>
      <c r="J9" s="10" t="s">
        <v>2</v>
      </c>
      <c r="K9" s="14">
        <v>2.5000000000000001E-2</v>
      </c>
      <c r="L9" s="10" t="s">
        <v>18</v>
      </c>
      <c r="M9" s="12">
        <v>74000</v>
      </c>
      <c r="N9" s="15"/>
      <c r="O9">
        <f>+IF(AND(C9="Specified",J9="Competitive"),1,0)</f>
        <v>1</v>
      </c>
      <c r="P9">
        <f t="shared" si="0"/>
        <v>0</v>
      </c>
      <c r="Q9">
        <f t="shared" si="1"/>
        <v>0</v>
      </c>
      <c r="R9">
        <f t="shared" si="2"/>
        <v>0</v>
      </c>
    </row>
    <row r="10" spans="1:18">
      <c r="A10" s="1">
        <v>0.86263888888888918</v>
      </c>
      <c r="B10">
        <v>1104141</v>
      </c>
      <c r="C10" s="10" t="s">
        <v>15</v>
      </c>
      <c r="D10" s="12">
        <v>500000</v>
      </c>
      <c r="E10" s="13">
        <v>0.2</v>
      </c>
      <c r="F10" s="13"/>
      <c r="G10" s="10"/>
      <c r="H10" s="10"/>
      <c r="I10" s="10"/>
      <c r="J10" s="10" t="s">
        <v>2</v>
      </c>
      <c r="K10" s="14">
        <v>2.5000000000000001E-2</v>
      </c>
      <c r="L10" s="10" t="s">
        <v>18</v>
      </c>
      <c r="M10" s="12">
        <v>285000</v>
      </c>
      <c r="N10" s="15"/>
      <c r="O10">
        <f>+IF(AND(C10="Specified",J10="Competitive"),1,0)</f>
        <v>0</v>
      </c>
      <c r="P10">
        <f t="shared" si="0"/>
        <v>0</v>
      </c>
      <c r="Q10">
        <f t="shared" si="1"/>
        <v>1</v>
      </c>
      <c r="R10">
        <f t="shared" si="2"/>
        <v>0</v>
      </c>
    </row>
    <row r="11" spans="1:18">
      <c r="A11" s="1">
        <v>0.90263888888888888</v>
      </c>
      <c r="B11">
        <v>1104159</v>
      </c>
      <c r="C11" s="10" t="s">
        <v>16</v>
      </c>
      <c r="D11" s="12"/>
      <c r="E11" s="13"/>
      <c r="F11" s="13">
        <v>0.2</v>
      </c>
      <c r="G11" s="10" t="s">
        <v>20</v>
      </c>
      <c r="H11" s="10">
        <v>1</v>
      </c>
      <c r="I11" s="10"/>
      <c r="J11" s="10" t="s">
        <v>17</v>
      </c>
      <c r="K11" s="14"/>
      <c r="L11" s="10" t="s">
        <v>18</v>
      </c>
      <c r="M11" s="12">
        <v>532000</v>
      </c>
      <c r="N11" s="15"/>
      <c r="O11">
        <f>+IF(AND(C11="Specified",J11="Competitive"),1,0)</f>
        <v>0</v>
      </c>
      <c r="P11">
        <f t="shared" si="0"/>
        <v>1</v>
      </c>
      <c r="Q11">
        <f t="shared" si="1"/>
        <v>0</v>
      </c>
      <c r="R11">
        <f t="shared" si="2"/>
        <v>0</v>
      </c>
    </row>
    <row r="12" spans="1:18">
      <c r="A12" s="1">
        <v>0.96263888888888882</v>
      </c>
      <c r="B12">
        <v>1104161</v>
      </c>
      <c r="C12" s="10" t="s">
        <v>16</v>
      </c>
      <c r="D12" s="12"/>
      <c r="E12" s="13"/>
      <c r="F12" s="13">
        <v>0.2</v>
      </c>
      <c r="G12" s="10" t="s">
        <v>20</v>
      </c>
      <c r="H12" s="10">
        <v>4</v>
      </c>
      <c r="I12" s="10"/>
      <c r="J12" s="10" t="s">
        <v>17</v>
      </c>
      <c r="K12" s="14"/>
      <c r="L12" s="10" t="s">
        <v>18</v>
      </c>
      <c r="M12" s="12">
        <v>292000</v>
      </c>
      <c r="N12" s="15"/>
      <c r="O12">
        <f>+IF(AND(C12="Specified",J12="Competitive"),1,0)</f>
        <v>0</v>
      </c>
      <c r="P12">
        <f t="shared" si="0"/>
        <v>1</v>
      </c>
      <c r="Q12">
        <f t="shared" si="1"/>
        <v>0</v>
      </c>
      <c r="R12">
        <f t="shared" si="2"/>
        <v>0</v>
      </c>
    </row>
    <row r="13" spans="1:18">
      <c r="A13" s="1">
        <v>0.98263888888888928</v>
      </c>
      <c r="B13">
        <v>1104145</v>
      </c>
      <c r="C13" s="10" t="s">
        <v>16</v>
      </c>
      <c r="D13" s="12"/>
      <c r="E13" s="13"/>
      <c r="F13" s="13">
        <v>0.1</v>
      </c>
      <c r="G13" s="10" t="s">
        <v>20</v>
      </c>
      <c r="H13" s="10">
        <v>1</v>
      </c>
      <c r="I13" s="10"/>
      <c r="J13" s="10" t="s">
        <v>2</v>
      </c>
      <c r="K13" s="14">
        <v>1.4999999999999999E-2</v>
      </c>
      <c r="L13" s="10" t="s">
        <v>18</v>
      </c>
      <c r="M13" s="12">
        <v>752000</v>
      </c>
      <c r="N13" s="15"/>
      <c r="O13">
        <f>+IF(AND(C13="Specified",J13="Competitive"),1,0)</f>
        <v>1</v>
      </c>
      <c r="P13">
        <f t="shared" si="0"/>
        <v>0</v>
      </c>
      <c r="Q13">
        <f t="shared" si="1"/>
        <v>0</v>
      </c>
      <c r="R13">
        <f t="shared" si="2"/>
        <v>0</v>
      </c>
    </row>
    <row r="14" spans="1:18">
      <c r="A14" s="1">
        <v>1.0993055555555555</v>
      </c>
      <c r="B14">
        <v>1104133</v>
      </c>
      <c r="C14" s="10" t="s">
        <v>16</v>
      </c>
      <c r="D14" s="12"/>
      <c r="E14" s="13"/>
      <c r="F14" s="13">
        <v>0.2</v>
      </c>
      <c r="G14" s="10" t="s">
        <v>20</v>
      </c>
      <c r="H14" s="10">
        <v>4</v>
      </c>
      <c r="I14" s="10"/>
      <c r="J14" s="10" t="s">
        <v>2</v>
      </c>
      <c r="K14" s="14">
        <v>0.04</v>
      </c>
      <c r="L14" s="10" t="s">
        <v>18</v>
      </c>
      <c r="M14" s="12">
        <v>418000</v>
      </c>
      <c r="N14" s="15"/>
      <c r="O14">
        <f>+IF(AND(C14="Specified",J14="Competitive"),1,0)</f>
        <v>1</v>
      </c>
      <c r="P14">
        <f t="shared" si="0"/>
        <v>0</v>
      </c>
      <c r="Q14">
        <f t="shared" si="1"/>
        <v>0</v>
      </c>
      <c r="R14">
        <f t="shared" si="2"/>
        <v>0</v>
      </c>
    </row>
    <row r="15" spans="1:18">
      <c r="A15" s="1">
        <v>1.1026388888888894</v>
      </c>
      <c r="B15">
        <v>1104149</v>
      </c>
      <c r="C15" s="10" t="s">
        <v>16</v>
      </c>
      <c r="D15" s="12"/>
      <c r="E15" s="13"/>
      <c r="F15" s="13">
        <v>0.2</v>
      </c>
      <c r="G15" s="10" t="s">
        <v>20</v>
      </c>
      <c r="H15" s="10">
        <v>5</v>
      </c>
      <c r="I15" s="10"/>
      <c r="J15" s="10" t="s">
        <v>17</v>
      </c>
      <c r="K15" s="14"/>
      <c r="L15" s="10" t="s">
        <v>18</v>
      </c>
      <c r="M15" s="12">
        <v>47000</v>
      </c>
      <c r="N15" s="15"/>
      <c r="O15">
        <f>+IF(AND(C15="Specified",J15="Competitive"),1,0)</f>
        <v>0</v>
      </c>
      <c r="P15">
        <f t="shared" si="0"/>
        <v>1</v>
      </c>
      <c r="Q15">
        <f t="shared" si="1"/>
        <v>0</v>
      </c>
      <c r="R15">
        <f t="shared" si="2"/>
        <v>0</v>
      </c>
    </row>
    <row r="16" spans="1:18">
      <c r="A16" s="1">
        <v>1.1626388888888894</v>
      </c>
      <c r="B16">
        <v>1104151</v>
      </c>
      <c r="C16" s="10" t="s">
        <v>16</v>
      </c>
      <c r="D16" s="12"/>
      <c r="E16" s="13"/>
      <c r="F16" s="13">
        <v>0.2</v>
      </c>
      <c r="G16" s="10" t="s">
        <v>20</v>
      </c>
      <c r="H16" s="10">
        <v>1</v>
      </c>
      <c r="I16" s="10"/>
      <c r="J16" s="10" t="s">
        <v>17</v>
      </c>
      <c r="K16" s="14"/>
      <c r="L16" s="10" t="s">
        <v>18</v>
      </c>
      <c r="M16" s="12">
        <v>283000</v>
      </c>
      <c r="N16" s="15"/>
      <c r="O16">
        <f>+IF(AND(C16="Specified",J16="Competitive"),1,0)</f>
        <v>0</v>
      </c>
      <c r="P16">
        <f t="shared" si="0"/>
        <v>1</v>
      </c>
      <c r="Q16">
        <f t="shared" si="1"/>
        <v>0</v>
      </c>
      <c r="R16">
        <f t="shared" si="2"/>
        <v>0</v>
      </c>
    </row>
    <row r="17" spans="1:18">
      <c r="A17" s="1">
        <v>1.1926388888888895</v>
      </c>
      <c r="B17">
        <v>1104131</v>
      </c>
      <c r="C17" s="10" t="s">
        <v>15</v>
      </c>
      <c r="D17" s="12">
        <v>1000000</v>
      </c>
      <c r="E17" s="13">
        <v>0.5</v>
      </c>
      <c r="F17" s="13"/>
      <c r="G17" s="10"/>
      <c r="H17" s="10"/>
      <c r="I17" s="10"/>
      <c r="J17" s="10" t="s">
        <v>17</v>
      </c>
      <c r="K17" s="14"/>
      <c r="L17" s="10" t="s">
        <v>18</v>
      </c>
      <c r="M17" s="12">
        <v>598000</v>
      </c>
      <c r="N17" s="15"/>
      <c r="O17">
        <f>+IF(AND(C17="Specified",J17="Competitive"),1,0)</f>
        <v>0</v>
      </c>
      <c r="P17">
        <f t="shared" si="0"/>
        <v>0</v>
      </c>
      <c r="Q17">
        <f t="shared" si="1"/>
        <v>0</v>
      </c>
      <c r="R17">
        <f t="shared" si="2"/>
        <v>1</v>
      </c>
    </row>
    <row r="18" spans="1:18">
      <c r="A18" s="1">
        <v>1.2826388888888896</v>
      </c>
      <c r="B18">
        <v>1104155</v>
      </c>
      <c r="C18" s="10" t="s">
        <v>16</v>
      </c>
      <c r="D18" s="12"/>
      <c r="E18" s="13"/>
      <c r="F18" s="13">
        <v>0.2</v>
      </c>
      <c r="G18" s="10" t="s">
        <v>21</v>
      </c>
      <c r="H18" s="10"/>
      <c r="I18" s="10" t="s">
        <v>26</v>
      </c>
      <c r="J18" s="10" t="s">
        <v>2</v>
      </c>
      <c r="K18" s="14">
        <v>2.1250000000000002E-2</v>
      </c>
      <c r="L18" s="10" t="s">
        <v>18</v>
      </c>
      <c r="M18" s="12">
        <v>639000</v>
      </c>
      <c r="N18" s="15"/>
      <c r="O18">
        <f>+IF(AND(C18="Specified",J18="Competitive"),1,0)</f>
        <v>1</v>
      </c>
      <c r="P18">
        <f t="shared" si="0"/>
        <v>0</v>
      </c>
      <c r="Q18">
        <f t="shared" si="1"/>
        <v>0</v>
      </c>
      <c r="R18">
        <f t="shared" si="2"/>
        <v>0</v>
      </c>
    </row>
    <row r="19" spans="1:18">
      <c r="A19" s="1">
        <v>1.3126388888888896</v>
      </c>
      <c r="B19">
        <v>1104156</v>
      </c>
      <c r="C19" s="10" t="s">
        <v>16</v>
      </c>
      <c r="D19" s="12"/>
      <c r="E19" s="13"/>
      <c r="F19" s="13">
        <v>0.2</v>
      </c>
      <c r="G19" s="10" t="s">
        <v>20</v>
      </c>
      <c r="H19" s="10">
        <v>2</v>
      </c>
      <c r="I19" s="10"/>
      <c r="J19" s="10" t="s">
        <v>17</v>
      </c>
      <c r="K19" s="14"/>
      <c r="L19" s="10" t="s">
        <v>18</v>
      </c>
      <c r="M19" s="12">
        <v>274000</v>
      </c>
      <c r="N19" s="15"/>
      <c r="O19">
        <f>+IF(AND(C19="Specified",J19="Competitive"),1,0)</f>
        <v>0</v>
      </c>
      <c r="P19">
        <f t="shared" si="0"/>
        <v>1</v>
      </c>
      <c r="Q19">
        <f t="shared" si="1"/>
        <v>0</v>
      </c>
      <c r="R19">
        <f t="shared" si="2"/>
        <v>0</v>
      </c>
    </row>
    <row r="20" spans="1:18">
      <c r="A20" s="1">
        <v>1.3426388888888896</v>
      </c>
      <c r="B20">
        <v>1104157</v>
      </c>
      <c r="C20" s="10" t="s">
        <v>15</v>
      </c>
      <c r="D20" s="12">
        <v>1000000</v>
      </c>
      <c r="E20" s="13">
        <v>0.3</v>
      </c>
      <c r="F20" s="13"/>
      <c r="G20" s="10"/>
      <c r="H20" s="10"/>
      <c r="I20" s="10"/>
      <c r="J20" s="10" t="s">
        <v>17</v>
      </c>
      <c r="K20" s="14"/>
      <c r="L20" s="10" t="s">
        <v>18</v>
      </c>
      <c r="M20" s="12">
        <v>629000</v>
      </c>
      <c r="N20" s="15"/>
      <c r="O20">
        <f>+IF(AND(C20="Specified",J20="Competitive"),1,0)</f>
        <v>0</v>
      </c>
      <c r="P20">
        <f t="shared" si="0"/>
        <v>0</v>
      </c>
      <c r="Q20">
        <f t="shared" si="1"/>
        <v>0</v>
      </c>
      <c r="R20">
        <f t="shared" si="2"/>
        <v>1</v>
      </c>
    </row>
    <row r="21" spans="1:18">
      <c r="A21" s="1">
        <v>1.372638888888889</v>
      </c>
      <c r="B21">
        <v>1104158</v>
      </c>
      <c r="C21" s="10" t="s">
        <v>16</v>
      </c>
      <c r="D21" s="12"/>
      <c r="E21" s="13"/>
      <c r="F21" s="13">
        <v>0.2</v>
      </c>
      <c r="G21" s="10" t="s">
        <v>20</v>
      </c>
      <c r="H21" s="10">
        <v>1</v>
      </c>
      <c r="I21" s="10"/>
      <c r="J21" s="10" t="s">
        <v>2</v>
      </c>
      <c r="K21" s="14">
        <v>2.2499999999999999E-2</v>
      </c>
      <c r="L21" s="10" t="s">
        <v>18</v>
      </c>
      <c r="M21" s="12">
        <v>562000</v>
      </c>
      <c r="N21" s="15"/>
      <c r="O21">
        <f>+IF(AND(C21="Specified",J21="Competitive"),1,0)</f>
        <v>1</v>
      </c>
      <c r="P21">
        <f t="shared" si="0"/>
        <v>0</v>
      </c>
      <c r="Q21">
        <f t="shared" si="1"/>
        <v>0</v>
      </c>
      <c r="R21">
        <f t="shared" si="2"/>
        <v>0</v>
      </c>
    </row>
    <row r="22" spans="1:18">
      <c r="A22" s="1"/>
    </row>
    <row r="23" spans="1:18">
      <c r="A23" s="1"/>
    </row>
    <row r="24" spans="1:18">
      <c r="A24" s="1"/>
    </row>
    <row r="25" spans="1:18">
      <c r="A25" s="1"/>
    </row>
    <row r="26" spans="1:18">
      <c r="A26" s="1"/>
    </row>
    <row r="27" spans="1:18">
      <c r="A27" s="1"/>
    </row>
    <row r="28" spans="1:18">
      <c r="A28" s="1"/>
    </row>
    <row r="29" spans="1:18">
      <c r="A29" s="1"/>
    </row>
    <row r="30" spans="1:18">
      <c r="A30" s="1"/>
    </row>
    <row r="31" spans="1:18">
      <c r="A31" s="1"/>
    </row>
    <row r="32" spans="1:18">
      <c r="A32" s="1"/>
    </row>
    <row r="33" spans="1:1">
      <c r="A33" s="1"/>
    </row>
  </sheetData>
  <autoFilter ref="A1:N21">
    <sortState ref="A2:N21">
      <sortCondition ref="A1:A21"/>
    </sortState>
  </autoFilter>
  <dataValidations count="4">
    <dataValidation type="list" allowBlank="1" showInputMessage="1" showErrorMessage="1" sqref="C2:C21">
      <formula1>"General, Specified"</formula1>
    </dataValidation>
    <dataValidation type="list" allowBlank="1" showInputMessage="1" showErrorMessage="1" sqref="J2:J21">
      <formula1>"Competitive, Noncompetitive"</formula1>
    </dataValidation>
    <dataValidation type="list" allowBlank="1" showInputMessage="1" showErrorMessage="1" sqref="L2:L21">
      <formula1>"Day Trade, Auto"</formula1>
    </dataValidation>
    <dataValidation type="list" allowBlank="1" showInputMessage="1" showErrorMessage="1" sqref="G2:G21">
      <formula1>"Loan, MO"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06"/>
  <sheetViews>
    <sheetView tabSelected="1" zoomScaleNormal="100" workbookViewId="0">
      <selection activeCell="A180" sqref="A180:XFD201"/>
    </sheetView>
  </sheetViews>
  <sheetFormatPr defaultRowHeight="15" outlineLevelRow="1"/>
  <cols>
    <col min="2" max="2" width="12.85546875" customWidth="1"/>
    <col min="3" max="3" width="14.85546875" customWidth="1"/>
    <col min="4" max="4" width="16" customWidth="1"/>
    <col min="5" max="5" width="17" customWidth="1"/>
    <col min="6" max="6" width="14.140625" customWidth="1"/>
    <col min="7" max="7" width="13.5703125" bestFit="1" customWidth="1"/>
    <col min="8" max="8" width="15" bestFit="1" customWidth="1"/>
    <col min="9" max="9" width="14.28515625" bestFit="1" customWidth="1"/>
    <col min="10" max="10" width="13.85546875" bestFit="1" customWidth="1"/>
    <col min="11" max="11" width="13.42578125" bestFit="1" customWidth="1"/>
    <col min="12" max="12" width="16.140625" bestFit="1" customWidth="1"/>
    <col min="13" max="13" width="14.28515625" bestFit="1" customWidth="1"/>
  </cols>
  <sheetData>
    <row r="1" spans="1:13">
      <c r="F1" t="s">
        <v>30</v>
      </c>
    </row>
    <row r="2" spans="1:13">
      <c r="E2" t="s">
        <v>27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 t="s">
        <v>41</v>
      </c>
    </row>
    <row r="3" spans="1:13">
      <c r="D3" s="10"/>
      <c r="E3" t="s">
        <v>21</v>
      </c>
      <c r="G3" s="10" t="s">
        <v>22</v>
      </c>
      <c r="H3" s="10" t="s">
        <v>22</v>
      </c>
      <c r="I3" s="10" t="s">
        <v>23</v>
      </c>
      <c r="J3" s="10" t="s">
        <v>23</v>
      </c>
      <c r="K3" s="10" t="s">
        <v>26</v>
      </c>
      <c r="L3" s="10" t="s">
        <v>28</v>
      </c>
    </row>
    <row r="4" spans="1:13">
      <c r="D4" s="10"/>
      <c r="E4" t="s">
        <v>5</v>
      </c>
      <c r="G4" s="11">
        <v>318725</v>
      </c>
      <c r="H4" s="11">
        <v>375685</v>
      </c>
      <c r="I4" s="11">
        <v>479875</v>
      </c>
      <c r="J4" s="11">
        <v>525400</v>
      </c>
      <c r="K4" s="11">
        <v>515425</v>
      </c>
      <c r="L4" s="11">
        <v>485000</v>
      </c>
      <c r="M4" s="2">
        <f>SUM(G4:L4)</f>
        <v>2700110</v>
      </c>
    </row>
    <row r="5" spans="1:13">
      <c r="D5" s="10"/>
      <c r="E5" s="11"/>
      <c r="I5" s="2"/>
    </row>
    <row r="6" spans="1:13">
      <c r="A6" t="s">
        <v>70</v>
      </c>
      <c r="D6" s="10"/>
      <c r="E6" s="11"/>
      <c r="J6" s="2"/>
    </row>
    <row r="7" spans="1:13" ht="30" hidden="1" outlineLevel="1">
      <c r="B7" s="16" t="s">
        <v>31</v>
      </c>
      <c r="C7" s="16" t="s">
        <v>32</v>
      </c>
      <c r="D7" s="16" t="s">
        <v>21</v>
      </c>
      <c r="E7" s="26" t="s">
        <v>33</v>
      </c>
      <c r="F7" s="16" t="s">
        <v>34</v>
      </c>
      <c r="K7" s="2"/>
    </row>
    <row r="8" spans="1:13" hidden="1" outlineLevel="1">
      <c r="B8">
        <f>+'bid input'!B2</f>
        <v>1104134</v>
      </c>
      <c r="C8" s="9">
        <f>+'bid input'!H2</f>
        <v>0</v>
      </c>
      <c r="D8">
        <f>+'bid input'!I2</f>
        <v>0</v>
      </c>
      <c r="E8" s="17" t="str">
        <f>+IF('bid input'!O2=1,"Y","N")</f>
        <v>N</v>
      </c>
      <c r="F8" s="4">
        <f>+'bid input'!K2</f>
        <v>0</v>
      </c>
      <c r="G8" s="2">
        <f>+IF(AND($E8="Y",$C8=G$2,$C8&gt;0),'bid input'!$F2,IF(AND($E8="Y",$D8=G$3,$C8=0),'bid input'!$F2,0))*G$4</f>
        <v>0</v>
      </c>
      <c r="H8" s="2">
        <f>+IF(AND($E8="Y",$C8=H$2,$C8&gt;0),'bid input'!$F2,IF(AND($E8="Y",$D8=H$3,$C8=0),'bid input'!$F2,0))*H$4</f>
        <v>0</v>
      </c>
      <c r="I8" s="2">
        <f>+IF(AND($E8="Y",$C8=I$2,$C8&gt;0),'bid input'!$F2,IF(AND($E8="Y",$D8=I$3,$C8=0),'bid input'!$F2,0))*I$4</f>
        <v>0</v>
      </c>
      <c r="J8" s="2">
        <f>+IF(AND($E8="Y",$C8=J$2,$C8&gt;0),'bid input'!$F2,IF(AND($E8="Y",$D8=J$3,$C8=0),'bid input'!$F2,0))*J$4</f>
        <v>0</v>
      </c>
      <c r="K8" s="2">
        <f>+IF(AND($E8="Y",$C8=K$2,$C8&gt;0),'bid input'!$F2,IF(AND($E8="Y",$D8=K$3,$C8=0),'bid input'!$F2,0))*K$4</f>
        <v>0</v>
      </c>
      <c r="L8" s="2">
        <f>+IF(AND($E8="Y",$C8=L$2,$C8&gt;0),'bid input'!$F2,IF(AND($E8="Y",$D8=L$3,$C8=0),'bid input'!$F2,0))*L$4</f>
        <v>0</v>
      </c>
      <c r="M8" s="2">
        <f>SUM(G8:L8)</f>
        <v>0</v>
      </c>
    </row>
    <row r="9" spans="1:13" hidden="1" outlineLevel="1">
      <c r="B9">
        <f>+'bid input'!B3</f>
        <v>1104143</v>
      </c>
      <c r="C9" s="9">
        <f>+'bid input'!H3</f>
        <v>0</v>
      </c>
      <c r="D9" t="str">
        <f>+'bid input'!I3</f>
        <v>ABC Mortgage</v>
      </c>
      <c r="E9" s="17" t="str">
        <f>+IF('bid input'!O3=1,"Y","N")</f>
        <v>N</v>
      </c>
      <c r="F9" s="4">
        <f>+'bid input'!K3</f>
        <v>0</v>
      </c>
      <c r="G9" s="2">
        <f>+IF(AND($E9="Y",$C9=G$2,$C9&gt;0),'bid input'!$F3,IF(AND($E9="Y",$D9=G$3,$C9=0),'bid input'!$F3,0))*G$4</f>
        <v>0</v>
      </c>
      <c r="H9" s="2">
        <f>+IF(AND($E9="Y",$C9=H$2,$C9&gt;0),'bid input'!$F3,IF(AND($E9="Y",$D9=H$3,$C9=0),'bid input'!$F3,0))*H$4</f>
        <v>0</v>
      </c>
      <c r="I9" s="2">
        <f>+IF(AND($E9="Y",$C9=I$2,$C9&gt;0),'bid input'!$F3,IF(AND($E9="Y",$D9=I$3,$C9=0),'bid input'!$F3,0))*I$4</f>
        <v>0</v>
      </c>
      <c r="J9" s="2">
        <f>+IF(AND($E9="Y",$C9=J$2,$C9&gt;0),'bid input'!$F3,IF(AND($E9="Y",$D9=J$3,$C9=0),'bid input'!$F3,0))*J$4</f>
        <v>0</v>
      </c>
      <c r="K9" s="2">
        <f>+IF(AND($E9="Y",$C9=K$2,$C9&gt;0),'bid input'!$F3,IF(AND($E9="Y",$D9=K$3,$C9=0),'bid input'!$F3,0))*K$4</f>
        <v>0</v>
      </c>
      <c r="L9" s="2">
        <f>+IF(AND($E9="Y",$C9=L$2,$C9&gt;0),'bid input'!$F3,IF(AND($E9="Y",$D9=L$3,$C9=0),'bid input'!$F3,0))*L$4</f>
        <v>0</v>
      </c>
      <c r="M9" s="2">
        <f t="shared" ref="M9:M27" si="0">SUM(G9:L9)</f>
        <v>0</v>
      </c>
    </row>
    <row r="10" spans="1:13" hidden="1" outlineLevel="1">
      <c r="B10">
        <f>+'bid input'!B4</f>
        <v>1104154</v>
      </c>
      <c r="C10" s="9">
        <f>+'bid input'!H4</f>
        <v>0</v>
      </c>
      <c r="D10">
        <f>+'bid input'!I4</f>
        <v>0</v>
      </c>
      <c r="E10" s="17" t="str">
        <f>+IF('bid input'!O4=1,"Y","N")</f>
        <v>N</v>
      </c>
      <c r="F10" s="4">
        <f>+'bid input'!K4</f>
        <v>0.03</v>
      </c>
      <c r="G10" s="2">
        <f>+IF(AND($E10="Y",$C10=G$2,$C10&gt;0),'bid input'!$F4,IF(AND($E10="Y",$D10=G$3,$C10=0),'bid input'!$F4,0))*G$4</f>
        <v>0</v>
      </c>
      <c r="H10" s="2">
        <f>+IF(AND($E10="Y",$C10=H$2,$C10&gt;0),'bid input'!$F4,IF(AND($E10="Y",$D10=H$3,$C10=0),'bid input'!$F4,0))*H$4</f>
        <v>0</v>
      </c>
      <c r="I10" s="2">
        <f>+IF(AND($E10="Y",$C10=I$2,$C10&gt;0),'bid input'!$F4,IF(AND($E10="Y",$D10=I$3,$C10=0),'bid input'!$F4,0))*I$4</f>
        <v>0</v>
      </c>
      <c r="J10" s="2">
        <f>+IF(AND($E10="Y",$C10=J$2,$C10&gt;0),'bid input'!$F4,IF(AND($E10="Y",$D10=J$3,$C10=0),'bid input'!$F4,0))*J$4</f>
        <v>0</v>
      </c>
      <c r="K10" s="2">
        <f>+IF(AND($E10="Y",$C10=K$2,$C10&gt;0),'bid input'!$F4,IF(AND($E10="Y",$D10=K$3,$C10=0),'bid input'!$F4,0))*K$4</f>
        <v>0</v>
      </c>
      <c r="L10" s="2">
        <f>+IF(AND($E10="Y",$C10=L$2,$C10&gt;0),'bid input'!$F4,IF(AND($E10="Y",$D10=L$3,$C10=0),'bid input'!$F4,0))*L$4</f>
        <v>0</v>
      </c>
      <c r="M10" s="2">
        <f t="shared" si="0"/>
        <v>0</v>
      </c>
    </row>
    <row r="11" spans="1:13" hidden="1" outlineLevel="1">
      <c r="B11">
        <f>+'bid input'!B5</f>
        <v>1104152</v>
      </c>
      <c r="C11" s="9">
        <f>+'bid input'!H5</f>
        <v>0</v>
      </c>
      <c r="D11" t="str">
        <f>+'bid input'!I5</f>
        <v>Prime Lending</v>
      </c>
      <c r="E11" s="17" t="str">
        <f>+IF('bid input'!O5=1,"Y","N")</f>
        <v>Y</v>
      </c>
      <c r="F11" s="4">
        <f>+'bid input'!K5</f>
        <v>0.03</v>
      </c>
      <c r="G11" s="2">
        <f>+IF(AND($E11="Y",$C11=G$2,$C11&gt;0),'bid input'!$F5,IF(AND($E11="Y",$D11=G$3,$C11=0),'bid input'!$F5,0))*G$4</f>
        <v>0</v>
      </c>
      <c r="H11" s="2">
        <f>+IF(AND($E11="Y",$C11=H$2,$C11&gt;0),'bid input'!$F5,IF(AND($E11="Y",$D11=H$3,$C11=0),'bid input'!$F5,0))*H$4</f>
        <v>0</v>
      </c>
      <c r="I11" s="2">
        <f>+IF(AND($E11="Y",$C11=I$2,$C11&gt;0),'bid input'!$F5,IF(AND($E11="Y",$D11=I$3,$C11=0),'bid input'!$F5,0))*I$4</f>
        <v>95975</v>
      </c>
      <c r="J11" s="2">
        <f>+IF(AND($E11="Y",$C11=J$2,$C11&gt;0),'bid input'!$F5,IF(AND($E11="Y",$D11=J$3,$C11=0),'bid input'!$F5,0))*J$4</f>
        <v>105080</v>
      </c>
      <c r="K11" s="2">
        <f>+IF(AND($E11="Y",$C11=K$2,$C11&gt;0),'bid input'!$F5,IF(AND($E11="Y",$D11=K$3,$C11=0),'bid input'!$F5,0))*K$4</f>
        <v>0</v>
      </c>
      <c r="L11" s="2">
        <f>+IF(AND($E11="Y",$C11=L$2,$C11&gt;0),'bid input'!$F5,IF(AND($E11="Y",$D11=L$3,$C11=0),'bid input'!$F5,0))*L$4</f>
        <v>0</v>
      </c>
      <c r="M11" s="2">
        <f t="shared" si="0"/>
        <v>201055</v>
      </c>
    </row>
    <row r="12" spans="1:13" hidden="1" outlineLevel="1">
      <c r="B12">
        <f>+'bid input'!B6</f>
        <v>1104136</v>
      </c>
      <c r="C12" s="9">
        <f>+'bid input'!H6</f>
        <v>4</v>
      </c>
      <c r="D12">
        <f>+'bid input'!I6</f>
        <v>0</v>
      </c>
      <c r="E12" s="17" t="str">
        <f>+IF('bid input'!O6=1,"Y","N")</f>
        <v>Y</v>
      </c>
      <c r="F12" s="4">
        <f>+'bid input'!K6</f>
        <v>0.06</v>
      </c>
      <c r="G12" s="2">
        <f>+IF(AND($E12="Y",$C12=G$2,$C12&gt;0),'bid input'!$F6,IF(AND($E12="Y",$D12=G$3,$C12=0),'bid input'!$F6,0))*G$4</f>
        <v>0</v>
      </c>
      <c r="H12" s="2">
        <f>+IF(AND($E12="Y",$C12=H$2,$C12&gt;0),'bid input'!$F6,IF(AND($E12="Y",$D12=H$3,$C12=0),'bid input'!$F6,0))*H$4</f>
        <v>0</v>
      </c>
      <c r="I12" s="2">
        <f>+IF(AND($E12="Y",$C12=I$2,$C12&gt;0),'bid input'!$F6,IF(AND($E12="Y",$D12=I$3,$C12=0),'bid input'!$F6,0))*I$4</f>
        <v>0</v>
      </c>
      <c r="J12" s="2">
        <f>+IF(AND($E12="Y",$C12=J$2,$C12&gt;0),'bid input'!$F6,IF(AND($E12="Y",$D12=J$3,$C12=0),'bid input'!$F6,0))*J$4</f>
        <v>105080</v>
      </c>
      <c r="K12" s="2">
        <f>+IF(AND($E12="Y",$C12=K$2,$C12&gt;0),'bid input'!$F6,IF(AND($E12="Y",$D12=K$3,$C12=0),'bid input'!$F6,0))*K$4</f>
        <v>0</v>
      </c>
      <c r="L12" s="2">
        <f>+IF(AND($E12="Y",$C12=L$2,$C12&gt;0),'bid input'!$F6,IF(AND($E12="Y",$D12=L$3,$C12=0),'bid input'!$F6,0))*L$4</f>
        <v>0</v>
      </c>
      <c r="M12" s="2">
        <f t="shared" si="0"/>
        <v>105080</v>
      </c>
    </row>
    <row r="13" spans="1:13" hidden="1" outlineLevel="1">
      <c r="B13">
        <f>+'bid input'!B7</f>
        <v>1104138</v>
      </c>
      <c r="C13" s="9">
        <f>+'bid input'!H7</f>
        <v>0</v>
      </c>
      <c r="D13">
        <f>+'bid input'!I7</f>
        <v>0</v>
      </c>
      <c r="E13" s="17" t="str">
        <f>+IF('bid input'!O7=1,"Y","N")</f>
        <v>N</v>
      </c>
      <c r="F13" s="4">
        <f>+'bid input'!K7</f>
        <v>2.1250000000000002E-2</v>
      </c>
      <c r="G13" s="2">
        <f>+IF(AND($E13="Y",$C13=G$2,$C13&gt;0),'bid input'!$F7,IF(AND($E13="Y",$D13=G$3,$C13=0),'bid input'!$F7,0))*G$4</f>
        <v>0</v>
      </c>
      <c r="H13" s="2">
        <f>+IF(AND($E13="Y",$C13=H$2,$C13&gt;0),'bid input'!$F7,IF(AND($E13="Y",$D13=H$3,$C13=0),'bid input'!$F7,0))*H$4</f>
        <v>0</v>
      </c>
      <c r="I13" s="2">
        <f>+IF(AND($E13="Y",$C13=I$2,$C13&gt;0),'bid input'!$F7,IF(AND($E13="Y",$D13=I$3,$C13=0),'bid input'!$F7,0))*I$4</f>
        <v>0</v>
      </c>
      <c r="J13" s="2">
        <f>+IF(AND($E13="Y",$C13=J$2,$C13&gt;0),'bid input'!$F7,IF(AND($E13="Y",$D13=J$3,$C13=0),'bid input'!$F7,0))*J$4</f>
        <v>0</v>
      </c>
      <c r="K13" s="2">
        <f>+IF(AND($E13="Y",$C13=K$2,$C13&gt;0),'bid input'!$F7,IF(AND($E13="Y",$D13=K$3,$C13=0),'bid input'!$F7,0))*K$4</f>
        <v>0</v>
      </c>
      <c r="L13" s="2">
        <f>+IF(AND($E13="Y",$C13=L$2,$C13&gt;0),'bid input'!$F7,IF(AND($E13="Y",$D13=L$3,$C13=0),'bid input'!$F7,0))*L$4</f>
        <v>0</v>
      </c>
      <c r="M13" s="2">
        <f t="shared" si="0"/>
        <v>0</v>
      </c>
    </row>
    <row r="14" spans="1:13" hidden="1" outlineLevel="1">
      <c r="B14">
        <f>+'bid input'!B8</f>
        <v>1104139</v>
      </c>
      <c r="C14" s="9">
        <f>+'bid input'!H8</f>
        <v>0</v>
      </c>
      <c r="D14">
        <f>+'bid input'!I8</f>
        <v>0</v>
      </c>
      <c r="E14" s="17" t="str">
        <f>+IF('bid input'!O8=1,"Y","N")</f>
        <v>N</v>
      </c>
      <c r="F14" s="4">
        <f>+'bid input'!K8</f>
        <v>2.2499999999999999E-2</v>
      </c>
      <c r="G14" s="2">
        <f>+IF(AND($E14="Y",$C14=G$2,$C14&gt;0),'bid input'!$F8,IF(AND($E14="Y",$D14=G$3,$C14=0),'bid input'!$F8,0))*G$4</f>
        <v>0</v>
      </c>
      <c r="H14" s="2">
        <f>+IF(AND($E14="Y",$C14=H$2,$C14&gt;0),'bid input'!$F8,IF(AND($E14="Y",$D14=H$3,$C14=0),'bid input'!$F8,0))*H$4</f>
        <v>0</v>
      </c>
      <c r="I14" s="2">
        <f>+IF(AND($E14="Y",$C14=I$2,$C14&gt;0),'bid input'!$F8,IF(AND($E14="Y",$D14=I$3,$C14=0),'bid input'!$F8,0))*I$4</f>
        <v>0</v>
      </c>
      <c r="J14" s="2">
        <f>+IF(AND($E14="Y",$C14=J$2,$C14&gt;0),'bid input'!$F8,IF(AND($E14="Y",$D14=J$3,$C14=0),'bid input'!$F8,0))*J$4</f>
        <v>0</v>
      </c>
      <c r="K14" s="2">
        <f>+IF(AND($E14="Y",$C14=K$2,$C14&gt;0),'bid input'!$F8,IF(AND($E14="Y",$D14=K$3,$C14=0),'bid input'!$F8,0))*K$4</f>
        <v>0</v>
      </c>
      <c r="L14" s="2">
        <f>+IF(AND($E14="Y",$C14=L$2,$C14&gt;0),'bid input'!$F8,IF(AND($E14="Y",$D14=L$3,$C14=0),'bid input'!$F8,0))*L$4</f>
        <v>0</v>
      </c>
      <c r="M14" s="2">
        <f t="shared" si="0"/>
        <v>0</v>
      </c>
    </row>
    <row r="15" spans="1:13" hidden="1" outlineLevel="1">
      <c r="B15">
        <f>+'bid input'!B9</f>
        <v>1104140</v>
      </c>
      <c r="C15" s="9">
        <f>+'bid input'!H9</f>
        <v>5</v>
      </c>
      <c r="D15">
        <f>+'bid input'!I9</f>
        <v>0</v>
      </c>
      <c r="E15" s="17" t="str">
        <f>+IF('bid input'!O9=1,"Y","N")</f>
        <v>Y</v>
      </c>
      <c r="F15" s="4">
        <f>+'bid input'!K9</f>
        <v>2.5000000000000001E-2</v>
      </c>
      <c r="G15" s="2">
        <f>+IF(AND($E15="Y",$C15=G$2,$C15&gt;0),'bid input'!$F9,IF(AND($E15="Y",$D15=G$3,$C15=0),'bid input'!$F9,0))*G$4</f>
        <v>0</v>
      </c>
      <c r="H15" s="2">
        <f>+IF(AND($E15="Y",$C15=H$2,$C15&gt;0),'bid input'!$F9,IF(AND($E15="Y",$D15=H$3,$C15=0),'bid input'!$F9,0))*H$4</f>
        <v>0</v>
      </c>
      <c r="I15" s="2">
        <f>+IF(AND($E15="Y",$C15=I$2,$C15&gt;0),'bid input'!$F9,IF(AND($E15="Y",$D15=I$3,$C15=0),'bid input'!$F9,0))*I$4</f>
        <v>0</v>
      </c>
      <c r="J15" s="2">
        <f>+IF(AND($E15="Y",$C15=J$2,$C15&gt;0),'bid input'!$F9,IF(AND($E15="Y",$D15=J$3,$C15=0),'bid input'!$F9,0))*J$4</f>
        <v>0</v>
      </c>
      <c r="K15" s="2">
        <f>+IF(AND($E15="Y",$C15=K$2,$C15&gt;0),'bid input'!$F9,IF(AND($E15="Y",$D15=K$3,$C15=0),'bid input'!$F9,0))*K$4</f>
        <v>103085</v>
      </c>
      <c r="L15" s="2">
        <f>+IF(AND($E15="Y",$C15=L$2,$C15&gt;0),'bid input'!$F9,IF(AND($E15="Y",$D15=L$3,$C15=0),'bid input'!$F9,0))*L$4</f>
        <v>0</v>
      </c>
      <c r="M15" s="2">
        <f t="shared" si="0"/>
        <v>103085</v>
      </c>
    </row>
    <row r="16" spans="1:13" hidden="1" outlineLevel="1">
      <c r="B16">
        <f>+'bid input'!B10</f>
        <v>1104141</v>
      </c>
      <c r="C16" s="9">
        <f>+'bid input'!H10</f>
        <v>0</v>
      </c>
      <c r="D16">
        <f>+'bid input'!I10</f>
        <v>0</v>
      </c>
      <c r="E16" s="17" t="str">
        <f>+IF('bid input'!O10=1,"Y","N")</f>
        <v>N</v>
      </c>
      <c r="F16" s="4">
        <f>+'bid input'!K10</f>
        <v>2.5000000000000001E-2</v>
      </c>
      <c r="G16" s="2">
        <f>+IF(AND($E16="Y",$C16=G$2,$C16&gt;0),'bid input'!$F10,IF(AND($E16="Y",$D16=G$3,$C16=0),'bid input'!$F10,0))*G$4</f>
        <v>0</v>
      </c>
      <c r="H16" s="2">
        <f>+IF(AND($E16="Y",$C16=H$2,$C16&gt;0),'bid input'!$F10,IF(AND($E16="Y",$D16=H$3,$C16=0),'bid input'!$F10,0))*H$4</f>
        <v>0</v>
      </c>
      <c r="I16" s="2">
        <f>+IF(AND($E16="Y",$C16=I$2,$C16&gt;0),'bid input'!$F10,IF(AND($E16="Y",$D16=I$3,$C16=0),'bid input'!$F10,0))*I$4</f>
        <v>0</v>
      </c>
      <c r="J16" s="2">
        <f>+IF(AND($E16="Y",$C16=J$2,$C16&gt;0),'bid input'!$F10,IF(AND($E16="Y",$D16=J$3,$C16=0),'bid input'!$F10,0))*J$4</f>
        <v>0</v>
      </c>
      <c r="K16" s="2">
        <f>+IF(AND($E16="Y",$C16=K$2,$C16&gt;0),'bid input'!$F10,IF(AND($E16="Y",$D16=K$3,$C16=0),'bid input'!$F10,0))*K$4</f>
        <v>0</v>
      </c>
      <c r="L16" s="2">
        <f>+IF(AND($E16="Y",$C16=L$2,$C16&gt;0),'bid input'!$F10,IF(AND($E16="Y",$D16=L$3,$C16=0),'bid input'!$F10,0))*L$4</f>
        <v>0</v>
      </c>
      <c r="M16" s="2">
        <f t="shared" si="0"/>
        <v>0</v>
      </c>
    </row>
    <row r="17" spans="2:13" hidden="1" outlineLevel="1">
      <c r="B17">
        <f>+'bid input'!B11</f>
        <v>1104159</v>
      </c>
      <c r="C17" s="9">
        <f>+'bid input'!H11</f>
        <v>1</v>
      </c>
      <c r="D17">
        <f>+'bid input'!I11</f>
        <v>0</v>
      </c>
      <c r="E17" s="17" t="str">
        <f>+IF('bid input'!O11=1,"Y","N")</f>
        <v>N</v>
      </c>
      <c r="F17" s="4">
        <f>+'bid input'!K11</f>
        <v>0</v>
      </c>
      <c r="G17" s="2">
        <f>+IF(AND($E17="Y",$C17=G$2,$C17&gt;0),'bid input'!$F11,IF(AND($E17="Y",$D17=G$3,$C17=0),'bid input'!$F11,0))*G$4</f>
        <v>0</v>
      </c>
      <c r="H17" s="2">
        <f>+IF(AND($E17="Y",$C17=H$2,$C17&gt;0),'bid input'!$F11,IF(AND($E17="Y",$D17=H$3,$C17=0),'bid input'!$F11,0))*H$4</f>
        <v>0</v>
      </c>
      <c r="I17" s="2">
        <f>+IF(AND($E17="Y",$C17=I$2,$C17&gt;0),'bid input'!$F11,IF(AND($E17="Y",$D17=I$3,$C17=0),'bid input'!$F11,0))*I$4</f>
        <v>0</v>
      </c>
      <c r="J17" s="2">
        <f>+IF(AND($E17="Y",$C17=J$2,$C17&gt;0),'bid input'!$F11,IF(AND($E17="Y",$D17=J$3,$C17=0),'bid input'!$F11,0))*J$4</f>
        <v>0</v>
      </c>
      <c r="K17" s="2">
        <f>+IF(AND($E17="Y",$C17=K$2,$C17&gt;0),'bid input'!$F11,IF(AND($E17="Y",$D17=K$3,$C17=0),'bid input'!$F11,0))*K$4</f>
        <v>0</v>
      </c>
      <c r="L17" s="2">
        <f>+IF(AND($E17="Y",$C17=L$2,$C17&gt;0),'bid input'!$F11,IF(AND($E17="Y",$D17=L$3,$C17=0),'bid input'!$F11,0))*L$4</f>
        <v>0</v>
      </c>
      <c r="M17" s="2">
        <f t="shared" si="0"/>
        <v>0</v>
      </c>
    </row>
    <row r="18" spans="2:13" hidden="1" outlineLevel="1">
      <c r="B18">
        <f>+'bid input'!B12</f>
        <v>1104161</v>
      </c>
      <c r="C18" s="9">
        <f>+'bid input'!H12</f>
        <v>4</v>
      </c>
      <c r="D18">
        <f>+'bid input'!I12</f>
        <v>0</v>
      </c>
      <c r="E18" s="17" t="str">
        <f>+IF('bid input'!O12=1,"Y","N")</f>
        <v>N</v>
      </c>
      <c r="F18" s="4">
        <f>+'bid input'!K12</f>
        <v>0</v>
      </c>
      <c r="G18" s="2">
        <f>+IF(AND($E18="Y",$C18=G$2,$C18&gt;0),'bid input'!$F12,IF(AND($E18="Y",$D18=G$3,$C18=0),'bid input'!$F12,0))*G$4</f>
        <v>0</v>
      </c>
      <c r="H18" s="2">
        <f>+IF(AND($E18="Y",$C18=H$2,$C18&gt;0),'bid input'!$F12,IF(AND($E18="Y",$D18=H$3,$C18=0),'bid input'!$F12,0))*H$4</f>
        <v>0</v>
      </c>
      <c r="I18" s="2">
        <f>+IF(AND($E18="Y",$C18=I$2,$C18&gt;0),'bid input'!$F12,IF(AND($E18="Y",$D18=I$3,$C18=0),'bid input'!$F12,0))*I$4</f>
        <v>0</v>
      </c>
      <c r="J18" s="2">
        <f>+IF(AND($E18="Y",$C18=J$2,$C18&gt;0),'bid input'!$F12,IF(AND($E18="Y",$D18=J$3,$C18=0),'bid input'!$F12,0))*J$4</f>
        <v>0</v>
      </c>
      <c r="K18" s="2">
        <f>+IF(AND($E18="Y",$C18=K$2,$C18&gt;0),'bid input'!$F12,IF(AND($E18="Y",$D18=K$3,$C18=0),'bid input'!$F12,0))*K$4</f>
        <v>0</v>
      </c>
      <c r="L18" s="2">
        <f>+IF(AND($E18="Y",$C18=L$2,$C18&gt;0),'bid input'!$F12,IF(AND($E18="Y",$D18=L$3,$C18=0),'bid input'!$F12,0))*L$4</f>
        <v>0</v>
      </c>
      <c r="M18" s="2">
        <f t="shared" si="0"/>
        <v>0</v>
      </c>
    </row>
    <row r="19" spans="2:13" hidden="1" outlineLevel="1">
      <c r="B19">
        <f>+'bid input'!B13</f>
        <v>1104145</v>
      </c>
      <c r="C19" s="9">
        <f>+'bid input'!H13</f>
        <v>1</v>
      </c>
      <c r="D19">
        <f>+'bid input'!I13</f>
        <v>0</v>
      </c>
      <c r="E19" s="17" t="str">
        <f>+IF('bid input'!O13=1,"Y","N")</f>
        <v>Y</v>
      </c>
      <c r="F19" s="4">
        <f>+'bid input'!K13</f>
        <v>1.4999999999999999E-2</v>
      </c>
      <c r="G19" s="2">
        <f>+IF(AND($E19="Y",$C19=G$2,$C19&gt;0),'bid input'!$F13,IF(AND($E19="Y",$D19=G$3,$C19=0),'bid input'!$F13,0))*G$4</f>
        <v>31872.5</v>
      </c>
      <c r="H19" s="2">
        <f>+IF(AND($E19="Y",$C19=H$2,$C19&gt;0),'bid input'!$F13,IF(AND($E19="Y",$D19=H$3,$C19=0),'bid input'!$F13,0))*H$4</f>
        <v>0</v>
      </c>
      <c r="I19" s="2">
        <f>+IF(AND($E19="Y",$C19=I$2,$C19&gt;0),'bid input'!$F13,IF(AND($E19="Y",$D19=I$3,$C19=0),'bid input'!$F13,0))*I$4</f>
        <v>0</v>
      </c>
      <c r="J19" s="2">
        <f>+IF(AND($E19="Y",$C19=J$2,$C19&gt;0),'bid input'!$F13,IF(AND($E19="Y",$D19=J$3,$C19=0),'bid input'!$F13,0))*J$4</f>
        <v>0</v>
      </c>
      <c r="K19" s="2">
        <f>+IF(AND($E19="Y",$C19=K$2,$C19&gt;0),'bid input'!$F13,IF(AND($E19="Y",$D19=K$3,$C19=0),'bid input'!$F13,0))*K$4</f>
        <v>0</v>
      </c>
      <c r="L19" s="2">
        <f>+IF(AND($E19="Y",$C19=L$2,$C19&gt;0),'bid input'!$F13,IF(AND($E19="Y",$D19=L$3,$C19=0),'bid input'!$F13,0))*L$4</f>
        <v>0</v>
      </c>
      <c r="M19" s="2">
        <f t="shared" si="0"/>
        <v>31872.5</v>
      </c>
    </row>
    <row r="20" spans="2:13" hidden="1" outlineLevel="1">
      <c r="B20">
        <f>+'bid input'!B14</f>
        <v>1104133</v>
      </c>
      <c r="C20" s="9">
        <f>+'bid input'!H14</f>
        <v>4</v>
      </c>
      <c r="D20">
        <f>+'bid input'!I14</f>
        <v>0</v>
      </c>
      <c r="E20" s="17" t="str">
        <f>+IF('bid input'!O14=1,"Y","N")</f>
        <v>Y</v>
      </c>
      <c r="F20" s="4">
        <f>+'bid input'!K14</f>
        <v>0.04</v>
      </c>
      <c r="G20" s="2">
        <f>+IF(AND($E20="Y",$C20=G$2,$C20&gt;0),'bid input'!$F14,IF(AND($E20="Y",$D20=G$3,$C20=0),'bid input'!$F14,0))*G$4</f>
        <v>0</v>
      </c>
      <c r="H20" s="2">
        <f>+IF(AND($E20="Y",$C20=H$2,$C20&gt;0),'bid input'!$F14,IF(AND($E20="Y",$D20=H$3,$C20=0),'bid input'!$F14,0))*H$4</f>
        <v>0</v>
      </c>
      <c r="I20" s="2">
        <f>+IF(AND($E20="Y",$C20=I$2,$C20&gt;0),'bid input'!$F14,IF(AND($E20="Y",$D20=I$3,$C20=0),'bid input'!$F14,0))*I$4</f>
        <v>0</v>
      </c>
      <c r="J20" s="2">
        <f>+IF(AND($E20="Y",$C20=J$2,$C20&gt;0),'bid input'!$F14,IF(AND($E20="Y",$D20=J$3,$C20=0),'bid input'!$F14,0))*J$4</f>
        <v>105080</v>
      </c>
      <c r="K20" s="2">
        <f>+IF(AND($E20="Y",$C20=K$2,$C20&gt;0),'bid input'!$F14,IF(AND($E20="Y",$D20=K$3,$C20=0),'bid input'!$F14,0))*K$4</f>
        <v>0</v>
      </c>
      <c r="L20" s="2">
        <f>+IF(AND($E20="Y",$C20=L$2,$C20&gt;0),'bid input'!$F14,IF(AND($E20="Y",$D20=L$3,$C20=0),'bid input'!$F14,0))*L$4</f>
        <v>0</v>
      </c>
      <c r="M20" s="2">
        <f t="shared" si="0"/>
        <v>105080</v>
      </c>
    </row>
    <row r="21" spans="2:13" hidden="1" outlineLevel="1">
      <c r="B21">
        <f>+'bid input'!B15</f>
        <v>1104149</v>
      </c>
      <c r="C21" s="9">
        <f>+'bid input'!H15</f>
        <v>5</v>
      </c>
      <c r="D21">
        <f>+'bid input'!I15</f>
        <v>0</v>
      </c>
      <c r="E21" s="17" t="str">
        <f>+IF('bid input'!O15=1,"Y","N")</f>
        <v>N</v>
      </c>
      <c r="F21" s="4">
        <f>+'bid input'!K15</f>
        <v>0</v>
      </c>
      <c r="G21" s="2">
        <f>+IF(AND($E21="Y",$C21=G$2,$C21&gt;0),'bid input'!$F15,IF(AND($E21="Y",$D21=G$3,$C21=0),'bid input'!$F15,0))*G$4</f>
        <v>0</v>
      </c>
      <c r="H21" s="2">
        <f>+IF(AND($E21="Y",$C21=H$2,$C21&gt;0),'bid input'!$F15,IF(AND($E21="Y",$D21=H$3,$C21=0),'bid input'!$F15,0))*H$4</f>
        <v>0</v>
      </c>
      <c r="I21" s="2">
        <f>+IF(AND($E21="Y",$C21=I$2,$C21&gt;0),'bid input'!$F15,IF(AND($E21="Y",$D21=I$3,$C21=0),'bid input'!$F15,0))*I$4</f>
        <v>0</v>
      </c>
      <c r="J21" s="2">
        <f>+IF(AND($E21="Y",$C21=J$2,$C21&gt;0),'bid input'!$F15,IF(AND($E21="Y",$D21=J$3,$C21=0),'bid input'!$F15,0))*J$4</f>
        <v>0</v>
      </c>
      <c r="K21" s="2">
        <f>+IF(AND($E21="Y",$C21=K$2,$C21&gt;0),'bid input'!$F15,IF(AND($E21="Y",$D21=K$3,$C21=0),'bid input'!$F15,0))*K$4</f>
        <v>0</v>
      </c>
      <c r="L21" s="2">
        <f>+IF(AND($E21="Y",$C21=L$2,$C21&gt;0),'bid input'!$F15,IF(AND($E21="Y",$D21=L$3,$C21=0),'bid input'!$F15,0))*L$4</f>
        <v>0</v>
      </c>
      <c r="M21" s="2">
        <f t="shared" si="0"/>
        <v>0</v>
      </c>
    </row>
    <row r="22" spans="2:13" hidden="1" outlineLevel="1">
      <c r="B22">
        <f>+'bid input'!B16</f>
        <v>1104151</v>
      </c>
      <c r="C22" s="9">
        <f>+'bid input'!H16</f>
        <v>1</v>
      </c>
      <c r="D22">
        <f>+'bid input'!I16</f>
        <v>0</v>
      </c>
      <c r="E22" s="17" t="str">
        <f>+IF('bid input'!O16=1,"Y","N")</f>
        <v>N</v>
      </c>
      <c r="F22" s="4">
        <f>+'bid input'!K16</f>
        <v>0</v>
      </c>
      <c r="G22" s="2">
        <f>+IF(AND($E22="Y",$C22=G$2,$C22&gt;0),'bid input'!$F16,IF(AND($E22="Y",$D22=G$3,$C22=0),'bid input'!$F16,0))*G$4</f>
        <v>0</v>
      </c>
      <c r="H22" s="2">
        <f>+IF(AND($E22="Y",$C22=H$2,$C22&gt;0),'bid input'!$F16,IF(AND($E22="Y",$D22=H$3,$C22=0),'bid input'!$F16,0))*H$4</f>
        <v>0</v>
      </c>
      <c r="I22" s="2">
        <f>+IF(AND($E22="Y",$C22=I$2,$C22&gt;0),'bid input'!$F16,IF(AND($E22="Y",$D22=I$3,$C22=0),'bid input'!$F16,0))*I$4</f>
        <v>0</v>
      </c>
      <c r="J22" s="2">
        <f>+IF(AND($E22="Y",$C22=J$2,$C22&gt;0),'bid input'!$F16,IF(AND($E22="Y",$D22=J$3,$C22=0),'bid input'!$F16,0))*J$4</f>
        <v>0</v>
      </c>
      <c r="K22" s="2">
        <f>+IF(AND($E22="Y",$C22=K$2,$C22&gt;0),'bid input'!$F16,IF(AND($E22="Y",$D22=K$3,$C22=0),'bid input'!$F16,0))*K$4</f>
        <v>0</v>
      </c>
      <c r="L22" s="2">
        <f>+IF(AND($E22="Y",$C22=L$2,$C22&gt;0),'bid input'!$F16,IF(AND($E22="Y",$D22=L$3,$C22=0),'bid input'!$F16,0))*L$4</f>
        <v>0</v>
      </c>
      <c r="M22" s="2">
        <f t="shared" si="0"/>
        <v>0</v>
      </c>
    </row>
    <row r="23" spans="2:13" hidden="1" outlineLevel="1">
      <c r="B23">
        <f>+'bid input'!B17</f>
        <v>1104131</v>
      </c>
      <c r="C23" s="9">
        <f>+'bid input'!H17</f>
        <v>0</v>
      </c>
      <c r="D23">
        <f>+'bid input'!I17</f>
        <v>0</v>
      </c>
      <c r="E23" s="17" t="str">
        <f>+IF('bid input'!O17=1,"Y","N")</f>
        <v>N</v>
      </c>
      <c r="F23" s="4">
        <f>+'bid input'!K17</f>
        <v>0</v>
      </c>
      <c r="G23" s="2">
        <f>+IF(AND($E23="Y",$C23=G$2,$C23&gt;0),'bid input'!$F17,IF(AND($E23="Y",$D23=G$3,$C23=0),'bid input'!$F17,0))*G$4</f>
        <v>0</v>
      </c>
      <c r="H23" s="2">
        <f>+IF(AND($E23="Y",$C23=H$2,$C23&gt;0),'bid input'!$F17,IF(AND($E23="Y",$D23=H$3,$C23=0),'bid input'!$F17,0))*H$4</f>
        <v>0</v>
      </c>
      <c r="I23" s="2">
        <f>+IF(AND($E23="Y",$C23=I$2,$C23&gt;0),'bid input'!$F17,IF(AND($E23="Y",$D23=I$3,$C23=0),'bid input'!$F17,0))*I$4</f>
        <v>0</v>
      </c>
      <c r="J23" s="2">
        <f>+IF(AND($E23="Y",$C23=J$2,$C23&gt;0),'bid input'!$F17,IF(AND($E23="Y",$D23=J$3,$C23=0),'bid input'!$F17,0))*J$4</f>
        <v>0</v>
      </c>
      <c r="K23" s="2">
        <f>+IF(AND($E23="Y",$C23=K$2,$C23&gt;0),'bid input'!$F17,IF(AND($E23="Y",$D23=K$3,$C23=0),'bid input'!$F17,0))*K$4</f>
        <v>0</v>
      </c>
      <c r="L23" s="2">
        <f>+IF(AND($E23="Y",$C23=L$2,$C23&gt;0),'bid input'!$F17,IF(AND($E23="Y",$D23=L$3,$C23=0),'bid input'!$F17,0))*L$4</f>
        <v>0</v>
      </c>
      <c r="M23" s="2">
        <f t="shared" si="0"/>
        <v>0</v>
      </c>
    </row>
    <row r="24" spans="2:13" hidden="1" outlineLevel="1">
      <c r="B24">
        <f>+'bid input'!B18</f>
        <v>1104155</v>
      </c>
      <c r="C24" s="9">
        <f>+'bid input'!H18</f>
        <v>0</v>
      </c>
      <c r="D24" t="str">
        <f>+'bid input'!I18</f>
        <v>Best Loans Inc</v>
      </c>
      <c r="E24" s="17" t="str">
        <f>+IF('bid input'!O18=1,"Y","N")</f>
        <v>Y</v>
      </c>
      <c r="F24" s="4">
        <f>+'bid input'!K18</f>
        <v>2.1250000000000002E-2</v>
      </c>
      <c r="G24" s="2">
        <f>+IF(AND($E24="Y",$C24=G$2,$C24&gt;0),'bid input'!$F18,IF(AND($E24="Y",$D24=G$3,$C24=0),'bid input'!$F18,0))*G$4</f>
        <v>0</v>
      </c>
      <c r="H24" s="2">
        <f>+IF(AND($E24="Y",$C24=H$2,$C24&gt;0),'bid input'!$F18,IF(AND($E24="Y",$D24=H$3,$C24=0),'bid input'!$F18,0))*H$4</f>
        <v>0</v>
      </c>
      <c r="I24" s="2">
        <f>+IF(AND($E24="Y",$C24=I$2,$C24&gt;0),'bid input'!$F18,IF(AND($E24="Y",$D24=I$3,$C24=0),'bid input'!$F18,0))*I$4</f>
        <v>0</v>
      </c>
      <c r="J24" s="2">
        <f>+IF(AND($E24="Y",$C24=J$2,$C24&gt;0),'bid input'!$F18,IF(AND($E24="Y",$D24=J$3,$C24=0),'bid input'!$F18,0))*J$4</f>
        <v>0</v>
      </c>
      <c r="K24" s="2">
        <f>+IF(AND($E24="Y",$C24=K$2,$C24&gt;0),'bid input'!$F18,IF(AND($E24="Y",$D24=K$3,$C24=0),'bid input'!$F18,0))*K$4</f>
        <v>103085</v>
      </c>
      <c r="L24" s="2">
        <f>+IF(AND($E24="Y",$C24=L$2,$C24&gt;0),'bid input'!$F18,IF(AND($E24="Y",$D24=L$3,$C24=0),'bid input'!$F18,0))*L$4</f>
        <v>0</v>
      </c>
      <c r="M24" s="2">
        <f t="shared" si="0"/>
        <v>103085</v>
      </c>
    </row>
    <row r="25" spans="2:13" hidden="1" outlineLevel="1">
      <c r="B25">
        <f>+'bid input'!B19</f>
        <v>1104156</v>
      </c>
      <c r="C25" s="9">
        <f>+'bid input'!H19</f>
        <v>2</v>
      </c>
      <c r="D25">
        <f>+'bid input'!I19</f>
        <v>0</v>
      </c>
      <c r="E25" s="17" t="str">
        <f>+IF('bid input'!O19=1,"Y","N")</f>
        <v>N</v>
      </c>
      <c r="F25" s="4">
        <f>+'bid input'!K19</f>
        <v>0</v>
      </c>
      <c r="G25" s="2">
        <f>+IF(AND($E25="Y",$C25=G$2,$C25&gt;0),'bid input'!$F19,IF(AND($E25="Y",$D25=G$3,$C25=0),'bid input'!$F19,0))*G$4</f>
        <v>0</v>
      </c>
      <c r="H25" s="2">
        <f>+IF(AND($E25="Y",$C25=H$2,$C25&gt;0),'bid input'!$F19,IF(AND($E25="Y",$D25=H$3,$C25=0),'bid input'!$F19,0))*H$4</f>
        <v>0</v>
      </c>
      <c r="I25" s="2">
        <f>+IF(AND($E25="Y",$C25=I$2,$C25&gt;0),'bid input'!$F19,IF(AND($E25="Y",$D25=I$3,$C25=0),'bid input'!$F19,0))*I$4</f>
        <v>0</v>
      </c>
      <c r="J25" s="2">
        <f>+IF(AND($E25="Y",$C25=J$2,$C25&gt;0),'bid input'!$F19,IF(AND($E25="Y",$D25=J$3,$C25=0),'bid input'!$F19,0))*J$4</f>
        <v>0</v>
      </c>
      <c r="K25" s="2">
        <f>+IF(AND($E25="Y",$C25=K$2,$C25&gt;0),'bid input'!$F19,IF(AND($E25="Y",$D25=K$3,$C25=0),'bid input'!$F19,0))*K$4</f>
        <v>0</v>
      </c>
      <c r="L25" s="2">
        <f>+IF(AND($E25="Y",$C25=L$2,$C25&gt;0),'bid input'!$F19,IF(AND($E25="Y",$D25=L$3,$C25=0),'bid input'!$F19,0))*L$4</f>
        <v>0</v>
      </c>
      <c r="M25" s="2">
        <f t="shared" si="0"/>
        <v>0</v>
      </c>
    </row>
    <row r="26" spans="2:13" hidden="1" outlineLevel="1">
      <c r="B26">
        <f>+'bid input'!B20</f>
        <v>1104157</v>
      </c>
      <c r="C26" s="9">
        <f>+'bid input'!H20</f>
        <v>0</v>
      </c>
      <c r="D26">
        <f>+'bid input'!I20</f>
        <v>0</v>
      </c>
      <c r="E26" s="17" t="str">
        <f>+IF('bid input'!O20=1,"Y","N")</f>
        <v>N</v>
      </c>
      <c r="F26" s="4">
        <f>+'bid input'!K20</f>
        <v>0</v>
      </c>
      <c r="G26" s="2">
        <f>+IF(AND($E26="Y",$C26=G$2,$C26&gt;0),'bid input'!$F20,IF(AND($E26="Y",$D26=G$3,$C26=0),'bid input'!$F20,0))*G$4</f>
        <v>0</v>
      </c>
      <c r="H26" s="2">
        <f>+IF(AND($E26="Y",$C26=H$2,$C26&gt;0),'bid input'!$F20,IF(AND($E26="Y",$D26=H$3,$C26=0),'bid input'!$F20,0))*H$4</f>
        <v>0</v>
      </c>
      <c r="I26" s="2">
        <f>+IF(AND($E26="Y",$C26=I$2,$C26&gt;0),'bid input'!$F20,IF(AND($E26="Y",$D26=I$3,$C26=0),'bid input'!$F20,0))*I$4</f>
        <v>0</v>
      </c>
      <c r="J26" s="2">
        <f>+IF(AND($E26="Y",$C26=J$2,$C26&gt;0),'bid input'!$F20,IF(AND($E26="Y",$D26=J$3,$C26=0),'bid input'!$F20,0))*J$4</f>
        <v>0</v>
      </c>
      <c r="K26" s="2">
        <f>+IF(AND($E26="Y",$C26=K$2,$C26&gt;0),'bid input'!$F20,IF(AND($E26="Y",$D26=K$3,$C26=0),'bid input'!$F20,0))*K$4</f>
        <v>0</v>
      </c>
      <c r="L26" s="2">
        <f>+IF(AND($E26="Y",$C26=L$2,$C26&gt;0),'bid input'!$F20,IF(AND($E26="Y",$D26=L$3,$C26=0),'bid input'!$F20,0))*L$4</f>
        <v>0</v>
      </c>
      <c r="M26" s="2">
        <f t="shared" si="0"/>
        <v>0</v>
      </c>
    </row>
    <row r="27" spans="2:13" hidden="1" outlineLevel="1">
      <c r="B27">
        <f>+'bid input'!B21</f>
        <v>1104158</v>
      </c>
      <c r="C27" s="9">
        <f>+'bid input'!H21</f>
        <v>1</v>
      </c>
      <c r="D27">
        <f>+'bid input'!I21</f>
        <v>0</v>
      </c>
      <c r="E27" s="17" t="str">
        <f>+IF('bid input'!O21=1,"Y","N")</f>
        <v>Y</v>
      </c>
      <c r="F27" s="4">
        <f>+'bid input'!K21</f>
        <v>2.2499999999999999E-2</v>
      </c>
      <c r="G27" s="2">
        <f>+IF(AND($E27="Y",$C27=G$2,$C27&gt;0),'bid input'!$F21,IF(AND($E27="Y",$D27=G$3,$C27=0),'bid input'!$F21,0))*G$4</f>
        <v>63745</v>
      </c>
      <c r="H27" s="2">
        <f>+IF(AND($E27="Y",$C27=H$2,$C27&gt;0),'bid input'!$F21,IF(AND($E27="Y",$D27=H$3,$C27=0),'bid input'!$F21,0))*H$4</f>
        <v>0</v>
      </c>
      <c r="I27" s="2">
        <f>+IF(AND($E27="Y",$C27=I$2,$C27&gt;0),'bid input'!$F21,IF(AND($E27="Y",$D27=I$3,$C27=0),'bid input'!$F21,0))*I$4</f>
        <v>0</v>
      </c>
      <c r="J27" s="2">
        <f>+IF(AND($E27="Y",$C27=J$2,$C27&gt;0),'bid input'!$F21,IF(AND($E27="Y",$D27=J$3,$C27=0),'bid input'!$F21,0))*J$4</f>
        <v>0</v>
      </c>
      <c r="K27" s="2">
        <f>+IF(AND($E27="Y",$C27=K$2,$C27&gt;0),'bid input'!$F21,IF(AND($E27="Y",$D27=K$3,$C27=0),'bid input'!$F21,0))*K$4</f>
        <v>0</v>
      </c>
      <c r="L27" s="2">
        <f>+IF(AND($E27="Y",$C27=L$2,$C27&gt;0),'bid input'!$F21,IF(AND($E27="Y",$D27=L$3,$C27=0),'bid input'!$F21,0))*L$4</f>
        <v>0</v>
      </c>
      <c r="M27" s="2">
        <f t="shared" si="0"/>
        <v>63745</v>
      </c>
    </row>
    <row r="28" spans="2:13" hidden="1" outlineLevel="1">
      <c r="D28" s="9"/>
      <c r="E28" s="17"/>
      <c r="F28" s="4"/>
      <c r="G28" s="2"/>
      <c r="H28" s="2"/>
      <c r="I28" s="2"/>
      <c r="J28" s="2"/>
      <c r="K28" s="2"/>
      <c r="L28" s="2"/>
    </row>
    <row r="29" spans="2:13" collapsed="1">
      <c r="D29" s="18" t="s">
        <v>71</v>
      </c>
      <c r="E29" s="19"/>
      <c r="F29" s="19"/>
      <c r="G29" s="20">
        <f>SUM(G8:G28)</f>
        <v>95617.5</v>
      </c>
      <c r="H29" s="20">
        <f>SUM(H8:H28)</f>
        <v>0</v>
      </c>
      <c r="I29" s="20">
        <f>SUM(I8:I28)</f>
        <v>95975</v>
      </c>
      <c r="J29" s="20">
        <f>SUM(J8:J28)</f>
        <v>315240</v>
      </c>
      <c r="K29" s="20">
        <f>SUM(K8:K28)</f>
        <v>206170</v>
      </c>
      <c r="L29" s="20">
        <f>SUM(L8:L28)</f>
        <v>0</v>
      </c>
      <c r="M29" s="21">
        <f>SUM(G29:L29)</f>
        <v>713002.5</v>
      </c>
    </row>
    <row r="30" spans="2:13">
      <c r="D30" s="22" t="s">
        <v>3</v>
      </c>
      <c r="E30" s="23"/>
      <c r="F30" s="23"/>
      <c r="G30" s="24">
        <f>+IF(G29&gt;0,SUMPRODUCT($F$8:$F$27,G$8:G$27)/G$29,"")</f>
        <v>0.02</v>
      </c>
      <c r="H30" s="24" t="str">
        <f t="shared" ref="H30:L30" si="1">+IF(H29&gt;0,SUMPRODUCT($F$8:$F$27,H$8:H$27)/H$29,"")</f>
        <v/>
      </c>
      <c r="I30" s="24">
        <f t="shared" si="1"/>
        <v>0.03</v>
      </c>
      <c r="J30" s="24">
        <f t="shared" si="1"/>
        <v>4.3333333333333335E-2</v>
      </c>
      <c r="K30" s="24">
        <f t="shared" si="1"/>
        <v>2.3125E-2</v>
      </c>
      <c r="L30" s="24" t="str">
        <f t="shared" si="1"/>
        <v/>
      </c>
      <c r="M30" s="25">
        <f>+SUMPRODUCT(G29:L29,G30:L30)/M29</f>
        <v>3.2566058674408579E-2</v>
      </c>
    </row>
    <row r="32" spans="2:13">
      <c r="D32" t="s">
        <v>35</v>
      </c>
      <c r="G32" s="2">
        <f>+G4-G29</f>
        <v>223107.5</v>
      </c>
      <c r="H32" s="2">
        <f>+H4-H29</f>
        <v>375685</v>
      </c>
      <c r="I32" s="2">
        <f>+I4-I29</f>
        <v>383900</v>
      </c>
      <c r="J32" s="2">
        <f>+J4-J29</f>
        <v>210160</v>
      </c>
      <c r="K32" s="2">
        <f>+K4-K29</f>
        <v>309255</v>
      </c>
      <c r="L32" s="2">
        <f>+L4-L29</f>
        <v>485000</v>
      </c>
      <c r="M32" s="2">
        <f>SUM(G32:L32)</f>
        <v>1987107.5</v>
      </c>
    </row>
    <row r="33" spans="1:13">
      <c r="D33" t="s">
        <v>36</v>
      </c>
      <c r="G33" s="7" t="str">
        <f>+IF(G32=0,"NA",IF(G32&lt;0,"OVER","UNDER"))</f>
        <v>UNDER</v>
      </c>
      <c r="H33" s="7" t="str">
        <f t="shared" ref="H33" si="2">+IF(H32=0,"NA",IF(H32&lt;0,"OVER","UNDER"))</f>
        <v>UNDER</v>
      </c>
      <c r="I33" s="7" t="str">
        <f t="shared" ref="I33" si="3">+IF(I32=0,"NA",IF(I32&lt;0,"OVER","UNDER"))</f>
        <v>UNDER</v>
      </c>
      <c r="J33" s="7" t="str">
        <f t="shared" ref="J33" si="4">+IF(J32=0,"NA",IF(J32&lt;0,"OVER","UNDER"))</f>
        <v>UNDER</v>
      </c>
      <c r="K33" s="7" t="str">
        <f t="shared" ref="K33" si="5">+IF(K32=0,"NA",IF(K32&lt;0,"OVER","UNDER"))</f>
        <v>UNDER</v>
      </c>
      <c r="L33" s="7" t="str">
        <f t="shared" ref="L33" si="6">+IF(L32=0,"NA",IF(L32&lt;0,"OVER","UNDER"))</f>
        <v>UNDER</v>
      </c>
      <c r="M33" s="7" t="str">
        <f t="shared" ref="M33" si="7">+IF(M32=0,"NA",IF(M32&lt;0,"OVER","UNDER"))</f>
        <v>UNDER</v>
      </c>
    </row>
    <row r="35" spans="1:13">
      <c r="A35" t="s">
        <v>69</v>
      </c>
    </row>
    <row r="36" spans="1:13" ht="30" hidden="1" outlineLevel="1">
      <c r="B36" s="16" t="s">
        <v>31</v>
      </c>
      <c r="C36" s="16" t="s">
        <v>32</v>
      </c>
      <c r="D36" s="16" t="s">
        <v>21</v>
      </c>
      <c r="E36" s="26" t="s">
        <v>37</v>
      </c>
      <c r="F36" s="16" t="s">
        <v>39</v>
      </c>
      <c r="G36" s="27">
        <f>+F27</f>
        <v>2.2499999999999999E-2</v>
      </c>
      <c r="H36" s="27">
        <f>+G36</f>
        <v>2.2499999999999999E-2</v>
      </c>
      <c r="I36" s="27">
        <f>+F11</f>
        <v>0.03</v>
      </c>
      <c r="J36" s="27">
        <f>+F12</f>
        <v>0.06</v>
      </c>
      <c r="K36" s="27">
        <f>+F15</f>
        <v>2.5000000000000001E-2</v>
      </c>
      <c r="L36" s="27">
        <f>+MAX(F8:F27)</f>
        <v>0.06</v>
      </c>
    </row>
    <row r="37" spans="1:13" hidden="1" outlineLevel="1">
      <c r="B37">
        <f>+B8</f>
        <v>1104134</v>
      </c>
      <c r="C37">
        <f>+C8</f>
        <v>0</v>
      </c>
      <c r="D37">
        <f>+D8</f>
        <v>0</v>
      </c>
      <c r="E37" s="17" t="str">
        <f>+IF('bid input'!P2=1,"Y","N")</f>
        <v>N</v>
      </c>
      <c r="F37" s="4"/>
      <c r="G37" s="2">
        <f>+IF(AND($E37="Y",$C37=G$2,$C37&gt;0),'bid input'!$F2,IF(AND($E37="Y",$D37=G$3,$C37=0),'bid input'!$F2,0))*G$4</f>
        <v>0</v>
      </c>
      <c r="H37" s="2">
        <f>+IF(AND($E37="Y",$C37=H$2,$C37&gt;0),'bid input'!$F2,IF(AND($E37="Y",$D37=H$3,$C37=0),'bid input'!$F2,0))*H$4</f>
        <v>0</v>
      </c>
      <c r="I37" s="2">
        <f>+IF(AND($E37="Y",$C37=I$2,$C37&gt;0),'bid input'!$F2,IF(AND($E37="Y",$D37=I$3,$C37=0),'bid input'!$F2,0))*I$4</f>
        <v>0</v>
      </c>
      <c r="J37" s="2">
        <f>+IF(AND($E37="Y",$C37=J$2,$C37&gt;0),'bid input'!$F2,IF(AND($E37="Y",$D37=J$3,$C37=0),'bid input'!$F2,0))*J$4</f>
        <v>0</v>
      </c>
      <c r="K37" s="2">
        <f>+IF(AND($E37="Y",$C37=K$2,$C37&gt;0),'bid input'!$F2,IF(AND($E37="Y",$D37=K$3,$C37=0),'bid input'!$F2,0))*K$4</f>
        <v>0</v>
      </c>
      <c r="L37" s="2">
        <f>+IF(AND($E37="Y",$C37=L$2,$C37&gt;0),'bid input'!$F2,IF(AND($E37="Y",$D37=L$3,$C37=0),'bid input'!$F2,0))*L$4</f>
        <v>0</v>
      </c>
      <c r="M37" s="2">
        <f>SUM(G37:L37)</f>
        <v>0</v>
      </c>
    </row>
    <row r="38" spans="1:13" hidden="1" outlineLevel="1">
      <c r="B38">
        <f>+B9</f>
        <v>1104143</v>
      </c>
      <c r="C38">
        <f>+C9</f>
        <v>0</v>
      </c>
      <c r="D38" t="str">
        <f>+D9</f>
        <v>ABC Mortgage</v>
      </c>
      <c r="E38" s="17" t="str">
        <f>+IF('bid input'!P3=1,"Y","N")</f>
        <v>Y</v>
      </c>
      <c r="F38" s="4"/>
      <c r="G38" s="2">
        <f>+IF(AND($E38="Y",$C38=G$2,$C38&gt;0),'bid input'!$F3,IF(AND($E38="Y",$D38=G$3,$C38=0),'bid input'!$F3,0))*G$4</f>
        <v>63745</v>
      </c>
      <c r="H38" s="2">
        <f>+IF(AND($E38="Y",$C38=H$2,$C38&gt;0),'bid input'!$F3,IF(AND($E38="Y",$D38=H$3,$C38=0),'bid input'!$F3,0))*H$4</f>
        <v>75137</v>
      </c>
      <c r="I38" s="2">
        <f>+IF(AND($E38="Y",$C38=I$2,$C38&gt;0),'bid input'!$F3,IF(AND($E38="Y",$D38=I$3,$C38=0),'bid input'!$F3,0))*I$4</f>
        <v>0</v>
      </c>
      <c r="J38" s="2">
        <f>+IF(AND($E38="Y",$C38=J$2,$C38&gt;0),'bid input'!$F3,IF(AND($E38="Y",$D38=J$3,$C38=0),'bid input'!$F3,0))*J$4</f>
        <v>0</v>
      </c>
      <c r="K38" s="2">
        <f>+IF(AND($E38="Y",$C38=K$2,$C38&gt;0),'bid input'!$F3,IF(AND($E38="Y",$D38=K$3,$C38=0),'bid input'!$F3,0))*K$4</f>
        <v>0</v>
      </c>
      <c r="L38" s="2">
        <f>+IF(AND($E38="Y",$C38=L$2,$C38&gt;0),'bid input'!$F3,IF(AND($E38="Y",$D38=L$3,$C38=0),'bid input'!$F3,0))*L$4</f>
        <v>0</v>
      </c>
      <c r="M38" s="2">
        <f t="shared" ref="M38:M56" si="8">SUM(G38:L38)</f>
        <v>138882</v>
      </c>
    </row>
    <row r="39" spans="1:13" hidden="1" outlineLevel="1">
      <c r="B39">
        <f>+B10</f>
        <v>1104154</v>
      </c>
      <c r="C39">
        <f>+C10</f>
        <v>0</v>
      </c>
      <c r="D39">
        <f>+D10</f>
        <v>0</v>
      </c>
      <c r="E39" s="17" t="str">
        <f>+IF('bid input'!P4=1,"Y","N")</f>
        <v>N</v>
      </c>
      <c r="F39" s="4"/>
      <c r="G39" s="2">
        <f>+IF(AND($E39="Y",$C39=G$2,$C39&gt;0),'bid input'!$F4,IF(AND($E39="Y",$D39=G$3,$C39=0),'bid input'!$F4,0))*G$4</f>
        <v>0</v>
      </c>
      <c r="H39" s="2">
        <f>+IF(AND($E39="Y",$C39=H$2,$C39&gt;0),'bid input'!$F4,IF(AND($E39="Y",$D39=H$3,$C39=0),'bid input'!$F4,0))*H$4</f>
        <v>0</v>
      </c>
      <c r="I39" s="2">
        <f>+IF(AND($E39="Y",$C39=I$2,$C39&gt;0),'bid input'!$F4,IF(AND($E39="Y",$D39=I$3,$C39=0),'bid input'!$F4,0))*I$4</f>
        <v>0</v>
      </c>
      <c r="J39" s="2">
        <f>+IF(AND($E39="Y",$C39=J$2,$C39&gt;0),'bid input'!$F4,IF(AND($E39="Y",$D39=J$3,$C39=0),'bid input'!$F4,0))*J$4</f>
        <v>0</v>
      </c>
      <c r="K39" s="2">
        <f>+IF(AND($E39="Y",$C39=K$2,$C39&gt;0),'bid input'!$F4,IF(AND($E39="Y",$D39=K$3,$C39=0),'bid input'!$F4,0))*K$4</f>
        <v>0</v>
      </c>
      <c r="L39" s="2">
        <f>+IF(AND($E39="Y",$C39=L$2,$C39&gt;0),'bid input'!$F4,IF(AND($E39="Y",$D39=L$3,$C39=0),'bid input'!$F4,0))*L$4</f>
        <v>0</v>
      </c>
      <c r="M39" s="2">
        <f t="shared" si="8"/>
        <v>0</v>
      </c>
    </row>
    <row r="40" spans="1:13" hidden="1" outlineLevel="1">
      <c r="B40">
        <f>+B11</f>
        <v>1104152</v>
      </c>
      <c r="C40">
        <f>+C11</f>
        <v>0</v>
      </c>
      <c r="D40" t="str">
        <f>+D11</f>
        <v>Prime Lending</v>
      </c>
      <c r="E40" s="17" t="str">
        <f>+IF('bid input'!P5=1,"Y","N")</f>
        <v>N</v>
      </c>
      <c r="F40" s="4"/>
      <c r="G40" s="2">
        <f>+IF(AND($E40="Y",$C40=G$2,$C40&gt;0),'bid input'!$F5,IF(AND($E40="Y",$D40=G$3,$C40=0),'bid input'!$F5,0))*G$4</f>
        <v>0</v>
      </c>
      <c r="H40" s="2">
        <f>+IF(AND($E40="Y",$C40=H$2,$C40&gt;0),'bid input'!$F5,IF(AND($E40="Y",$D40=H$3,$C40=0),'bid input'!$F5,0))*H$4</f>
        <v>0</v>
      </c>
      <c r="I40" s="2">
        <f>+IF(AND($E40="Y",$C40=I$2,$C40&gt;0),'bid input'!$F5,IF(AND($E40="Y",$D40=I$3,$C40=0),'bid input'!$F5,0))*I$4</f>
        <v>0</v>
      </c>
      <c r="J40" s="2">
        <f>+IF(AND($E40="Y",$C40=J$2,$C40&gt;0),'bid input'!$F5,IF(AND($E40="Y",$D40=J$3,$C40=0),'bid input'!$F5,0))*J$4</f>
        <v>0</v>
      </c>
      <c r="K40" s="2">
        <f>+IF(AND($E40="Y",$C40=K$2,$C40&gt;0),'bid input'!$F5,IF(AND($E40="Y",$D40=K$3,$C40=0),'bid input'!$F5,0))*K$4</f>
        <v>0</v>
      </c>
      <c r="L40" s="2">
        <f>+IF(AND($E40="Y",$C40=L$2,$C40&gt;0),'bid input'!$F5,IF(AND($E40="Y",$D40=L$3,$C40=0),'bid input'!$F5,0))*L$4</f>
        <v>0</v>
      </c>
      <c r="M40" s="2">
        <f t="shared" si="8"/>
        <v>0</v>
      </c>
    </row>
    <row r="41" spans="1:13" hidden="1" outlineLevel="1">
      <c r="B41">
        <f>+B12</f>
        <v>1104136</v>
      </c>
      <c r="C41">
        <f>+C12</f>
        <v>4</v>
      </c>
      <c r="D41">
        <f>+D12</f>
        <v>0</v>
      </c>
      <c r="E41" s="17" t="str">
        <f>+IF('bid input'!P6=1,"Y","N")</f>
        <v>N</v>
      </c>
      <c r="F41" s="4"/>
      <c r="G41" s="2">
        <f>+IF(AND($E41="Y",$C41=G$2,$C41&gt;0),'bid input'!$F6,IF(AND($E41="Y",$D41=G$3,$C41=0),'bid input'!$F6,0))*G$4</f>
        <v>0</v>
      </c>
      <c r="H41" s="2">
        <f>+IF(AND($E41="Y",$C41=H$2,$C41&gt;0),'bid input'!$F6,IF(AND($E41="Y",$D41=H$3,$C41=0),'bid input'!$F6,0))*H$4</f>
        <v>0</v>
      </c>
      <c r="I41" s="2">
        <f>+IF(AND($E41="Y",$C41=I$2,$C41&gt;0),'bid input'!$F6,IF(AND($E41="Y",$D41=I$3,$C41=0),'bid input'!$F6,0))*I$4</f>
        <v>0</v>
      </c>
      <c r="J41" s="2">
        <f>+IF(AND($E41="Y",$C41=J$2,$C41&gt;0),'bid input'!$F6,IF(AND($E41="Y",$D41=J$3,$C41=0),'bid input'!$F6,0))*J$4</f>
        <v>0</v>
      </c>
      <c r="K41" s="2">
        <f>+IF(AND($E41="Y",$C41=K$2,$C41&gt;0),'bid input'!$F6,IF(AND($E41="Y",$D41=K$3,$C41=0),'bid input'!$F6,0))*K$4</f>
        <v>0</v>
      </c>
      <c r="L41" s="2">
        <f>+IF(AND($E41="Y",$C41=L$2,$C41&gt;0),'bid input'!$F6,IF(AND($E41="Y",$D41=L$3,$C41=0),'bid input'!$F6,0))*L$4</f>
        <v>0</v>
      </c>
      <c r="M41" s="2">
        <f t="shared" si="8"/>
        <v>0</v>
      </c>
    </row>
    <row r="42" spans="1:13" hidden="1" outlineLevel="1">
      <c r="B42">
        <f>+B13</f>
        <v>1104138</v>
      </c>
      <c r="C42">
        <f>+C13</f>
        <v>0</v>
      </c>
      <c r="D42">
        <f>+D13</f>
        <v>0</v>
      </c>
      <c r="E42" s="17" t="str">
        <f>+IF('bid input'!P7=1,"Y","N")</f>
        <v>N</v>
      </c>
      <c r="F42" s="4"/>
      <c r="G42" s="2">
        <f>+IF(AND($E42="Y",$C42=G$2,$C42&gt;0),'bid input'!$F7,IF(AND($E42="Y",$D42=G$3,$C42=0),'bid input'!$F7,0))*G$4</f>
        <v>0</v>
      </c>
      <c r="H42" s="2">
        <f>+IF(AND($E42="Y",$C42=H$2,$C42&gt;0),'bid input'!$F7,IF(AND($E42="Y",$D42=H$3,$C42=0),'bid input'!$F7,0))*H$4</f>
        <v>0</v>
      </c>
      <c r="I42" s="2">
        <f>+IF(AND($E42="Y",$C42=I$2,$C42&gt;0),'bid input'!$F7,IF(AND($E42="Y",$D42=I$3,$C42=0),'bid input'!$F7,0))*I$4</f>
        <v>0</v>
      </c>
      <c r="J42" s="2">
        <f>+IF(AND($E42="Y",$C42=J$2,$C42&gt;0),'bid input'!$F7,IF(AND($E42="Y",$D42=J$3,$C42=0),'bid input'!$F7,0))*J$4</f>
        <v>0</v>
      </c>
      <c r="K42" s="2">
        <f>+IF(AND($E42="Y",$C42=K$2,$C42&gt;0),'bid input'!$F7,IF(AND($E42="Y",$D42=K$3,$C42=0),'bid input'!$F7,0))*K$4</f>
        <v>0</v>
      </c>
      <c r="L42" s="2">
        <f>+IF(AND($E42="Y",$C42=L$2,$C42&gt;0),'bid input'!$F7,IF(AND($E42="Y",$D42=L$3,$C42=0),'bid input'!$F7,0))*L$4</f>
        <v>0</v>
      </c>
      <c r="M42" s="2">
        <f t="shared" si="8"/>
        <v>0</v>
      </c>
    </row>
    <row r="43" spans="1:13" hidden="1" outlineLevel="1">
      <c r="B43">
        <f>+B14</f>
        <v>1104139</v>
      </c>
      <c r="C43">
        <f>+C14</f>
        <v>0</v>
      </c>
      <c r="D43">
        <f>+D14</f>
        <v>0</v>
      </c>
      <c r="E43" s="17" t="str">
        <f>+IF('bid input'!P8=1,"Y","N")</f>
        <v>N</v>
      </c>
      <c r="F43" s="4"/>
      <c r="G43" s="2">
        <f>+IF(AND($E43="Y",$C43=G$2,$C43&gt;0),'bid input'!$F8,IF(AND($E43="Y",$D43=G$3,$C43=0),'bid input'!$F8,0))*G$4</f>
        <v>0</v>
      </c>
      <c r="H43" s="2">
        <f>+IF(AND($E43="Y",$C43=H$2,$C43&gt;0),'bid input'!$F8,IF(AND($E43="Y",$D43=H$3,$C43=0),'bid input'!$F8,0))*H$4</f>
        <v>0</v>
      </c>
      <c r="I43" s="2">
        <f>+IF(AND($E43="Y",$C43=I$2,$C43&gt;0),'bid input'!$F8,IF(AND($E43="Y",$D43=I$3,$C43=0),'bid input'!$F8,0))*I$4</f>
        <v>0</v>
      </c>
      <c r="J43" s="2">
        <f>+IF(AND($E43="Y",$C43=J$2,$C43&gt;0),'bid input'!$F8,IF(AND($E43="Y",$D43=J$3,$C43=0),'bid input'!$F8,0))*J$4</f>
        <v>0</v>
      </c>
      <c r="K43" s="2">
        <f>+IF(AND($E43="Y",$C43=K$2,$C43&gt;0),'bid input'!$F8,IF(AND($E43="Y",$D43=K$3,$C43=0),'bid input'!$F8,0))*K$4</f>
        <v>0</v>
      </c>
      <c r="L43" s="2">
        <f>+IF(AND($E43="Y",$C43=L$2,$C43&gt;0),'bid input'!$F8,IF(AND($E43="Y",$D43=L$3,$C43=0),'bid input'!$F8,0))*L$4</f>
        <v>0</v>
      </c>
      <c r="M43" s="2">
        <f t="shared" si="8"/>
        <v>0</v>
      </c>
    </row>
    <row r="44" spans="1:13" hidden="1" outlineLevel="1">
      <c r="B44">
        <f>+B15</f>
        <v>1104140</v>
      </c>
      <c r="C44">
        <f>+C15</f>
        <v>5</v>
      </c>
      <c r="D44">
        <f>+D15</f>
        <v>0</v>
      </c>
      <c r="E44" s="17" t="str">
        <f>+IF('bid input'!P9=1,"Y","N")</f>
        <v>N</v>
      </c>
      <c r="F44" s="4"/>
      <c r="G44" s="2">
        <f>+IF(AND($E44="Y",$C44=G$2,$C44&gt;0),'bid input'!$F9,IF(AND($E44="Y",$D44=G$3,$C44=0),'bid input'!$F9,0))*G$4</f>
        <v>0</v>
      </c>
      <c r="H44" s="2">
        <f>+IF(AND($E44="Y",$C44=H$2,$C44&gt;0),'bid input'!$F9,IF(AND($E44="Y",$D44=H$3,$C44=0),'bid input'!$F9,0))*H$4</f>
        <v>0</v>
      </c>
      <c r="I44" s="2">
        <f>+IF(AND($E44="Y",$C44=I$2,$C44&gt;0),'bid input'!$F9,IF(AND($E44="Y",$D44=I$3,$C44=0),'bid input'!$F9,0))*I$4</f>
        <v>0</v>
      </c>
      <c r="J44" s="2">
        <f>+IF(AND($E44="Y",$C44=J$2,$C44&gt;0),'bid input'!$F9,IF(AND($E44="Y",$D44=J$3,$C44=0),'bid input'!$F9,0))*J$4</f>
        <v>0</v>
      </c>
      <c r="K44" s="2">
        <f>+IF(AND($E44="Y",$C44=K$2,$C44&gt;0),'bid input'!$F9,IF(AND($E44="Y",$D44=K$3,$C44=0),'bid input'!$F9,0))*K$4</f>
        <v>0</v>
      </c>
      <c r="L44" s="2">
        <f>+IF(AND($E44="Y",$C44=L$2,$C44&gt;0),'bid input'!$F9,IF(AND($E44="Y",$D44=L$3,$C44=0),'bid input'!$F9,0))*L$4</f>
        <v>0</v>
      </c>
      <c r="M44" s="2">
        <f t="shared" si="8"/>
        <v>0</v>
      </c>
    </row>
    <row r="45" spans="1:13" hidden="1" outlineLevel="1">
      <c r="B45">
        <f>+B16</f>
        <v>1104141</v>
      </c>
      <c r="C45">
        <f>+C16</f>
        <v>0</v>
      </c>
      <c r="D45">
        <f>+D16</f>
        <v>0</v>
      </c>
      <c r="E45" s="17" t="str">
        <f>+IF('bid input'!P10=1,"Y","N")</f>
        <v>N</v>
      </c>
      <c r="F45" s="4"/>
      <c r="G45" s="2">
        <f>+IF(AND($E45="Y",$C45=G$2,$C45&gt;0),'bid input'!$F10,IF(AND($E45="Y",$D45=G$3,$C45=0),'bid input'!$F10,0))*G$4</f>
        <v>0</v>
      </c>
      <c r="H45" s="2">
        <f>+IF(AND($E45="Y",$C45=H$2,$C45&gt;0),'bid input'!$F10,IF(AND($E45="Y",$D45=H$3,$C45=0),'bid input'!$F10,0))*H$4</f>
        <v>0</v>
      </c>
      <c r="I45" s="2">
        <f>+IF(AND($E45="Y",$C45=I$2,$C45&gt;0),'bid input'!$F10,IF(AND($E45="Y",$D45=I$3,$C45=0),'bid input'!$F10,0))*I$4</f>
        <v>0</v>
      </c>
      <c r="J45" s="2">
        <f>+IF(AND($E45="Y",$C45=J$2,$C45&gt;0),'bid input'!$F10,IF(AND($E45="Y",$D45=J$3,$C45=0),'bid input'!$F10,0))*J$4</f>
        <v>0</v>
      </c>
      <c r="K45" s="2">
        <f>+IF(AND($E45="Y",$C45=K$2,$C45&gt;0),'bid input'!$F10,IF(AND($E45="Y",$D45=K$3,$C45=0),'bid input'!$F10,0))*K$4</f>
        <v>0</v>
      </c>
      <c r="L45" s="2">
        <f>+IF(AND($E45="Y",$C45=L$2,$C45&gt;0),'bid input'!$F10,IF(AND($E45="Y",$D45=L$3,$C45=0),'bid input'!$F10,0))*L$4</f>
        <v>0</v>
      </c>
      <c r="M45" s="2">
        <f t="shared" si="8"/>
        <v>0</v>
      </c>
    </row>
    <row r="46" spans="1:13" hidden="1" outlineLevel="1">
      <c r="B46">
        <f>+B17</f>
        <v>1104159</v>
      </c>
      <c r="C46">
        <f>+C17</f>
        <v>1</v>
      </c>
      <c r="D46">
        <f>+D17</f>
        <v>0</v>
      </c>
      <c r="E46" s="17" t="str">
        <f>+IF('bid input'!P11=1,"Y","N")</f>
        <v>Y</v>
      </c>
      <c r="F46" s="4"/>
      <c r="G46" s="2">
        <f>+IF(AND($E46="Y",$C46=G$2,$C46&gt;0),'bid input'!$F11,IF(AND($E46="Y",$D46=G$3,$C46=0),'bid input'!$F11,0))*G$4</f>
        <v>63745</v>
      </c>
      <c r="H46" s="2">
        <f>+IF(AND($E46="Y",$C46=H$2,$C46&gt;0),'bid input'!$F11,IF(AND($E46="Y",$D46=H$3,$C46=0),'bid input'!$F11,0))*H$4</f>
        <v>0</v>
      </c>
      <c r="I46" s="2">
        <f>+IF(AND($E46="Y",$C46=I$2,$C46&gt;0),'bid input'!$F11,IF(AND($E46="Y",$D46=I$3,$C46=0),'bid input'!$F11,0))*I$4</f>
        <v>0</v>
      </c>
      <c r="J46" s="2">
        <f>+IF(AND($E46="Y",$C46=J$2,$C46&gt;0),'bid input'!$F11,IF(AND($E46="Y",$D46=J$3,$C46=0),'bid input'!$F11,0))*J$4</f>
        <v>0</v>
      </c>
      <c r="K46" s="2">
        <f>+IF(AND($E46="Y",$C46=K$2,$C46&gt;0),'bid input'!$F11,IF(AND($E46="Y",$D46=K$3,$C46=0),'bid input'!$F11,0))*K$4</f>
        <v>0</v>
      </c>
      <c r="L46" s="2">
        <f>+IF(AND($E46="Y",$C46=L$2,$C46&gt;0),'bid input'!$F11,IF(AND($E46="Y",$D46=L$3,$C46=0),'bid input'!$F11,0))*L$4</f>
        <v>0</v>
      </c>
      <c r="M46" s="2">
        <f t="shared" si="8"/>
        <v>63745</v>
      </c>
    </row>
    <row r="47" spans="1:13" hidden="1" outlineLevel="1">
      <c r="B47">
        <f>+B18</f>
        <v>1104161</v>
      </c>
      <c r="C47">
        <f>+C18</f>
        <v>4</v>
      </c>
      <c r="D47">
        <f>+D18</f>
        <v>0</v>
      </c>
      <c r="E47" s="17" t="str">
        <f>+IF('bid input'!P12=1,"Y","N")</f>
        <v>Y</v>
      </c>
      <c r="F47" s="4"/>
      <c r="G47" s="2">
        <f>+IF(AND($E47="Y",$C47=G$2,$C47&gt;0),'bid input'!$F12,IF(AND($E47="Y",$D47=G$3,$C47=0),'bid input'!$F12,0))*G$4</f>
        <v>0</v>
      </c>
      <c r="H47" s="2">
        <f>+IF(AND($E47="Y",$C47=H$2,$C47&gt;0),'bid input'!$F12,IF(AND($E47="Y",$D47=H$3,$C47=0),'bid input'!$F12,0))*H$4</f>
        <v>0</v>
      </c>
      <c r="I47" s="2">
        <f>+IF(AND($E47="Y",$C47=I$2,$C47&gt;0),'bid input'!$F12,IF(AND($E47="Y",$D47=I$3,$C47=0),'bid input'!$F12,0))*I$4</f>
        <v>0</v>
      </c>
      <c r="J47" s="2">
        <f>+IF(AND($E47="Y",$C47=J$2,$C47&gt;0),'bid input'!$F12,IF(AND($E47="Y",$D47=J$3,$C47=0),'bid input'!$F12,0))*J$4</f>
        <v>105080</v>
      </c>
      <c r="K47" s="2">
        <f>+IF(AND($E47="Y",$C47=K$2,$C47&gt;0),'bid input'!$F12,IF(AND($E47="Y",$D47=K$3,$C47=0),'bid input'!$F12,0))*K$4</f>
        <v>0</v>
      </c>
      <c r="L47" s="2">
        <f>+IF(AND($E47="Y",$C47=L$2,$C47&gt;0),'bid input'!$F12,IF(AND($E47="Y",$D47=L$3,$C47=0),'bid input'!$F12,0))*L$4</f>
        <v>0</v>
      </c>
      <c r="M47" s="2">
        <f t="shared" si="8"/>
        <v>105080</v>
      </c>
    </row>
    <row r="48" spans="1:13" hidden="1" outlineLevel="1">
      <c r="B48">
        <f>+B19</f>
        <v>1104145</v>
      </c>
      <c r="C48">
        <f>+C19</f>
        <v>1</v>
      </c>
      <c r="D48">
        <f>+D19</f>
        <v>0</v>
      </c>
      <c r="E48" s="17" t="str">
        <f>+IF('bid input'!P13=1,"Y","N")</f>
        <v>N</v>
      </c>
      <c r="F48" s="4"/>
      <c r="G48" s="2">
        <f>+IF(AND($E48="Y",$C48=G$2,$C48&gt;0),'bid input'!$F13,IF(AND($E48="Y",$D48=G$3,$C48=0),'bid input'!$F13,0))*G$4</f>
        <v>0</v>
      </c>
      <c r="H48" s="2">
        <f>+IF(AND($E48="Y",$C48=H$2,$C48&gt;0),'bid input'!$F13,IF(AND($E48="Y",$D48=H$3,$C48=0),'bid input'!$F13,0))*H$4</f>
        <v>0</v>
      </c>
      <c r="I48" s="2">
        <f>+IF(AND($E48="Y",$C48=I$2,$C48&gt;0),'bid input'!$F13,IF(AND($E48="Y",$D48=I$3,$C48=0),'bid input'!$F13,0))*I$4</f>
        <v>0</v>
      </c>
      <c r="J48" s="2">
        <f>+IF(AND($E48="Y",$C48=J$2,$C48&gt;0),'bid input'!$F13,IF(AND($E48="Y",$D48=J$3,$C48=0),'bid input'!$F13,0))*J$4</f>
        <v>0</v>
      </c>
      <c r="K48" s="2">
        <f>+IF(AND($E48="Y",$C48=K$2,$C48&gt;0),'bid input'!$F13,IF(AND($E48="Y",$D48=K$3,$C48=0),'bid input'!$F13,0))*K$4</f>
        <v>0</v>
      </c>
      <c r="L48" s="2">
        <f>+IF(AND($E48="Y",$C48=L$2,$C48&gt;0),'bid input'!$F13,IF(AND($E48="Y",$D48=L$3,$C48=0),'bid input'!$F13,0))*L$4</f>
        <v>0</v>
      </c>
      <c r="M48" s="2">
        <f t="shared" si="8"/>
        <v>0</v>
      </c>
    </row>
    <row r="49" spans="1:13" hidden="1" outlineLevel="1">
      <c r="B49">
        <f>+B20</f>
        <v>1104133</v>
      </c>
      <c r="C49">
        <f>+C20</f>
        <v>4</v>
      </c>
      <c r="D49">
        <f>+D20</f>
        <v>0</v>
      </c>
      <c r="E49" s="17" t="str">
        <f>+IF('bid input'!P14=1,"Y","N")</f>
        <v>N</v>
      </c>
      <c r="F49" s="4"/>
      <c r="G49" s="2">
        <f>+IF(AND($E49="Y",$C49=G$2,$C49&gt;0),'bid input'!$F14,IF(AND($E49="Y",$D49=G$3,$C49=0),'bid input'!$F14,0))*G$4</f>
        <v>0</v>
      </c>
      <c r="H49" s="2">
        <f>+IF(AND($E49="Y",$C49=H$2,$C49&gt;0),'bid input'!$F14,IF(AND($E49="Y",$D49=H$3,$C49=0),'bid input'!$F14,0))*H$4</f>
        <v>0</v>
      </c>
      <c r="I49" s="2">
        <f>+IF(AND($E49="Y",$C49=I$2,$C49&gt;0),'bid input'!$F14,IF(AND($E49="Y",$D49=I$3,$C49=0),'bid input'!$F14,0))*I$4</f>
        <v>0</v>
      </c>
      <c r="J49" s="2">
        <f>+IF(AND($E49="Y",$C49=J$2,$C49&gt;0),'bid input'!$F14,IF(AND($E49="Y",$D49=J$3,$C49=0),'bid input'!$F14,0))*J$4</f>
        <v>0</v>
      </c>
      <c r="K49" s="2">
        <f>+IF(AND($E49="Y",$C49=K$2,$C49&gt;0),'bid input'!$F14,IF(AND($E49="Y",$D49=K$3,$C49=0),'bid input'!$F14,0))*K$4</f>
        <v>0</v>
      </c>
      <c r="L49" s="2">
        <f>+IF(AND($E49="Y",$C49=L$2,$C49&gt;0),'bid input'!$F14,IF(AND($E49="Y",$D49=L$3,$C49=0),'bid input'!$F14,0))*L$4</f>
        <v>0</v>
      </c>
      <c r="M49" s="2">
        <f t="shared" si="8"/>
        <v>0</v>
      </c>
    </row>
    <row r="50" spans="1:13" hidden="1" outlineLevel="1">
      <c r="B50">
        <f>+B21</f>
        <v>1104149</v>
      </c>
      <c r="C50">
        <f>+C21</f>
        <v>5</v>
      </c>
      <c r="D50">
        <f>+D21</f>
        <v>0</v>
      </c>
      <c r="E50" s="17" t="str">
        <f>+IF('bid input'!P15=1,"Y","N")</f>
        <v>Y</v>
      </c>
      <c r="F50" s="4"/>
      <c r="G50" s="2">
        <f>+IF(AND($E50="Y",$C50=G$2,$C50&gt;0),'bid input'!$F15,IF(AND($E50="Y",$D50=G$3,$C50=0),'bid input'!$F15,0))*G$4</f>
        <v>0</v>
      </c>
      <c r="H50" s="2">
        <f>+IF(AND($E50="Y",$C50=H$2,$C50&gt;0),'bid input'!$F15,IF(AND($E50="Y",$D50=H$3,$C50=0),'bid input'!$F15,0))*H$4</f>
        <v>0</v>
      </c>
      <c r="I50" s="2">
        <f>+IF(AND($E50="Y",$C50=I$2,$C50&gt;0),'bid input'!$F15,IF(AND($E50="Y",$D50=I$3,$C50=0),'bid input'!$F15,0))*I$4</f>
        <v>0</v>
      </c>
      <c r="J50" s="2">
        <f>+IF(AND($E50="Y",$C50=J$2,$C50&gt;0),'bid input'!$F15,IF(AND($E50="Y",$D50=J$3,$C50=0),'bid input'!$F15,0))*J$4</f>
        <v>0</v>
      </c>
      <c r="K50" s="2">
        <f>+IF(AND($E50="Y",$C50=K$2,$C50&gt;0),'bid input'!$F15,IF(AND($E50="Y",$D50=K$3,$C50=0),'bid input'!$F15,0))*K$4</f>
        <v>103085</v>
      </c>
      <c r="L50" s="2">
        <f>+IF(AND($E50="Y",$C50=L$2,$C50&gt;0),'bid input'!$F15,IF(AND($E50="Y",$D50=L$3,$C50=0),'bid input'!$F15,0))*L$4</f>
        <v>0</v>
      </c>
      <c r="M50" s="2">
        <f t="shared" si="8"/>
        <v>103085</v>
      </c>
    </row>
    <row r="51" spans="1:13" hidden="1" outlineLevel="1">
      <c r="B51">
        <f>+B22</f>
        <v>1104151</v>
      </c>
      <c r="C51">
        <f>+C22</f>
        <v>1</v>
      </c>
      <c r="D51">
        <f>+D22</f>
        <v>0</v>
      </c>
      <c r="E51" s="17" t="str">
        <f>+IF('bid input'!P16=1,"Y","N")</f>
        <v>Y</v>
      </c>
      <c r="F51" s="4"/>
      <c r="G51" s="2">
        <f>+IF(AND($E51="Y",$C51=G$2,$C51&gt;0),'bid input'!$F16,IF(AND($E51="Y",$D51=G$3,$C51=0),'bid input'!$F16,0))*G$4</f>
        <v>63745</v>
      </c>
      <c r="H51" s="2">
        <f>+IF(AND($E51="Y",$C51=H$2,$C51&gt;0),'bid input'!$F16,IF(AND($E51="Y",$D51=H$3,$C51=0),'bid input'!$F16,0))*H$4</f>
        <v>0</v>
      </c>
      <c r="I51" s="2">
        <f>+IF(AND($E51="Y",$C51=I$2,$C51&gt;0),'bid input'!$F16,IF(AND($E51="Y",$D51=I$3,$C51=0),'bid input'!$F16,0))*I$4</f>
        <v>0</v>
      </c>
      <c r="J51" s="2">
        <f>+IF(AND($E51="Y",$C51=J$2,$C51&gt;0),'bid input'!$F16,IF(AND($E51="Y",$D51=J$3,$C51=0),'bid input'!$F16,0))*J$4</f>
        <v>0</v>
      </c>
      <c r="K51" s="2">
        <f>+IF(AND($E51="Y",$C51=K$2,$C51&gt;0),'bid input'!$F16,IF(AND($E51="Y",$D51=K$3,$C51=0),'bid input'!$F16,0))*K$4</f>
        <v>0</v>
      </c>
      <c r="L51" s="2">
        <f>+IF(AND($E51="Y",$C51=L$2,$C51&gt;0),'bid input'!$F16,IF(AND($E51="Y",$D51=L$3,$C51=0),'bid input'!$F16,0))*L$4</f>
        <v>0</v>
      </c>
      <c r="M51" s="2">
        <f t="shared" si="8"/>
        <v>63745</v>
      </c>
    </row>
    <row r="52" spans="1:13" hidden="1" outlineLevel="1">
      <c r="B52">
        <f>+B23</f>
        <v>1104131</v>
      </c>
      <c r="C52">
        <f>+C23</f>
        <v>0</v>
      </c>
      <c r="D52">
        <f>+D23</f>
        <v>0</v>
      </c>
      <c r="E52" s="17" t="str">
        <f>+IF('bid input'!P17=1,"Y","N")</f>
        <v>N</v>
      </c>
      <c r="F52" s="4"/>
      <c r="G52" s="2">
        <f>+IF(AND($E52="Y",$C52=G$2,$C52&gt;0),'bid input'!$F17,IF(AND($E52="Y",$D52=G$3,$C52=0),'bid input'!$F17,0))*G$4</f>
        <v>0</v>
      </c>
      <c r="H52" s="2">
        <f>+IF(AND($E52="Y",$C52=H$2,$C52&gt;0),'bid input'!$F17,IF(AND($E52="Y",$D52=H$3,$C52=0),'bid input'!$F17,0))*H$4</f>
        <v>0</v>
      </c>
      <c r="I52" s="2">
        <f>+IF(AND($E52="Y",$C52=I$2,$C52&gt;0),'bid input'!$F17,IF(AND($E52="Y",$D52=I$3,$C52=0),'bid input'!$F17,0))*I$4</f>
        <v>0</v>
      </c>
      <c r="J52" s="2">
        <f>+IF(AND($E52="Y",$C52=J$2,$C52&gt;0),'bid input'!$F17,IF(AND($E52="Y",$D52=J$3,$C52=0),'bid input'!$F17,0))*J$4</f>
        <v>0</v>
      </c>
      <c r="K52" s="2">
        <f>+IF(AND($E52="Y",$C52=K$2,$C52&gt;0),'bid input'!$F17,IF(AND($E52="Y",$D52=K$3,$C52=0),'bid input'!$F17,0))*K$4</f>
        <v>0</v>
      </c>
      <c r="L52" s="2">
        <f>+IF(AND($E52="Y",$C52=L$2,$C52&gt;0),'bid input'!$F17,IF(AND($E52="Y",$D52=L$3,$C52=0),'bid input'!$F17,0))*L$4</f>
        <v>0</v>
      </c>
      <c r="M52" s="2">
        <f t="shared" si="8"/>
        <v>0</v>
      </c>
    </row>
    <row r="53" spans="1:13" hidden="1" outlineLevel="1">
      <c r="B53">
        <f>+B24</f>
        <v>1104155</v>
      </c>
      <c r="C53">
        <f>+C24</f>
        <v>0</v>
      </c>
      <c r="D53" t="str">
        <f>+D24</f>
        <v>Best Loans Inc</v>
      </c>
      <c r="E53" s="17" t="str">
        <f>+IF('bid input'!P18=1,"Y","N")</f>
        <v>N</v>
      </c>
      <c r="F53" s="4"/>
      <c r="G53" s="2">
        <f>+IF(AND($E53="Y",$C53=G$2,$C53&gt;0),'bid input'!$F18,IF(AND($E53="Y",$D53=G$3,$C53=0),'bid input'!$F18,0))*G$4</f>
        <v>0</v>
      </c>
      <c r="H53" s="2">
        <f>+IF(AND($E53="Y",$C53=H$2,$C53&gt;0),'bid input'!$F18,IF(AND($E53="Y",$D53=H$3,$C53=0),'bid input'!$F18,0))*H$4</f>
        <v>0</v>
      </c>
      <c r="I53" s="2">
        <f>+IF(AND($E53="Y",$C53=I$2,$C53&gt;0),'bid input'!$F18,IF(AND($E53="Y",$D53=I$3,$C53=0),'bid input'!$F18,0))*I$4</f>
        <v>0</v>
      </c>
      <c r="J53" s="2">
        <f>+IF(AND($E53="Y",$C53=J$2,$C53&gt;0),'bid input'!$F18,IF(AND($E53="Y",$D53=J$3,$C53=0),'bid input'!$F18,0))*J$4</f>
        <v>0</v>
      </c>
      <c r="K53" s="2">
        <f>+IF(AND($E53="Y",$C53=K$2,$C53&gt;0),'bid input'!$F18,IF(AND($E53="Y",$D53=K$3,$C53=0),'bid input'!$F18,0))*K$4</f>
        <v>0</v>
      </c>
      <c r="L53" s="2">
        <f>+IF(AND($E53="Y",$C53=L$2,$C53&gt;0),'bid input'!$F18,IF(AND($E53="Y",$D53=L$3,$C53=0),'bid input'!$F18,0))*L$4</f>
        <v>0</v>
      </c>
      <c r="M53" s="2">
        <f t="shared" si="8"/>
        <v>0</v>
      </c>
    </row>
    <row r="54" spans="1:13" hidden="1" outlineLevel="1">
      <c r="B54">
        <f>+B25</f>
        <v>1104156</v>
      </c>
      <c r="C54">
        <f>+C25</f>
        <v>2</v>
      </c>
      <c r="D54">
        <f>+D25</f>
        <v>0</v>
      </c>
      <c r="E54" s="17" t="str">
        <f>+IF('bid input'!P19=1,"Y","N")</f>
        <v>Y</v>
      </c>
      <c r="F54" s="4"/>
      <c r="G54" s="2">
        <f>+IF(AND($E54="Y",$C54=G$2,$C54&gt;0),'bid input'!$F19,IF(AND($E54="Y",$D54=G$3,$C54=0),'bid input'!$F19,0))*G$4</f>
        <v>0</v>
      </c>
      <c r="H54" s="2">
        <f>+IF(AND($E54="Y",$C54=H$2,$C54&gt;0),'bid input'!$F19,IF(AND($E54="Y",$D54=H$3,$C54=0),'bid input'!$F19,0))*H$4</f>
        <v>75137</v>
      </c>
      <c r="I54" s="2">
        <f>+IF(AND($E54="Y",$C54=I$2,$C54&gt;0),'bid input'!$F19,IF(AND($E54="Y",$D54=I$3,$C54=0),'bid input'!$F19,0))*I$4</f>
        <v>0</v>
      </c>
      <c r="J54" s="2">
        <f>+IF(AND($E54="Y",$C54=J$2,$C54&gt;0),'bid input'!$F19,IF(AND($E54="Y",$D54=J$3,$C54=0),'bid input'!$F19,0))*J$4</f>
        <v>0</v>
      </c>
      <c r="K54" s="2">
        <f>+IF(AND($E54="Y",$C54=K$2,$C54&gt;0),'bid input'!$F19,IF(AND($E54="Y",$D54=K$3,$C54=0),'bid input'!$F19,0))*K$4</f>
        <v>0</v>
      </c>
      <c r="L54" s="2">
        <f>+IF(AND($E54="Y",$C54=L$2,$C54&gt;0),'bid input'!$F19,IF(AND($E54="Y",$D54=L$3,$C54=0),'bid input'!$F19,0))*L$4</f>
        <v>0</v>
      </c>
      <c r="M54" s="2">
        <f t="shared" si="8"/>
        <v>75137</v>
      </c>
    </row>
    <row r="55" spans="1:13" hidden="1" outlineLevel="1">
      <c r="B55">
        <f>+B26</f>
        <v>1104157</v>
      </c>
      <c r="C55">
        <f>+C26</f>
        <v>0</v>
      </c>
      <c r="D55">
        <f>+D26</f>
        <v>0</v>
      </c>
      <c r="E55" s="17" t="str">
        <f>+IF('bid input'!P20=1,"Y","N")</f>
        <v>N</v>
      </c>
      <c r="F55" s="4"/>
      <c r="G55" s="2">
        <f>+IF(AND($E55="Y",$C55=G$2,$C55&gt;0),'bid input'!$F20,IF(AND($E55="Y",$D55=G$3,$C55=0),'bid input'!$F20,0))*G$4</f>
        <v>0</v>
      </c>
      <c r="H55" s="2">
        <f>+IF(AND($E55="Y",$C55=H$2,$C55&gt;0),'bid input'!$F20,IF(AND($E55="Y",$D55=H$3,$C55=0),'bid input'!$F20,0))*H$4</f>
        <v>0</v>
      </c>
      <c r="I55" s="2">
        <f>+IF(AND($E55="Y",$C55=I$2,$C55&gt;0),'bid input'!$F20,IF(AND($E55="Y",$D55=I$3,$C55=0),'bid input'!$F20,0))*I$4</f>
        <v>0</v>
      </c>
      <c r="J55" s="2">
        <f>+IF(AND($E55="Y",$C55=J$2,$C55&gt;0),'bid input'!$F20,IF(AND($E55="Y",$D55=J$3,$C55=0),'bid input'!$F20,0))*J$4</f>
        <v>0</v>
      </c>
      <c r="K55" s="2">
        <f>+IF(AND($E55="Y",$C55=K$2,$C55&gt;0),'bid input'!$F20,IF(AND($E55="Y",$D55=K$3,$C55=0),'bid input'!$F20,0))*K$4</f>
        <v>0</v>
      </c>
      <c r="L55" s="2">
        <f>+IF(AND($E55="Y",$C55=L$2,$C55&gt;0),'bid input'!$F20,IF(AND($E55="Y",$D55=L$3,$C55=0),'bid input'!$F20,0))*L$4</f>
        <v>0</v>
      </c>
      <c r="M55" s="2">
        <f t="shared" si="8"/>
        <v>0</v>
      </c>
    </row>
    <row r="56" spans="1:13" hidden="1" outlineLevel="1">
      <c r="B56">
        <f>+B27</f>
        <v>1104158</v>
      </c>
      <c r="C56">
        <f>+C27</f>
        <v>1</v>
      </c>
      <c r="D56">
        <f>+D27</f>
        <v>0</v>
      </c>
      <c r="E56" s="17" t="str">
        <f>+IF('bid input'!P21=1,"Y","N")</f>
        <v>N</v>
      </c>
      <c r="F56" s="4"/>
      <c r="G56" s="2">
        <f>+IF(AND($E56="Y",$C56=G$2,$C56&gt;0),'bid input'!$F21,IF(AND($E56="Y",$D56=G$3,$C56=0),'bid input'!$F21,0))*G$4</f>
        <v>0</v>
      </c>
      <c r="H56" s="2">
        <f>+IF(AND($E56="Y",$C56=H$2,$C56&gt;0),'bid input'!$F21,IF(AND($E56="Y",$D56=H$3,$C56=0),'bid input'!$F21,0))*H$4</f>
        <v>0</v>
      </c>
      <c r="I56" s="2">
        <f>+IF(AND($E56="Y",$C56=I$2,$C56&gt;0),'bid input'!$F21,IF(AND($E56="Y",$D56=I$3,$C56=0),'bid input'!$F21,0))*I$4</f>
        <v>0</v>
      </c>
      <c r="J56" s="2">
        <f>+IF(AND($E56="Y",$C56=J$2,$C56&gt;0),'bid input'!$F21,IF(AND($E56="Y",$D56=J$3,$C56=0),'bid input'!$F21,0))*J$4</f>
        <v>0</v>
      </c>
      <c r="K56" s="2">
        <f>+IF(AND($E56="Y",$C56=K$2,$C56&gt;0),'bid input'!$F21,IF(AND($E56="Y",$D56=K$3,$C56=0),'bid input'!$F21,0))*K$4</f>
        <v>0</v>
      </c>
      <c r="L56" s="2">
        <f>+IF(AND($E56="Y",$C56=L$2,$C56&gt;0),'bid input'!$F21,IF(AND($E56="Y",$D56=L$3,$C56=0),'bid input'!$F21,0))*L$4</f>
        <v>0</v>
      </c>
      <c r="M56" s="2">
        <f t="shared" si="8"/>
        <v>0</v>
      </c>
    </row>
    <row r="57" spans="1:13" hidden="1" outlineLevel="1"/>
    <row r="58" spans="1:13" collapsed="1">
      <c r="D58" s="18" t="s">
        <v>68</v>
      </c>
      <c r="E58" s="19"/>
      <c r="F58" s="19"/>
      <c r="G58" s="20">
        <f>SUM(G37:G57)</f>
        <v>191235</v>
      </c>
      <c r="H58" s="20">
        <f>SUM(H37:H57)</f>
        <v>150274</v>
      </c>
      <c r="I58" s="20">
        <f>SUM(I37:I57)</f>
        <v>0</v>
      </c>
      <c r="J58" s="20">
        <f>SUM(J37:J57)</f>
        <v>105080</v>
      </c>
      <c r="K58" s="20">
        <f>SUM(K37:K57)</f>
        <v>103085</v>
      </c>
      <c r="L58" s="20">
        <f>SUM(L37:L57)</f>
        <v>0</v>
      </c>
      <c r="M58" s="21">
        <f>SUM(G58:L58)</f>
        <v>549674</v>
      </c>
    </row>
    <row r="59" spans="1:13">
      <c r="D59" s="22" t="s">
        <v>3</v>
      </c>
      <c r="E59" s="23"/>
      <c r="F59" s="23"/>
      <c r="G59" s="24">
        <f>+G36</f>
        <v>2.2499999999999999E-2</v>
      </c>
      <c r="H59" s="24">
        <f t="shared" ref="H59:L59" si="9">+H36</f>
        <v>2.2499999999999999E-2</v>
      </c>
      <c r="I59" s="24">
        <f t="shared" si="9"/>
        <v>0.03</v>
      </c>
      <c r="J59" s="24">
        <f t="shared" si="9"/>
        <v>0.06</v>
      </c>
      <c r="K59" s="24">
        <f t="shared" si="9"/>
        <v>2.5000000000000001E-2</v>
      </c>
      <c r="L59" s="24">
        <f t="shared" si="9"/>
        <v>0.06</v>
      </c>
      <c r="M59" s="25">
        <f>+SUMPRODUCT(G58:L58,G59:L59)/M58</f>
        <v>3.0137640674290578E-2</v>
      </c>
    </row>
    <row r="60" spans="1:13">
      <c r="D60" s="36"/>
      <c r="E60" s="36"/>
      <c r="F60" s="36"/>
      <c r="G60" s="37"/>
      <c r="H60" s="37"/>
      <c r="I60" s="37"/>
      <c r="J60" s="37"/>
      <c r="K60" s="37"/>
      <c r="L60" s="37"/>
      <c r="M60" s="37"/>
    </row>
    <row r="61" spans="1:13">
      <c r="D61" t="s">
        <v>35</v>
      </c>
      <c r="G61" s="2">
        <f>+G32-G58</f>
        <v>31872.5</v>
      </c>
      <c r="H61" s="2">
        <f t="shared" ref="H61:M61" si="10">+H32-H58</f>
        <v>225411</v>
      </c>
      <c r="I61" s="2">
        <f t="shared" si="10"/>
        <v>383900</v>
      </c>
      <c r="J61" s="2">
        <f t="shared" si="10"/>
        <v>105080</v>
      </c>
      <c r="K61" s="2">
        <f t="shared" si="10"/>
        <v>206170</v>
      </c>
      <c r="L61" s="2">
        <f t="shared" si="10"/>
        <v>485000</v>
      </c>
      <c r="M61" s="2">
        <f t="shared" si="10"/>
        <v>1437433.5</v>
      </c>
    </row>
    <row r="62" spans="1:13">
      <c r="D62" t="s">
        <v>36</v>
      </c>
      <c r="G62" s="7" t="str">
        <f>+IF(G61=0,"NA",IF(G61&lt;0,"OVER","UNDER"))</f>
        <v>UNDER</v>
      </c>
      <c r="H62" s="7" t="str">
        <f t="shared" ref="H62" si="11">+IF(H61=0,"NA",IF(H61&lt;0,"OVER","UNDER"))</f>
        <v>UNDER</v>
      </c>
      <c r="I62" s="7" t="str">
        <f t="shared" ref="I62" si="12">+IF(I61=0,"NA",IF(I61&lt;0,"OVER","UNDER"))</f>
        <v>UNDER</v>
      </c>
      <c r="J62" s="7" t="str">
        <f t="shared" ref="J62" si="13">+IF(J61=0,"NA",IF(J61&lt;0,"OVER","UNDER"))</f>
        <v>UNDER</v>
      </c>
      <c r="K62" s="7" t="str">
        <f t="shared" ref="K62" si="14">+IF(K61=0,"NA",IF(K61&lt;0,"OVER","UNDER"))</f>
        <v>UNDER</v>
      </c>
      <c r="L62" s="7" t="str">
        <f t="shared" ref="L62" si="15">+IF(L61=0,"NA",IF(L61&lt;0,"OVER","UNDER"))</f>
        <v>UNDER</v>
      </c>
      <c r="M62" s="7" t="str">
        <f t="shared" ref="M62" si="16">+IF(M61=0,"NA",IF(M61&lt;0,"OVER","UNDER"))</f>
        <v>UNDER</v>
      </c>
    </row>
    <row r="63" spans="1:13">
      <c r="D63" s="36"/>
      <c r="E63" s="36"/>
      <c r="F63" s="36"/>
      <c r="G63" s="37"/>
      <c r="H63" s="37"/>
      <c r="I63" s="37"/>
      <c r="J63" s="37"/>
      <c r="K63" s="37"/>
      <c r="L63" s="37"/>
      <c r="M63" s="37"/>
    </row>
    <row r="64" spans="1:13">
      <c r="A64" t="s">
        <v>42</v>
      </c>
    </row>
    <row r="65" spans="1:13">
      <c r="D65" s="28" t="s">
        <v>40</v>
      </c>
      <c r="E65" s="29"/>
      <c r="F65" s="29"/>
      <c r="G65" s="30">
        <f>+G29+G58</f>
        <v>286852.5</v>
      </c>
      <c r="H65" s="30">
        <f t="shared" ref="H65:L65" si="17">+H29+H58</f>
        <v>150274</v>
      </c>
      <c r="I65" s="30">
        <f t="shared" si="17"/>
        <v>95975</v>
      </c>
      <c r="J65" s="30">
        <f t="shared" si="17"/>
        <v>420320</v>
      </c>
      <c r="K65" s="30">
        <f t="shared" si="17"/>
        <v>309255</v>
      </c>
      <c r="L65" s="30">
        <f t="shared" si="17"/>
        <v>0</v>
      </c>
      <c r="M65" s="31">
        <f t="shared" ref="M65" si="18">+M29+M58</f>
        <v>1262676.5</v>
      </c>
    </row>
    <row r="66" spans="1:13">
      <c r="D66" s="42" t="s">
        <v>55</v>
      </c>
      <c r="E66" s="43"/>
      <c r="F66" s="43"/>
      <c r="G66" s="45">
        <f>+G65/G4</f>
        <v>0.9</v>
      </c>
      <c r="H66" s="45">
        <f t="shared" ref="H66:L66" si="19">+H65/H4</f>
        <v>0.4</v>
      </c>
      <c r="I66" s="45">
        <f t="shared" si="19"/>
        <v>0.2</v>
      </c>
      <c r="J66" s="45">
        <f t="shared" si="19"/>
        <v>0.8</v>
      </c>
      <c r="K66" s="45">
        <f t="shared" si="19"/>
        <v>0.6</v>
      </c>
      <c r="L66" s="45">
        <f t="shared" si="19"/>
        <v>0</v>
      </c>
      <c r="M66" s="44"/>
    </row>
    <row r="67" spans="1:13">
      <c r="D67" s="32" t="s">
        <v>3</v>
      </c>
      <c r="E67" s="33"/>
      <c r="F67" s="33"/>
      <c r="G67" s="34">
        <f>+IF(ISERR((G29*G30)+(G58*G59))/(G58+G29),G59,((G29*G30)+(G58*G59))/(G58+G29))</f>
        <v>2.1666666666666667E-2</v>
      </c>
      <c r="H67" s="34">
        <f>+IF(ISERR((H29*H30)+(H58*H59))/(H58+H29),H59,((H29*H30)+(H58*H59))/(H58+H29))</f>
        <v>2.2499999999999999E-2</v>
      </c>
      <c r="I67" s="34">
        <f t="shared" ref="I67:L67" si="20">+IF(ISERR((I29*I30)+(I58*I59))/(I58+I29),I59,((I29*I30)+(I58*I59))/(I58+I29))</f>
        <v>0.03</v>
      </c>
      <c r="J67" s="34">
        <f t="shared" si="20"/>
        <v>4.7500000000000001E-2</v>
      </c>
      <c r="K67" s="34">
        <f t="shared" si="20"/>
        <v>2.375E-2</v>
      </c>
      <c r="L67" s="34" t="e">
        <f t="shared" si="20"/>
        <v>#DIV/0!</v>
      </c>
      <c r="M67" s="35">
        <f t="shared" ref="M67" si="21">+((M29*M30)+(M58*M59))/(M58+M29)</f>
        <v>3.150890885353453E-2</v>
      </c>
    </row>
    <row r="69" spans="1:13">
      <c r="A69" t="s">
        <v>43</v>
      </c>
    </row>
    <row r="70" spans="1:13" ht="30" hidden="1" outlineLevel="1">
      <c r="B70" s="16" t="s">
        <v>31</v>
      </c>
      <c r="C70" s="26" t="s">
        <v>44</v>
      </c>
      <c r="D70" s="16" t="s">
        <v>34</v>
      </c>
      <c r="E70" s="16" t="s">
        <v>46</v>
      </c>
      <c r="F70" s="38"/>
      <c r="G70" s="38" t="s">
        <v>49</v>
      </c>
      <c r="I70" s="38" t="s">
        <v>52</v>
      </c>
    </row>
    <row r="71" spans="1:13" hidden="1" outlineLevel="1">
      <c r="B71">
        <f>+'bid input'!B2</f>
        <v>1104134</v>
      </c>
      <c r="C71" s="17" t="str">
        <f>+IF('bid input'!Q2=1,"Y","N")</f>
        <v>N</v>
      </c>
      <c r="D71" s="4">
        <f>+IF(C71="N",,'bid input'!K2)</f>
        <v>0</v>
      </c>
      <c r="E71" s="2">
        <f>+MIN('bid input'!D2,'bid input'!M2)</f>
        <v>187500</v>
      </c>
      <c r="F71" s="40">
        <f>+IF(D71&gt;0,E71,0)</f>
        <v>0</v>
      </c>
      <c r="G71" s="40">
        <f>+IF($F71&gt;0,RANK($D71,$D$71:$D$90,),)</f>
        <v>0</v>
      </c>
      <c r="H71" s="3">
        <f t="shared" ref="H71:H75" si="22">+VLOOKUP(G71,$D$96:$E$102,2,FALSE)</f>
        <v>0</v>
      </c>
      <c r="I71" s="3">
        <f>+F71-H71</f>
        <v>0</v>
      </c>
      <c r="J71" s="3"/>
      <c r="K71" s="3"/>
      <c r="L71" s="3"/>
    </row>
    <row r="72" spans="1:13" hidden="1" outlineLevel="1">
      <c r="B72">
        <f>+'bid input'!B3</f>
        <v>1104143</v>
      </c>
      <c r="C72" s="17" t="str">
        <f>+IF('bid input'!Q3=1,"Y","N")</f>
        <v>N</v>
      </c>
      <c r="D72" s="4">
        <f>+IF(C72="N",,'bid input'!K3)</f>
        <v>0</v>
      </c>
      <c r="E72" s="2">
        <f>+MIN('bid input'!D3,'bid input'!M3)</f>
        <v>500000</v>
      </c>
      <c r="F72" s="40">
        <f t="shared" ref="F72:F90" si="23">+IF(D72&gt;0,E72,0)</f>
        <v>0</v>
      </c>
      <c r="G72" s="40">
        <f t="shared" ref="G72:G90" si="24">+IF($F72&gt;0,RANK($D72,$D$71:$D$90,),)</f>
        <v>0</v>
      </c>
      <c r="H72" s="3">
        <f t="shared" si="22"/>
        <v>0</v>
      </c>
      <c r="I72" s="3">
        <f t="shared" ref="I72:I90" si="25">+F72-H72</f>
        <v>0</v>
      </c>
      <c r="J72" s="3"/>
      <c r="K72" s="3"/>
      <c r="L72" s="3"/>
    </row>
    <row r="73" spans="1:13" hidden="1" outlineLevel="1">
      <c r="B73">
        <f>+'bid input'!B4</f>
        <v>1104154</v>
      </c>
      <c r="C73" s="17" t="str">
        <f>+IF('bid input'!Q4=1,"Y","N")</f>
        <v>Y</v>
      </c>
      <c r="D73" s="4">
        <f>+IF(C73="N",,'bid input'!K4)</f>
        <v>0.03</v>
      </c>
      <c r="E73" s="2">
        <f>+MIN('bid input'!D4,'bid input'!M4)</f>
        <v>185000</v>
      </c>
      <c r="F73" s="40">
        <f t="shared" si="23"/>
        <v>185000</v>
      </c>
      <c r="G73" s="40">
        <f t="shared" si="24"/>
        <v>1</v>
      </c>
      <c r="H73" s="3">
        <f t="shared" si="22"/>
        <v>0</v>
      </c>
      <c r="I73" s="3">
        <f t="shared" si="25"/>
        <v>185000</v>
      </c>
      <c r="J73" s="3"/>
      <c r="K73" s="3"/>
      <c r="L73" s="3"/>
    </row>
    <row r="74" spans="1:13" hidden="1" outlineLevel="1">
      <c r="B74">
        <f>+'bid input'!B5</f>
        <v>1104152</v>
      </c>
      <c r="C74" s="17" t="str">
        <f>+IF('bid input'!Q5=1,"Y","N")</f>
        <v>N</v>
      </c>
      <c r="D74" s="4">
        <f>+IF(C74="N",,'bid input'!K5)</f>
        <v>0</v>
      </c>
      <c r="E74" s="2">
        <f>+MIN('bid input'!D5,'bid input'!M5)</f>
        <v>1500000</v>
      </c>
      <c r="F74" s="40">
        <f t="shared" si="23"/>
        <v>0</v>
      </c>
      <c r="G74" s="40">
        <f t="shared" si="24"/>
        <v>0</v>
      </c>
      <c r="H74" s="3">
        <f t="shared" si="22"/>
        <v>0</v>
      </c>
      <c r="I74" s="3">
        <f t="shared" si="25"/>
        <v>0</v>
      </c>
      <c r="J74" s="3"/>
      <c r="K74" s="3"/>
      <c r="L74" s="3"/>
    </row>
    <row r="75" spans="1:13" hidden="1" outlineLevel="1">
      <c r="B75">
        <f>+'bid input'!B6</f>
        <v>1104136</v>
      </c>
      <c r="C75" s="17" t="str">
        <f>+IF('bid input'!Q6=1,"Y","N")</f>
        <v>N</v>
      </c>
      <c r="D75" s="4">
        <f>+IF(C75="N",,'bid input'!K6)</f>
        <v>0</v>
      </c>
      <c r="E75" s="2">
        <f>+MIN('bid input'!D6,'bid input'!M6)</f>
        <v>860000</v>
      </c>
      <c r="F75" s="40">
        <f t="shared" si="23"/>
        <v>0</v>
      </c>
      <c r="G75" s="40">
        <f t="shared" si="24"/>
        <v>0</v>
      </c>
      <c r="H75" s="3">
        <f t="shared" si="22"/>
        <v>0</v>
      </c>
      <c r="I75" s="3">
        <f t="shared" si="25"/>
        <v>0</v>
      </c>
      <c r="J75" s="3"/>
      <c r="K75" s="3"/>
      <c r="L75" s="3"/>
    </row>
    <row r="76" spans="1:13" hidden="1" outlineLevel="1">
      <c r="B76">
        <f>+'bid input'!B7</f>
        <v>1104138</v>
      </c>
      <c r="C76" s="17" t="str">
        <f>+IF('bid input'!Q7=1,"Y","N")</f>
        <v>Y</v>
      </c>
      <c r="D76" s="4">
        <f>+IF(C76="N",,'bid input'!K7)</f>
        <v>2.1250000000000002E-2</v>
      </c>
      <c r="E76" s="2">
        <f>+MIN('bid input'!D7,'bid input'!M7)</f>
        <v>300000</v>
      </c>
      <c r="F76" s="40">
        <f t="shared" si="23"/>
        <v>300000</v>
      </c>
      <c r="G76" s="40">
        <f t="shared" si="24"/>
        <v>4</v>
      </c>
      <c r="H76" s="3">
        <f>+VLOOKUP(G76,$D$96:$E$102,2,FALSE)</f>
        <v>0</v>
      </c>
      <c r="I76" s="3">
        <f t="shared" si="25"/>
        <v>300000</v>
      </c>
      <c r="J76" s="3"/>
      <c r="K76" s="3"/>
      <c r="L76" s="3"/>
    </row>
    <row r="77" spans="1:13" hidden="1" outlineLevel="1">
      <c r="B77">
        <f>+'bid input'!B8</f>
        <v>1104139</v>
      </c>
      <c r="C77" s="17" t="str">
        <f>+IF('bid input'!Q8=1,"Y","N")</f>
        <v>Y</v>
      </c>
      <c r="D77" s="4">
        <f>+IF(C77="N",,'bid input'!K8)</f>
        <v>2.2499999999999999E-2</v>
      </c>
      <c r="E77" s="2">
        <f>+MIN('bid input'!D8,'bid input'!M8)</f>
        <v>250000</v>
      </c>
      <c r="F77" s="40">
        <f t="shared" si="23"/>
        <v>250000</v>
      </c>
      <c r="G77" s="40">
        <f t="shared" si="24"/>
        <v>3</v>
      </c>
      <c r="H77" s="3">
        <f t="shared" ref="H77:H90" si="26">+VLOOKUP(G77,$D$96:$E$102,2,FALSE)</f>
        <v>0</v>
      </c>
      <c r="I77" s="3">
        <f t="shared" si="25"/>
        <v>250000</v>
      </c>
      <c r="J77" s="3"/>
      <c r="K77" s="3"/>
      <c r="L77" s="3"/>
    </row>
    <row r="78" spans="1:13" hidden="1" outlineLevel="1">
      <c r="B78">
        <f>+'bid input'!B9</f>
        <v>1104140</v>
      </c>
      <c r="C78" s="17" t="str">
        <f>+IF('bid input'!Q9=1,"Y","N")</f>
        <v>N</v>
      </c>
      <c r="D78" s="4">
        <f>+IF(C78="N",,'bid input'!K9)</f>
        <v>0</v>
      </c>
      <c r="E78" s="2">
        <f>+MIN('bid input'!D9,'bid input'!M9)</f>
        <v>74000</v>
      </c>
      <c r="F78" s="40">
        <f t="shared" si="23"/>
        <v>0</v>
      </c>
      <c r="G78" s="40">
        <f t="shared" si="24"/>
        <v>0</v>
      </c>
      <c r="H78" s="3">
        <f t="shared" si="26"/>
        <v>0</v>
      </c>
      <c r="I78" s="3">
        <f t="shared" si="25"/>
        <v>0</v>
      </c>
      <c r="J78" s="3"/>
      <c r="K78" s="3"/>
      <c r="L78" s="3"/>
    </row>
    <row r="79" spans="1:13" hidden="1" outlineLevel="1">
      <c r="B79">
        <f>+'bid input'!B10</f>
        <v>1104141</v>
      </c>
      <c r="C79" s="17" t="str">
        <f>+IF('bid input'!Q10=1,"Y","N")</f>
        <v>Y</v>
      </c>
      <c r="D79" s="4">
        <f>+IF(C79="N",,'bid input'!K10)</f>
        <v>2.5000000000000001E-2</v>
      </c>
      <c r="E79" s="2">
        <f>+MIN('bid input'!D10,'bid input'!M10)</f>
        <v>285000</v>
      </c>
      <c r="F79" s="40">
        <f t="shared" si="23"/>
        <v>285000</v>
      </c>
      <c r="G79" s="40">
        <f t="shared" si="24"/>
        <v>2</v>
      </c>
      <c r="H79" s="3">
        <f t="shared" si="26"/>
        <v>0</v>
      </c>
      <c r="I79" s="3">
        <f t="shared" si="25"/>
        <v>285000</v>
      </c>
      <c r="J79" s="3"/>
      <c r="K79" s="3"/>
      <c r="L79" s="3"/>
    </row>
    <row r="80" spans="1:13" hidden="1" outlineLevel="1">
      <c r="B80">
        <f>+'bid input'!B11</f>
        <v>1104159</v>
      </c>
      <c r="C80" s="17" t="str">
        <f>+IF('bid input'!Q11=1,"Y","N")</f>
        <v>N</v>
      </c>
      <c r="D80" s="4">
        <f>+IF(C80="N",,'bid input'!K11)</f>
        <v>0</v>
      </c>
      <c r="E80" s="2">
        <f>+MIN('bid input'!D11,'bid input'!M11)</f>
        <v>532000</v>
      </c>
      <c r="F80" s="40">
        <f t="shared" si="23"/>
        <v>0</v>
      </c>
      <c r="G80" s="40">
        <f t="shared" si="24"/>
        <v>0</v>
      </c>
      <c r="H80" s="3">
        <f t="shared" si="26"/>
        <v>0</v>
      </c>
      <c r="I80" s="3">
        <f t="shared" si="25"/>
        <v>0</v>
      </c>
      <c r="J80" s="3"/>
      <c r="K80" s="3"/>
      <c r="L80" s="3"/>
    </row>
    <row r="81" spans="2:12" hidden="1" outlineLevel="1">
      <c r="B81">
        <f>+'bid input'!B12</f>
        <v>1104161</v>
      </c>
      <c r="C81" s="17" t="str">
        <f>+IF('bid input'!Q12=1,"Y","N")</f>
        <v>N</v>
      </c>
      <c r="D81" s="4">
        <f>+IF(C81="N",,'bid input'!K12)</f>
        <v>0</v>
      </c>
      <c r="E81" s="2">
        <f>+MIN('bid input'!D12,'bid input'!M12)</f>
        <v>292000</v>
      </c>
      <c r="F81" s="40">
        <f t="shared" si="23"/>
        <v>0</v>
      </c>
      <c r="G81" s="40">
        <f t="shared" si="24"/>
        <v>0</v>
      </c>
      <c r="H81" s="3">
        <f t="shared" si="26"/>
        <v>0</v>
      </c>
      <c r="I81" s="3">
        <f t="shared" si="25"/>
        <v>0</v>
      </c>
      <c r="J81" s="3"/>
      <c r="K81" s="3"/>
      <c r="L81" s="3"/>
    </row>
    <row r="82" spans="2:12" hidden="1" outlineLevel="1">
      <c r="B82">
        <f>+'bid input'!B13</f>
        <v>1104145</v>
      </c>
      <c r="C82" s="17" t="str">
        <f>+IF('bid input'!Q13=1,"Y","N")</f>
        <v>N</v>
      </c>
      <c r="D82" s="4">
        <f>+IF(C82="N",,'bid input'!K13)</f>
        <v>0</v>
      </c>
      <c r="E82" s="2">
        <f>+MIN('bid input'!D13,'bid input'!M13)</f>
        <v>752000</v>
      </c>
      <c r="F82" s="40">
        <f t="shared" si="23"/>
        <v>0</v>
      </c>
      <c r="G82" s="40">
        <f t="shared" si="24"/>
        <v>0</v>
      </c>
      <c r="H82" s="3">
        <f t="shared" si="26"/>
        <v>0</v>
      </c>
      <c r="I82" s="3">
        <f t="shared" si="25"/>
        <v>0</v>
      </c>
      <c r="J82" s="3"/>
      <c r="K82" s="3"/>
      <c r="L82" s="3"/>
    </row>
    <row r="83" spans="2:12" hidden="1" outlineLevel="1">
      <c r="B83">
        <f>+'bid input'!B14</f>
        <v>1104133</v>
      </c>
      <c r="C83" s="17" t="str">
        <f>+IF('bid input'!Q14=1,"Y","N")</f>
        <v>N</v>
      </c>
      <c r="D83" s="4">
        <f>+IF(C83="N",,'bid input'!K14)</f>
        <v>0</v>
      </c>
      <c r="E83" s="2">
        <f>+MIN('bid input'!D14,'bid input'!M14)</f>
        <v>418000</v>
      </c>
      <c r="F83" s="40">
        <f t="shared" si="23"/>
        <v>0</v>
      </c>
      <c r="G83" s="40">
        <f t="shared" si="24"/>
        <v>0</v>
      </c>
      <c r="H83" s="3">
        <f t="shared" si="26"/>
        <v>0</v>
      </c>
      <c r="I83" s="3">
        <f t="shared" si="25"/>
        <v>0</v>
      </c>
      <c r="J83" s="3"/>
      <c r="K83" s="3"/>
      <c r="L83" s="3"/>
    </row>
    <row r="84" spans="2:12" hidden="1" outlineLevel="1">
      <c r="B84">
        <f>+'bid input'!B15</f>
        <v>1104149</v>
      </c>
      <c r="C84" s="17" t="str">
        <f>+IF('bid input'!Q15=1,"Y","N")</f>
        <v>N</v>
      </c>
      <c r="D84" s="4">
        <f>+IF(C84="N",,'bid input'!K15)</f>
        <v>0</v>
      </c>
      <c r="E84" s="2">
        <f>+MIN('bid input'!D15,'bid input'!M15)</f>
        <v>47000</v>
      </c>
      <c r="F84" s="40">
        <f t="shared" si="23"/>
        <v>0</v>
      </c>
      <c r="G84" s="40">
        <f t="shared" si="24"/>
        <v>0</v>
      </c>
      <c r="H84" s="3">
        <f t="shared" si="26"/>
        <v>0</v>
      </c>
      <c r="I84" s="3">
        <f t="shared" si="25"/>
        <v>0</v>
      </c>
      <c r="J84" s="3"/>
      <c r="K84" s="3"/>
      <c r="L84" s="3"/>
    </row>
    <row r="85" spans="2:12" hidden="1" outlineLevel="1">
      <c r="B85">
        <f>+'bid input'!B16</f>
        <v>1104151</v>
      </c>
      <c r="C85" s="17" t="str">
        <f>+IF('bid input'!Q16=1,"Y","N")</f>
        <v>N</v>
      </c>
      <c r="D85" s="4">
        <f>+IF(C85="N",,'bid input'!K16)</f>
        <v>0</v>
      </c>
      <c r="E85" s="2">
        <f>+MIN('bid input'!D16,'bid input'!M16)</f>
        <v>283000</v>
      </c>
      <c r="F85" s="40">
        <f t="shared" si="23"/>
        <v>0</v>
      </c>
      <c r="G85" s="40">
        <f t="shared" si="24"/>
        <v>0</v>
      </c>
      <c r="H85" s="3">
        <f t="shared" si="26"/>
        <v>0</v>
      </c>
      <c r="I85" s="3">
        <f t="shared" si="25"/>
        <v>0</v>
      </c>
      <c r="J85" s="3"/>
      <c r="K85" s="3"/>
      <c r="L85" s="3"/>
    </row>
    <row r="86" spans="2:12" hidden="1" outlineLevel="1">
      <c r="B86">
        <f>+'bid input'!B17</f>
        <v>1104131</v>
      </c>
      <c r="C86" s="17" t="str">
        <f>+IF('bid input'!Q17=1,"Y","N")</f>
        <v>N</v>
      </c>
      <c r="D86" s="4">
        <f>+IF(C86="N",,'bid input'!K17)</f>
        <v>0</v>
      </c>
      <c r="E86" s="2">
        <f>+MIN('bid input'!D17,'bid input'!M17)</f>
        <v>598000</v>
      </c>
      <c r="F86" s="40">
        <f t="shared" si="23"/>
        <v>0</v>
      </c>
      <c r="G86" s="40">
        <f t="shared" si="24"/>
        <v>0</v>
      </c>
      <c r="H86" s="3">
        <f t="shared" si="26"/>
        <v>0</v>
      </c>
      <c r="I86" s="3">
        <f t="shared" si="25"/>
        <v>0</v>
      </c>
      <c r="J86" s="3"/>
      <c r="K86" s="3"/>
      <c r="L86" s="3"/>
    </row>
    <row r="87" spans="2:12" hidden="1" outlineLevel="1">
      <c r="B87">
        <f>+'bid input'!B18</f>
        <v>1104155</v>
      </c>
      <c r="C87" s="17" t="str">
        <f>+IF('bid input'!Q18=1,"Y","N")</f>
        <v>N</v>
      </c>
      <c r="D87" s="4">
        <f>+IF(C87="N",,'bid input'!K18)</f>
        <v>0</v>
      </c>
      <c r="E87" s="2">
        <f>+MIN('bid input'!D18,'bid input'!M18)</f>
        <v>639000</v>
      </c>
      <c r="F87" s="40">
        <f t="shared" si="23"/>
        <v>0</v>
      </c>
      <c r="G87" s="40">
        <f t="shared" si="24"/>
        <v>0</v>
      </c>
      <c r="H87" s="3">
        <f t="shared" si="26"/>
        <v>0</v>
      </c>
      <c r="I87" s="3">
        <f t="shared" si="25"/>
        <v>0</v>
      </c>
      <c r="J87" s="3"/>
      <c r="K87" s="3"/>
      <c r="L87" s="3"/>
    </row>
    <row r="88" spans="2:12" hidden="1" outlineLevel="1">
      <c r="B88">
        <f>+'bid input'!B19</f>
        <v>1104156</v>
      </c>
      <c r="C88" s="17" t="str">
        <f>+IF('bid input'!Q19=1,"Y","N")</f>
        <v>N</v>
      </c>
      <c r="D88" s="4">
        <f>+IF(C88="N",,'bid input'!K19)</f>
        <v>0</v>
      </c>
      <c r="E88" s="2">
        <f>+MIN('bid input'!D19,'bid input'!M19)</f>
        <v>274000</v>
      </c>
      <c r="F88" s="40">
        <f t="shared" si="23"/>
        <v>0</v>
      </c>
      <c r="G88" s="40">
        <f t="shared" si="24"/>
        <v>0</v>
      </c>
      <c r="H88" s="3">
        <f t="shared" si="26"/>
        <v>0</v>
      </c>
      <c r="I88" s="3">
        <f t="shared" si="25"/>
        <v>0</v>
      </c>
      <c r="J88" s="3"/>
      <c r="K88" s="3"/>
      <c r="L88" s="3"/>
    </row>
    <row r="89" spans="2:12" hidden="1" outlineLevel="1">
      <c r="B89">
        <f>+'bid input'!B20</f>
        <v>1104157</v>
      </c>
      <c r="C89" s="17" t="str">
        <f>+IF('bid input'!Q20=1,"Y","N")</f>
        <v>N</v>
      </c>
      <c r="D89" s="4">
        <f>+IF(C89="N",,'bid input'!K20)</f>
        <v>0</v>
      </c>
      <c r="E89" s="2">
        <f>+MIN('bid input'!D20,'bid input'!M20)</f>
        <v>629000</v>
      </c>
      <c r="F89" s="40">
        <f t="shared" si="23"/>
        <v>0</v>
      </c>
      <c r="G89" s="40">
        <f t="shared" si="24"/>
        <v>0</v>
      </c>
      <c r="H89" s="3">
        <f t="shared" si="26"/>
        <v>0</v>
      </c>
      <c r="I89" s="3">
        <f t="shared" si="25"/>
        <v>0</v>
      </c>
      <c r="J89" s="3"/>
      <c r="K89" s="3"/>
      <c r="L89" s="3"/>
    </row>
    <row r="90" spans="2:12" hidden="1" outlineLevel="1">
      <c r="B90">
        <f>+'bid input'!B21</f>
        <v>1104158</v>
      </c>
      <c r="C90" s="17" t="str">
        <f>+IF('bid input'!Q21=1,"Y","N")</f>
        <v>N</v>
      </c>
      <c r="D90" s="4">
        <f>+IF(C90="N",,'bid input'!K21)</f>
        <v>0</v>
      </c>
      <c r="E90" s="2">
        <f>+MIN('bid input'!D21,'bid input'!M21)</f>
        <v>562000</v>
      </c>
      <c r="F90" s="40">
        <f t="shared" si="23"/>
        <v>0</v>
      </c>
      <c r="G90" s="40">
        <f t="shared" si="24"/>
        <v>0</v>
      </c>
      <c r="H90" s="3">
        <f t="shared" si="26"/>
        <v>0</v>
      </c>
      <c r="I90" s="3">
        <f t="shared" si="25"/>
        <v>0</v>
      </c>
      <c r="J90" s="3"/>
      <c r="K90" s="3"/>
      <c r="L90" s="3"/>
    </row>
    <row r="91" spans="2:12" hidden="1" outlineLevel="1">
      <c r="B91" t="s">
        <v>48</v>
      </c>
      <c r="C91">
        <f>+COUNTIF(C71:C90,"Y")</f>
        <v>4</v>
      </c>
      <c r="D91" s="4">
        <f>+SUMPRODUCT(E71:E90,D71:D90)/E91</f>
        <v>2.4191176470588237E-2</v>
      </c>
      <c r="E91" s="17">
        <f>+SUMIF(C71:C90,"Y",E71:E90)</f>
        <v>1020000</v>
      </c>
      <c r="F91" s="2"/>
      <c r="G91" s="2"/>
      <c r="H91" s="2"/>
      <c r="I91" s="17">
        <f>SUM(I71:I90)</f>
        <v>1020000</v>
      </c>
      <c r="J91" s="2"/>
      <c r="K91" s="2"/>
      <c r="L91" s="2"/>
    </row>
    <row r="92" spans="2:12" hidden="1" outlineLevel="1">
      <c r="D92" s="39"/>
      <c r="I92" s="4">
        <f>+SUMPRODUCT(D71:D90,I71:I90)/I91</f>
        <v>2.4191176470588237E-2</v>
      </c>
    </row>
    <row r="93" spans="2:12" hidden="1" outlineLevel="1">
      <c r="B93" t="s">
        <v>51</v>
      </c>
      <c r="E93" s="17">
        <f>IF(M62="UNDER",+M61,0)</f>
        <v>1437433.5</v>
      </c>
    </row>
    <row r="94" spans="2:12" hidden="1" outlineLevel="1"/>
    <row r="95" spans="2:12" hidden="1" outlineLevel="1">
      <c r="B95" t="s">
        <v>50</v>
      </c>
      <c r="E95" s="17"/>
      <c r="F95" s="2">
        <f>+E91-E93</f>
        <v>-417433.5</v>
      </c>
    </row>
    <row r="96" spans="2:12" hidden="1" outlineLevel="1">
      <c r="D96">
        <f>+C91</f>
        <v>4</v>
      </c>
      <c r="E96" s="3">
        <f t="shared" ref="E96:E97" si="27">+IF(F95&gt;0,MIN(SUMIF($G$71:$G$90,D96,$E$71:$E$90),F95),0)</f>
        <v>0</v>
      </c>
      <c r="F96" s="17">
        <f>+F95-E96</f>
        <v>-417433.5</v>
      </c>
    </row>
    <row r="97" spans="2:13" hidden="1" outlineLevel="1">
      <c r="D97">
        <f>+D96-1</f>
        <v>3</v>
      </c>
      <c r="E97" s="3">
        <f t="shared" si="27"/>
        <v>0</v>
      </c>
      <c r="F97" s="17">
        <f>+F96-E97</f>
        <v>-417433.5</v>
      </c>
    </row>
    <row r="98" spans="2:13" hidden="1" outlineLevel="1">
      <c r="D98">
        <f t="shared" ref="D98:D102" si="28">+D97-1</f>
        <v>2</v>
      </c>
      <c r="E98" s="3">
        <f>+IF(F97&gt;0,MIN(SUMIF($G$71:$G$90,D98,$E$71:$E$90),F97),0)</f>
        <v>0</v>
      </c>
      <c r="F98" s="17">
        <f t="shared" ref="F98:F99" si="29">+F97-E98</f>
        <v>-417433.5</v>
      </c>
    </row>
    <row r="99" spans="2:13" hidden="1" outlineLevel="1">
      <c r="D99">
        <f t="shared" si="28"/>
        <v>1</v>
      </c>
      <c r="E99" s="3">
        <f t="shared" ref="E99:E102" si="30">+IF(F98&gt;0,MIN(SUMIF($G$71:$G$90,D99,$E$71:$E$90),F98),0)</f>
        <v>0</v>
      </c>
      <c r="F99" s="17">
        <f t="shared" si="29"/>
        <v>-417433.5</v>
      </c>
    </row>
    <row r="100" spans="2:13" hidden="1" outlineLevel="1">
      <c r="D100">
        <f t="shared" si="28"/>
        <v>0</v>
      </c>
      <c r="E100" s="3">
        <f t="shared" si="30"/>
        <v>0</v>
      </c>
      <c r="F100" s="17">
        <f t="shared" ref="F100:F102" si="31">+F99-E100</f>
        <v>-417433.5</v>
      </c>
    </row>
    <row r="101" spans="2:13" hidden="1" outlineLevel="1">
      <c r="D101">
        <f t="shared" si="28"/>
        <v>-1</v>
      </c>
      <c r="E101" s="3">
        <f t="shared" si="30"/>
        <v>0</v>
      </c>
      <c r="F101" s="17">
        <f t="shared" si="31"/>
        <v>-417433.5</v>
      </c>
    </row>
    <row r="102" spans="2:13" hidden="1" outlineLevel="1">
      <c r="D102">
        <f t="shared" si="28"/>
        <v>-2</v>
      </c>
      <c r="E102" s="3">
        <f t="shared" si="30"/>
        <v>0</v>
      </c>
      <c r="F102" s="17">
        <f t="shared" si="31"/>
        <v>-417433.5</v>
      </c>
    </row>
    <row r="103" spans="2:13" hidden="1" outlineLevel="1" collapsed="1">
      <c r="E103" s="17"/>
    </row>
    <row r="104" spans="2:13" hidden="1" outlineLevel="1">
      <c r="E104" s="17"/>
      <c r="G104" s="2">
        <f>+G61</f>
        <v>31872.5</v>
      </c>
      <c r="H104" s="2">
        <f t="shared" ref="H104:M104" si="32">+H61</f>
        <v>225411</v>
      </c>
      <c r="I104" s="2">
        <f t="shared" si="32"/>
        <v>383900</v>
      </c>
      <c r="J104" s="2">
        <f t="shared" si="32"/>
        <v>105080</v>
      </c>
      <c r="K104" s="2">
        <f t="shared" si="32"/>
        <v>206170</v>
      </c>
      <c r="L104" s="2">
        <f t="shared" si="32"/>
        <v>485000</v>
      </c>
      <c r="M104" s="2">
        <f t="shared" si="32"/>
        <v>1437433.5</v>
      </c>
    </row>
    <row r="105" spans="2:13" hidden="1" outlineLevel="1">
      <c r="B105" s="16" t="s">
        <v>31</v>
      </c>
      <c r="C105" s="16" t="s">
        <v>34</v>
      </c>
      <c r="D105" s="16" t="s">
        <v>53</v>
      </c>
      <c r="E105" s="16" t="s">
        <v>73</v>
      </c>
    </row>
    <row r="106" spans="2:13" hidden="1" outlineLevel="1">
      <c r="B106">
        <f>+B71</f>
        <v>1104134</v>
      </c>
      <c r="C106" s="5">
        <f>+D71</f>
        <v>0</v>
      </c>
      <c r="D106" s="2">
        <f>+I71</f>
        <v>0</v>
      </c>
      <c r="E106" s="5">
        <f t="shared" ref="E106:E107" si="33">+IF(D106&gt;0,C106+(SUMPRODUCT($G106:$L106,$G$128:$L$128)/$M106),0)</f>
        <v>0</v>
      </c>
      <c r="G106" s="3">
        <f>+G$104/$M$104*$D106</f>
        <v>0</v>
      </c>
      <c r="H106" s="3">
        <f t="shared" ref="H106:L106" si="34">+H$104/$M$104*$D106</f>
        <v>0</v>
      </c>
      <c r="I106" s="3">
        <f t="shared" si="34"/>
        <v>0</v>
      </c>
      <c r="J106" s="3">
        <f t="shared" si="34"/>
        <v>0</v>
      </c>
      <c r="K106" s="3">
        <f t="shared" si="34"/>
        <v>0</v>
      </c>
      <c r="L106" s="3">
        <f t="shared" si="34"/>
        <v>0</v>
      </c>
      <c r="M106" s="2">
        <f>SUM(G106:L106)</f>
        <v>0</v>
      </c>
    </row>
    <row r="107" spans="2:13" hidden="1" outlineLevel="1">
      <c r="B107">
        <f t="shared" ref="B107:B125" si="35">+B72</f>
        <v>1104143</v>
      </c>
      <c r="C107" s="5">
        <f t="shared" ref="C107:C125" si="36">+D72</f>
        <v>0</v>
      </c>
      <c r="D107" s="2">
        <f t="shared" ref="D107:D125" si="37">+I72</f>
        <v>0</v>
      </c>
      <c r="E107" s="5">
        <f t="shared" si="33"/>
        <v>0</v>
      </c>
      <c r="G107" s="3">
        <f t="shared" ref="G107:L125" si="38">+G$104/$M$104*$D107</f>
        <v>0</v>
      </c>
      <c r="H107" s="3">
        <f t="shared" si="38"/>
        <v>0</v>
      </c>
      <c r="I107" s="3">
        <f t="shared" si="38"/>
        <v>0</v>
      </c>
      <c r="J107" s="3">
        <f t="shared" si="38"/>
        <v>0</v>
      </c>
      <c r="K107" s="3">
        <f t="shared" si="38"/>
        <v>0</v>
      </c>
      <c r="L107" s="3">
        <f t="shared" si="38"/>
        <v>0</v>
      </c>
      <c r="M107" s="2">
        <f t="shared" ref="M107:M125" si="39">SUM(G107:L107)</f>
        <v>0</v>
      </c>
    </row>
    <row r="108" spans="2:13" hidden="1" outlineLevel="1">
      <c r="B108">
        <f t="shared" si="35"/>
        <v>1104154</v>
      </c>
      <c r="C108" s="5">
        <f t="shared" si="36"/>
        <v>0.03</v>
      </c>
      <c r="D108" s="2">
        <f t="shared" si="37"/>
        <v>185000</v>
      </c>
      <c r="E108" s="5">
        <f>+IF(D108&gt;0,C108+(SUMPRODUCT($G108:$L108,$G$128:$L$128)/$M108),0)</f>
        <v>4.6117011249892495E-2</v>
      </c>
      <c r="G108" s="3">
        <f t="shared" si="38"/>
        <v>4102.0419379400855</v>
      </c>
      <c r="H108" s="3">
        <f t="shared" si="38"/>
        <v>29010.757715052558</v>
      </c>
      <c r="I108" s="3">
        <f t="shared" si="38"/>
        <v>49408.546551892658</v>
      </c>
      <c r="J108" s="3">
        <f t="shared" si="38"/>
        <v>13523.964760804587</v>
      </c>
      <c r="K108" s="3">
        <f t="shared" si="38"/>
        <v>26534.410113580903</v>
      </c>
      <c r="L108" s="3">
        <f t="shared" si="38"/>
        <v>62420.278920729208</v>
      </c>
      <c r="M108" s="2">
        <f t="shared" si="39"/>
        <v>185000</v>
      </c>
    </row>
    <row r="109" spans="2:13" hidden="1" outlineLevel="1">
      <c r="B109">
        <f t="shared" si="35"/>
        <v>1104152</v>
      </c>
      <c r="C109" s="5">
        <f t="shared" si="36"/>
        <v>0</v>
      </c>
      <c r="D109" s="2">
        <f t="shared" si="37"/>
        <v>0</v>
      </c>
      <c r="E109" s="5">
        <f t="shared" ref="E109:E125" si="40">+IF(D109&gt;0,C109+(SUMPRODUCT($G109:$L109,$G$128:$L$128)/$M109),0)</f>
        <v>0</v>
      </c>
      <c r="G109" s="3">
        <f t="shared" si="38"/>
        <v>0</v>
      </c>
      <c r="H109" s="3">
        <f t="shared" si="38"/>
        <v>0</v>
      </c>
      <c r="I109" s="3">
        <f t="shared" si="38"/>
        <v>0</v>
      </c>
      <c r="J109" s="3">
        <f t="shared" si="38"/>
        <v>0</v>
      </c>
      <c r="K109" s="3">
        <f t="shared" si="38"/>
        <v>0</v>
      </c>
      <c r="L109" s="3">
        <f t="shared" si="38"/>
        <v>0</v>
      </c>
      <c r="M109" s="2">
        <f t="shared" si="39"/>
        <v>0</v>
      </c>
    </row>
    <row r="110" spans="2:13" hidden="1" outlineLevel="1">
      <c r="B110">
        <f t="shared" si="35"/>
        <v>1104136</v>
      </c>
      <c r="C110" s="5">
        <f t="shared" si="36"/>
        <v>0</v>
      </c>
      <c r="D110" s="2">
        <f t="shared" si="37"/>
        <v>0</v>
      </c>
      <c r="E110" s="5">
        <f t="shared" si="40"/>
        <v>0</v>
      </c>
      <c r="G110" s="3">
        <f t="shared" si="38"/>
        <v>0</v>
      </c>
      <c r="H110" s="3">
        <f t="shared" si="38"/>
        <v>0</v>
      </c>
      <c r="I110" s="3">
        <f t="shared" si="38"/>
        <v>0</v>
      </c>
      <c r="J110" s="3">
        <f t="shared" si="38"/>
        <v>0</v>
      </c>
      <c r="K110" s="3">
        <f t="shared" si="38"/>
        <v>0</v>
      </c>
      <c r="L110" s="3">
        <f t="shared" si="38"/>
        <v>0</v>
      </c>
      <c r="M110" s="2">
        <f t="shared" si="39"/>
        <v>0</v>
      </c>
    </row>
    <row r="111" spans="2:13" hidden="1" outlineLevel="1">
      <c r="B111">
        <f t="shared" si="35"/>
        <v>1104138</v>
      </c>
      <c r="C111" s="5">
        <f t="shared" si="36"/>
        <v>2.1250000000000002E-2</v>
      </c>
      <c r="D111" s="2">
        <f t="shared" si="37"/>
        <v>300000</v>
      </c>
      <c r="E111" s="5">
        <f t="shared" si="40"/>
        <v>3.7367011249892501E-2</v>
      </c>
      <c r="G111" s="3">
        <f t="shared" si="38"/>
        <v>6651.9598993623013</v>
      </c>
      <c r="H111" s="3">
        <f t="shared" si="38"/>
        <v>47044.471970355495</v>
      </c>
      <c r="I111" s="3">
        <f t="shared" si="38"/>
        <v>80121.967381447554</v>
      </c>
      <c r="J111" s="3">
        <f t="shared" si="38"/>
        <v>21930.753666169603</v>
      </c>
      <c r="K111" s="3">
        <f t="shared" si="38"/>
        <v>43028.773157158226</v>
      </c>
      <c r="L111" s="3">
        <f t="shared" si="38"/>
        <v>101222.07392550682</v>
      </c>
      <c r="M111" s="2">
        <f t="shared" si="39"/>
        <v>300000</v>
      </c>
    </row>
    <row r="112" spans="2:13" hidden="1" outlineLevel="1">
      <c r="B112">
        <f t="shared" si="35"/>
        <v>1104139</v>
      </c>
      <c r="C112" s="5">
        <f t="shared" si="36"/>
        <v>2.2499999999999999E-2</v>
      </c>
      <c r="D112" s="2">
        <f t="shared" si="37"/>
        <v>250000</v>
      </c>
      <c r="E112" s="5">
        <f t="shared" si="40"/>
        <v>3.8617011249892495E-2</v>
      </c>
      <c r="G112" s="3">
        <f t="shared" si="38"/>
        <v>5543.2999161352509</v>
      </c>
      <c r="H112" s="3">
        <f t="shared" si="38"/>
        <v>39203.726641962916</v>
      </c>
      <c r="I112" s="3">
        <f t="shared" si="38"/>
        <v>66768.3061512063</v>
      </c>
      <c r="J112" s="3">
        <f t="shared" si="38"/>
        <v>18275.628055141333</v>
      </c>
      <c r="K112" s="3">
        <f t="shared" si="38"/>
        <v>35857.310964298522</v>
      </c>
      <c r="L112" s="3">
        <f t="shared" si="38"/>
        <v>84351.728271255692</v>
      </c>
      <c r="M112" s="2">
        <f t="shared" si="39"/>
        <v>250000</v>
      </c>
    </row>
    <row r="113" spans="2:13" hidden="1" outlineLevel="1">
      <c r="B113">
        <f t="shared" si="35"/>
        <v>1104140</v>
      </c>
      <c r="C113" s="5">
        <f t="shared" si="36"/>
        <v>0</v>
      </c>
      <c r="D113" s="2">
        <f t="shared" si="37"/>
        <v>0</v>
      </c>
      <c r="E113" s="5">
        <f t="shared" si="40"/>
        <v>0</v>
      </c>
      <c r="G113" s="3">
        <f t="shared" si="38"/>
        <v>0</v>
      </c>
      <c r="H113" s="3">
        <f t="shared" si="38"/>
        <v>0</v>
      </c>
      <c r="I113" s="3">
        <f t="shared" si="38"/>
        <v>0</v>
      </c>
      <c r="J113" s="3">
        <f t="shared" si="38"/>
        <v>0</v>
      </c>
      <c r="K113" s="3">
        <f t="shared" si="38"/>
        <v>0</v>
      </c>
      <c r="L113" s="3">
        <f t="shared" si="38"/>
        <v>0</v>
      </c>
      <c r="M113" s="2">
        <f t="shared" si="39"/>
        <v>0</v>
      </c>
    </row>
    <row r="114" spans="2:13" hidden="1" outlineLevel="1">
      <c r="B114">
        <f t="shared" si="35"/>
        <v>1104141</v>
      </c>
      <c r="C114" s="5">
        <f t="shared" si="36"/>
        <v>2.5000000000000001E-2</v>
      </c>
      <c r="D114" s="2">
        <f t="shared" si="37"/>
        <v>285000</v>
      </c>
      <c r="E114" s="5">
        <f t="shared" si="40"/>
        <v>4.1117011249892498E-2</v>
      </c>
      <c r="G114" s="3">
        <f t="shared" si="38"/>
        <v>6319.3619043941862</v>
      </c>
      <c r="H114" s="3">
        <f t="shared" si="38"/>
        <v>44692.248371837726</v>
      </c>
      <c r="I114" s="3">
        <f t="shared" si="38"/>
        <v>76115.869012375173</v>
      </c>
      <c r="J114" s="3">
        <f t="shared" si="38"/>
        <v>20834.215982861122</v>
      </c>
      <c r="K114" s="3">
        <f t="shared" si="38"/>
        <v>40877.334499300312</v>
      </c>
      <c r="L114" s="3">
        <f t="shared" si="38"/>
        <v>96160.970229231476</v>
      </c>
      <c r="M114" s="2">
        <f t="shared" si="39"/>
        <v>285000</v>
      </c>
    </row>
    <row r="115" spans="2:13" hidden="1" outlineLevel="1">
      <c r="B115">
        <f t="shared" si="35"/>
        <v>1104159</v>
      </c>
      <c r="C115" s="5">
        <f t="shared" si="36"/>
        <v>0</v>
      </c>
      <c r="D115" s="2">
        <f t="shared" si="37"/>
        <v>0</v>
      </c>
      <c r="E115" s="5">
        <f t="shared" si="40"/>
        <v>0</v>
      </c>
      <c r="G115" s="3">
        <f t="shared" si="38"/>
        <v>0</v>
      </c>
      <c r="H115" s="3">
        <f t="shared" si="38"/>
        <v>0</v>
      </c>
      <c r="I115" s="3">
        <f t="shared" si="38"/>
        <v>0</v>
      </c>
      <c r="J115" s="3">
        <f t="shared" si="38"/>
        <v>0</v>
      </c>
      <c r="K115" s="3">
        <f t="shared" si="38"/>
        <v>0</v>
      </c>
      <c r="L115" s="3">
        <f t="shared" si="38"/>
        <v>0</v>
      </c>
      <c r="M115" s="2">
        <f t="shared" si="39"/>
        <v>0</v>
      </c>
    </row>
    <row r="116" spans="2:13" hidden="1" outlineLevel="1">
      <c r="B116">
        <f t="shared" si="35"/>
        <v>1104161</v>
      </c>
      <c r="C116" s="5">
        <f t="shared" si="36"/>
        <v>0</v>
      </c>
      <c r="D116" s="2">
        <f t="shared" si="37"/>
        <v>0</v>
      </c>
      <c r="E116" s="5">
        <f t="shared" si="40"/>
        <v>0</v>
      </c>
      <c r="G116" s="3">
        <f t="shared" si="38"/>
        <v>0</v>
      </c>
      <c r="H116" s="3">
        <f t="shared" si="38"/>
        <v>0</v>
      </c>
      <c r="I116" s="3">
        <f t="shared" si="38"/>
        <v>0</v>
      </c>
      <c r="J116" s="3">
        <f t="shared" si="38"/>
        <v>0</v>
      </c>
      <c r="K116" s="3">
        <f t="shared" si="38"/>
        <v>0</v>
      </c>
      <c r="L116" s="3">
        <f t="shared" si="38"/>
        <v>0</v>
      </c>
      <c r="M116" s="2">
        <f t="shared" si="39"/>
        <v>0</v>
      </c>
    </row>
    <row r="117" spans="2:13" hidden="1" outlineLevel="1">
      <c r="B117">
        <f t="shared" si="35"/>
        <v>1104145</v>
      </c>
      <c r="C117" s="5">
        <f t="shared" si="36"/>
        <v>0</v>
      </c>
      <c r="D117" s="2">
        <f t="shared" si="37"/>
        <v>0</v>
      </c>
      <c r="E117" s="5">
        <f t="shared" si="40"/>
        <v>0</v>
      </c>
      <c r="G117" s="3">
        <f t="shared" si="38"/>
        <v>0</v>
      </c>
      <c r="H117" s="3">
        <f t="shared" si="38"/>
        <v>0</v>
      </c>
      <c r="I117" s="3">
        <f t="shared" si="38"/>
        <v>0</v>
      </c>
      <c r="J117" s="3">
        <f t="shared" si="38"/>
        <v>0</v>
      </c>
      <c r="K117" s="3">
        <f t="shared" si="38"/>
        <v>0</v>
      </c>
      <c r="L117" s="3">
        <f t="shared" si="38"/>
        <v>0</v>
      </c>
      <c r="M117" s="2">
        <f t="shared" si="39"/>
        <v>0</v>
      </c>
    </row>
    <row r="118" spans="2:13" hidden="1" outlineLevel="1">
      <c r="B118">
        <f t="shared" si="35"/>
        <v>1104133</v>
      </c>
      <c r="C118" s="5">
        <f t="shared" si="36"/>
        <v>0</v>
      </c>
      <c r="D118" s="2">
        <f t="shared" si="37"/>
        <v>0</v>
      </c>
      <c r="E118" s="5">
        <f t="shared" si="40"/>
        <v>0</v>
      </c>
      <c r="G118" s="3">
        <f t="shared" si="38"/>
        <v>0</v>
      </c>
      <c r="H118" s="3">
        <f t="shared" si="38"/>
        <v>0</v>
      </c>
      <c r="I118" s="3">
        <f t="shared" si="38"/>
        <v>0</v>
      </c>
      <c r="J118" s="3">
        <f t="shared" si="38"/>
        <v>0</v>
      </c>
      <c r="K118" s="3">
        <f t="shared" si="38"/>
        <v>0</v>
      </c>
      <c r="L118" s="3">
        <f t="shared" si="38"/>
        <v>0</v>
      </c>
      <c r="M118" s="2">
        <f t="shared" si="39"/>
        <v>0</v>
      </c>
    </row>
    <row r="119" spans="2:13" hidden="1" outlineLevel="1">
      <c r="B119">
        <f t="shared" si="35"/>
        <v>1104149</v>
      </c>
      <c r="C119" s="5">
        <f t="shared" si="36"/>
        <v>0</v>
      </c>
      <c r="D119" s="2">
        <f t="shared" si="37"/>
        <v>0</v>
      </c>
      <c r="E119" s="5">
        <f t="shared" si="40"/>
        <v>0</v>
      </c>
      <c r="G119" s="3">
        <f t="shared" si="38"/>
        <v>0</v>
      </c>
      <c r="H119" s="3">
        <f t="shared" si="38"/>
        <v>0</v>
      </c>
      <c r="I119" s="3">
        <f t="shared" si="38"/>
        <v>0</v>
      </c>
      <c r="J119" s="3">
        <f t="shared" si="38"/>
        <v>0</v>
      </c>
      <c r="K119" s="3">
        <f t="shared" si="38"/>
        <v>0</v>
      </c>
      <c r="L119" s="3">
        <f t="shared" si="38"/>
        <v>0</v>
      </c>
      <c r="M119" s="2">
        <f t="shared" si="39"/>
        <v>0</v>
      </c>
    </row>
    <row r="120" spans="2:13" hidden="1" outlineLevel="1">
      <c r="B120">
        <f t="shared" si="35"/>
        <v>1104151</v>
      </c>
      <c r="C120" s="5">
        <f t="shared" si="36"/>
        <v>0</v>
      </c>
      <c r="D120" s="2">
        <f t="shared" si="37"/>
        <v>0</v>
      </c>
      <c r="E120" s="5">
        <f t="shared" si="40"/>
        <v>0</v>
      </c>
      <c r="G120" s="3">
        <f t="shared" si="38"/>
        <v>0</v>
      </c>
      <c r="H120" s="3">
        <f t="shared" si="38"/>
        <v>0</v>
      </c>
      <c r="I120" s="3">
        <f t="shared" si="38"/>
        <v>0</v>
      </c>
      <c r="J120" s="3">
        <f t="shared" si="38"/>
        <v>0</v>
      </c>
      <c r="K120" s="3">
        <f t="shared" si="38"/>
        <v>0</v>
      </c>
      <c r="L120" s="3">
        <f t="shared" si="38"/>
        <v>0</v>
      </c>
      <c r="M120" s="2">
        <f t="shared" si="39"/>
        <v>0</v>
      </c>
    </row>
    <row r="121" spans="2:13" hidden="1" outlineLevel="1">
      <c r="B121">
        <f t="shared" si="35"/>
        <v>1104131</v>
      </c>
      <c r="C121" s="5">
        <f t="shared" si="36"/>
        <v>0</v>
      </c>
      <c r="D121" s="2">
        <f t="shared" si="37"/>
        <v>0</v>
      </c>
      <c r="E121" s="5">
        <f t="shared" si="40"/>
        <v>0</v>
      </c>
      <c r="G121" s="3">
        <f t="shared" si="38"/>
        <v>0</v>
      </c>
      <c r="H121" s="3">
        <f t="shared" si="38"/>
        <v>0</v>
      </c>
      <c r="I121" s="3">
        <f t="shared" si="38"/>
        <v>0</v>
      </c>
      <c r="J121" s="3">
        <f t="shared" si="38"/>
        <v>0</v>
      </c>
      <c r="K121" s="3">
        <f t="shared" si="38"/>
        <v>0</v>
      </c>
      <c r="L121" s="3">
        <f t="shared" si="38"/>
        <v>0</v>
      </c>
      <c r="M121" s="2">
        <f t="shared" si="39"/>
        <v>0</v>
      </c>
    </row>
    <row r="122" spans="2:13" hidden="1" outlineLevel="1">
      <c r="B122">
        <f t="shared" si="35"/>
        <v>1104155</v>
      </c>
      <c r="C122" s="5">
        <f t="shared" si="36"/>
        <v>0</v>
      </c>
      <c r="D122" s="2">
        <f t="shared" si="37"/>
        <v>0</v>
      </c>
      <c r="E122" s="5">
        <f t="shared" si="40"/>
        <v>0</v>
      </c>
      <c r="G122" s="3">
        <f t="shared" si="38"/>
        <v>0</v>
      </c>
      <c r="H122" s="3">
        <f t="shared" si="38"/>
        <v>0</v>
      </c>
      <c r="I122" s="3">
        <f t="shared" si="38"/>
        <v>0</v>
      </c>
      <c r="J122" s="3">
        <f t="shared" si="38"/>
        <v>0</v>
      </c>
      <c r="K122" s="3">
        <f t="shared" si="38"/>
        <v>0</v>
      </c>
      <c r="L122" s="3">
        <f t="shared" si="38"/>
        <v>0</v>
      </c>
      <c r="M122" s="2">
        <f t="shared" si="39"/>
        <v>0</v>
      </c>
    </row>
    <row r="123" spans="2:13" hidden="1" outlineLevel="1">
      <c r="B123">
        <f t="shared" si="35"/>
        <v>1104156</v>
      </c>
      <c r="C123" s="5">
        <f t="shared" si="36"/>
        <v>0</v>
      </c>
      <c r="D123" s="2">
        <f t="shared" si="37"/>
        <v>0</v>
      </c>
      <c r="E123" s="5">
        <f t="shared" si="40"/>
        <v>0</v>
      </c>
      <c r="G123" s="3">
        <f t="shared" si="38"/>
        <v>0</v>
      </c>
      <c r="H123" s="3">
        <f t="shared" si="38"/>
        <v>0</v>
      </c>
      <c r="I123" s="3">
        <f t="shared" si="38"/>
        <v>0</v>
      </c>
      <c r="J123" s="3">
        <f t="shared" si="38"/>
        <v>0</v>
      </c>
      <c r="K123" s="3">
        <f t="shared" si="38"/>
        <v>0</v>
      </c>
      <c r="L123" s="3">
        <f t="shared" si="38"/>
        <v>0</v>
      </c>
      <c r="M123" s="2">
        <f t="shared" si="39"/>
        <v>0</v>
      </c>
    </row>
    <row r="124" spans="2:13" hidden="1" outlineLevel="1">
      <c r="B124">
        <f t="shared" si="35"/>
        <v>1104157</v>
      </c>
      <c r="C124" s="5">
        <f t="shared" si="36"/>
        <v>0</v>
      </c>
      <c r="D124" s="2">
        <f t="shared" si="37"/>
        <v>0</v>
      </c>
      <c r="E124" s="5">
        <f t="shared" si="40"/>
        <v>0</v>
      </c>
      <c r="G124" s="3">
        <f t="shared" si="38"/>
        <v>0</v>
      </c>
      <c r="H124" s="3">
        <f t="shared" si="38"/>
        <v>0</v>
      </c>
      <c r="I124" s="3">
        <f t="shared" si="38"/>
        <v>0</v>
      </c>
      <c r="J124" s="3">
        <f t="shared" si="38"/>
        <v>0</v>
      </c>
      <c r="K124" s="3">
        <f t="shared" si="38"/>
        <v>0</v>
      </c>
      <c r="L124" s="3">
        <f t="shared" si="38"/>
        <v>0</v>
      </c>
      <c r="M124" s="2">
        <f t="shared" si="39"/>
        <v>0</v>
      </c>
    </row>
    <row r="125" spans="2:13" hidden="1" outlineLevel="1">
      <c r="B125">
        <f t="shared" si="35"/>
        <v>1104158</v>
      </c>
      <c r="C125" s="5">
        <f t="shared" si="36"/>
        <v>0</v>
      </c>
      <c r="D125" s="2">
        <f t="shared" si="37"/>
        <v>0</v>
      </c>
      <c r="E125" s="5">
        <f t="shared" si="40"/>
        <v>0</v>
      </c>
      <c r="G125" s="3">
        <f t="shared" si="38"/>
        <v>0</v>
      </c>
      <c r="H125" s="3">
        <f t="shared" si="38"/>
        <v>0</v>
      </c>
      <c r="I125" s="3">
        <f t="shared" si="38"/>
        <v>0</v>
      </c>
      <c r="J125" s="3">
        <f t="shared" si="38"/>
        <v>0</v>
      </c>
      <c r="K125" s="3">
        <f t="shared" si="38"/>
        <v>0</v>
      </c>
      <c r="L125" s="3">
        <f t="shared" si="38"/>
        <v>0</v>
      </c>
      <c r="M125" s="2">
        <f t="shared" si="39"/>
        <v>0</v>
      </c>
    </row>
    <row r="126" spans="2:13" hidden="1" outlineLevel="1" collapsed="1">
      <c r="D126" s="2">
        <f>SUM(D106:D125)</f>
        <v>1020000</v>
      </c>
      <c r="E126" s="5">
        <f>+SUMPRODUCT(D106:D125,E106:E125)/D126</f>
        <v>4.030818772048074E-2</v>
      </c>
      <c r="G126" s="2">
        <f t="shared" ref="G126:M126" si="41">SUM(G106:G125)</f>
        <v>22616.663657831825</v>
      </c>
      <c r="H126" s="2">
        <f t="shared" si="41"/>
        <v>159951.2046992087</v>
      </c>
      <c r="I126" s="2">
        <f t="shared" si="41"/>
        <v>272414.68909692171</v>
      </c>
      <c r="J126" s="2">
        <f t="shared" si="41"/>
        <v>74564.56246497664</v>
      </c>
      <c r="K126" s="2">
        <f t="shared" si="41"/>
        <v>146297.82873433796</v>
      </c>
      <c r="L126" s="2">
        <f t="shared" si="41"/>
        <v>344155.05134672316</v>
      </c>
      <c r="M126" s="2">
        <f t="shared" si="41"/>
        <v>1020000</v>
      </c>
    </row>
    <row r="127" spans="2:13" hidden="1" outlineLevel="1">
      <c r="E127" s="49">
        <f>+E126-M135</f>
        <v>0</v>
      </c>
      <c r="G127" s="4">
        <f>+SUMPRODUCT($C$106:$C$125,G$106:G$125)/G$126</f>
        <v>2.4191176470588237E-2</v>
      </c>
      <c r="H127" s="4">
        <f t="shared" ref="H127:M127" si="42">+SUMPRODUCT($C$106:$C$125,H$106:H$125)/H$126</f>
        <v>2.4191176470588237E-2</v>
      </c>
      <c r="I127" s="4">
        <f t="shared" si="42"/>
        <v>2.4191176470588233E-2</v>
      </c>
      <c r="J127" s="4">
        <f t="shared" si="42"/>
        <v>2.4191176470588237E-2</v>
      </c>
      <c r="K127" s="4">
        <f t="shared" si="42"/>
        <v>2.4191176470588237E-2</v>
      </c>
      <c r="L127" s="4">
        <f t="shared" si="42"/>
        <v>2.4191176470588237E-2</v>
      </c>
      <c r="M127" s="4">
        <f t="shared" si="42"/>
        <v>2.4191176470588237E-2</v>
      </c>
    </row>
    <row r="128" spans="2:13" hidden="1" outlineLevel="1">
      <c r="E128" s="17"/>
      <c r="G128" s="50">
        <f>+G135-G127</f>
        <v>0</v>
      </c>
      <c r="H128" s="50">
        <f t="shared" ref="H128:L128" si="43">+H135-H127</f>
        <v>0</v>
      </c>
      <c r="I128" s="50">
        <f t="shared" si="43"/>
        <v>2.2792872917172375E-2</v>
      </c>
      <c r="J128" s="50">
        <f t="shared" si="43"/>
        <v>5.6982182292930929E-3</v>
      </c>
      <c r="K128" s="50">
        <f t="shared" si="43"/>
        <v>0</v>
      </c>
      <c r="L128" s="50">
        <f t="shared" si="43"/>
        <v>2.8491091146465468E-2</v>
      </c>
      <c r="M128" s="50">
        <f>+M135-M127</f>
        <v>1.6117011249892489E-2</v>
      </c>
    </row>
    <row r="129" spans="1:13" hidden="1" outlineLevel="1">
      <c r="B129" t="s">
        <v>57</v>
      </c>
      <c r="D129" s="5">
        <f>+MAX(F8:F27)</f>
        <v>0.06</v>
      </c>
      <c r="E129" s="17"/>
      <c r="G129" s="4"/>
      <c r="H129" s="4"/>
      <c r="I129" s="4"/>
      <c r="J129" s="4"/>
      <c r="K129" s="4"/>
      <c r="L129" s="4"/>
      <c r="M129" s="4"/>
    </row>
    <row r="130" spans="1:13" hidden="1" outlineLevel="1">
      <c r="B130" t="s">
        <v>58</v>
      </c>
      <c r="D130" s="47">
        <f>+M67</f>
        <v>3.150890885353453E-2</v>
      </c>
      <c r="E130" s="17"/>
      <c r="G130" s="4"/>
      <c r="H130" s="4"/>
      <c r="I130" s="4"/>
      <c r="J130" s="4"/>
      <c r="K130" s="4"/>
      <c r="L130" s="4"/>
      <c r="M130" s="4"/>
    </row>
    <row r="131" spans="1:13" hidden="1" outlineLevel="1">
      <c r="B131" t="s">
        <v>56</v>
      </c>
      <c r="D131" s="46">
        <f>+D129-D130</f>
        <v>2.8491091146465468E-2</v>
      </c>
      <c r="E131" s="17"/>
      <c r="G131" s="4"/>
      <c r="H131" s="4"/>
      <c r="I131" s="4"/>
      <c r="J131" s="4"/>
      <c r="K131" s="4"/>
      <c r="L131" s="4"/>
      <c r="M131" s="4"/>
    </row>
    <row r="132" spans="1:13" hidden="1" outlineLevel="1">
      <c r="B132" t="s">
        <v>54</v>
      </c>
      <c r="E132" s="41"/>
      <c r="G132" s="4">
        <f>+(1-G66)*$D$131</f>
        <v>2.849109114646546E-3</v>
      </c>
      <c r="H132" s="4">
        <f t="shared" ref="H132:L132" si="44">+(1-H66)*$D$131</f>
        <v>1.7094654687879279E-2</v>
      </c>
      <c r="I132" s="4">
        <f t="shared" si="44"/>
        <v>2.2792872917172375E-2</v>
      </c>
      <c r="J132" s="4">
        <f t="shared" si="44"/>
        <v>5.698218229293092E-3</v>
      </c>
      <c r="K132" s="4">
        <f t="shared" si="44"/>
        <v>1.1396436458586187E-2</v>
      </c>
      <c r="L132" s="4">
        <f t="shared" si="44"/>
        <v>2.8491091146465468E-2</v>
      </c>
    </row>
    <row r="133" spans="1:13" hidden="1" outlineLevel="1">
      <c r="E133" s="17"/>
      <c r="G133" s="4">
        <f>+IF(G65&gt;0,IF(G127&lt;G67,G127+G132,G127),G127+G132)</f>
        <v>2.4191176470588237E-2</v>
      </c>
      <c r="H133" s="4">
        <f t="shared" ref="H133:L133" si="45">+IF(H65&gt;0,IF(H127&lt;H67,H127+H132,H127),H127+H132)</f>
        <v>2.4191176470588237E-2</v>
      </c>
      <c r="I133" s="4">
        <f t="shared" si="45"/>
        <v>4.6984049387760608E-2</v>
      </c>
      <c r="J133" s="4">
        <f t="shared" si="45"/>
        <v>2.988939469988133E-2</v>
      </c>
      <c r="K133" s="4">
        <f t="shared" si="45"/>
        <v>2.4191176470588237E-2</v>
      </c>
      <c r="L133" s="4">
        <f t="shared" si="45"/>
        <v>5.2682267617053705E-2</v>
      </c>
    </row>
    <row r="134" spans="1:13" collapsed="1">
      <c r="D134" s="18" t="s">
        <v>67</v>
      </c>
      <c r="E134" s="19"/>
      <c r="F134" s="19"/>
      <c r="G134" s="20">
        <f>+G126</f>
        <v>22616.663657831825</v>
      </c>
      <c r="H134" s="20">
        <f t="shared" ref="H134:M134" si="46">+H126</f>
        <v>159951.2046992087</v>
      </c>
      <c r="I134" s="20">
        <f t="shared" si="46"/>
        <v>272414.68909692171</v>
      </c>
      <c r="J134" s="20">
        <f t="shared" si="46"/>
        <v>74564.56246497664</v>
      </c>
      <c r="K134" s="20">
        <f t="shared" si="46"/>
        <v>146297.82873433796</v>
      </c>
      <c r="L134" s="20">
        <f t="shared" si="46"/>
        <v>344155.05134672316</v>
      </c>
      <c r="M134" s="21">
        <f t="shared" si="46"/>
        <v>1020000</v>
      </c>
    </row>
    <row r="135" spans="1:13">
      <c r="D135" s="22" t="s">
        <v>3</v>
      </c>
      <c r="E135" s="23"/>
      <c r="F135" s="23"/>
      <c r="G135" s="48">
        <f>+G133</f>
        <v>2.4191176470588237E-2</v>
      </c>
      <c r="H135" s="48">
        <f t="shared" ref="H135:L135" si="47">+H133</f>
        <v>2.4191176470588237E-2</v>
      </c>
      <c r="I135" s="48">
        <f t="shared" si="47"/>
        <v>4.6984049387760608E-2</v>
      </c>
      <c r="J135" s="48">
        <f t="shared" si="47"/>
        <v>2.988939469988133E-2</v>
      </c>
      <c r="K135" s="48">
        <f t="shared" si="47"/>
        <v>2.4191176470588237E-2</v>
      </c>
      <c r="L135" s="48">
        <f t="shared" si="47"/>
        <v>5.2682267617053705E-2</v>
      </c>
      <c r="M135" s="25">
        <f>+SUMPRODUCT(G134:L134,G135:L135/M134)</f>
        <v>4.0308187720480726E-2</v>
      </c>
    </row>
    <row r="136" spans="1:13">
      <c r="E136" s="17"/>
    </row>
    <row r="137" spans="1:13">
      <c r="E137" s="17"/>
    </row>
    <row r="138" spans="1:13">
      <c r="D138" s="28" t="s">
        <v>40</v>
      </c>
      <c r="E138" s="29"/>
      <c r="F138" s="29"/>
      <c r="G138" s="30">
        <f>+G65+G126</f>
        <v>309469.16365783184</v>
      </c>
      <c r="H138" s="30">
        <f t="shared" ref="H138:M138" si="48">+H65+H126</f>
        <v>310225.20469920873</v>
      </c>
      <c r="I138" s="30">
        <f t="shared" si="48"/>
        <v>368389.68909692171</v>
      </c>
      <c r="J138" s="30">
        <f t="shared" si="48"/>
        <v>494884.56246497663</v>
      </c>
      <c r="K138" s="30">
        <f t="shared" si="48"/>
        <v>455552.82873433793</v>
      </c>
      <c r="L138" s="30">
        <f t="shared" si="48"/>
        <v>344155.05134672316</v>
      </c>
      <c r="M138" s="31">
        <f t="shared" si="48"/>
        <v>2282676.5</v>
      </c>
    </row>
    <row r="139" spans="1:13">
      <c r="D139" s="32" t="s">
        <v>3</v>
      </c>
      <c r="E139" s="33"/>
      <c r="F139" s="33"/>
      <c r="G139" s="34">
        <f>+IF(ISERR(G67),G133,((G126*G133)+(G65*G67))/G138)</f>
        <v>2.1851163204096552E-2</v>
      </c>
      <c r="H139" s="34">
        <f>+IF(ISERR(H67),H133,((H126*H133)+(H65*H67))/H138)</f>
        <v>2.3371965622818503E-2</v>
      </c>
      <c r="I139" s="34">
        <f>+IF(ISERR(I67),I133,((I126*I133)+(I65*I67))/I138)</f>
        <v>4.2559267185016958E-2</v>
      </c>
      <c r="J139" s="34">
        <f>+IF(ISERR(J67),J133,((J126*J133)+(J65*J67))/J138)</f>
        <v>4.4846599230321159E-2</v>
      </c>
      <c r="K139" s="34">
        <f>+IF(ISERR(K67),K133,((K126*K133)+(K65*K67))/K138)</f>
        <v>2.3891680954797399E-2</v>
      </c>
      <c r="L139" s="34">
        <f>+IF(ISERR(L67),L133,((L126*L133)+(L65*L67))/L138)</f>
        <v>5.2682267617053705E-2</v>
      </c>
      <c r="M139" s="35">
        <f>+SUMPRODUCT(G138:L138,G139:L139)/M138</f>
        <v>3.544081267095462E-2</v>
      </c>
    </row>
    <row r="140" spans="1:13">
      <c r="E140" s="17"/>
    </row>
    <row r="141" spans="1:13">
      <c r="D141" t="s">
        <v>35</v>
      </c>
      <c r="G141" s="2">
        <f>+G4-G138</f>
        <v>9255.836342168157</v>
      </c>
      <c r="H141" s="2">
        <f>+H4-H138</f>
        <v>65459.795300791273</v>
      </c>
      <c r="I141" s="2">
        <f>+I4-I138</f>
        <v>111485.31090307829</v>
      </c>
      <c r="J141" s="2">
        <f>+J4-J138</f>
        <v>30515.437535023375</v>
      </c>
      <c r="K141" s="2">
        <f>+K4-K138</f>
        <v>59872.171265662066</v>
      </c>
      <c r="L141" s="2">
        <f>+L4-L138</f>
        <v>140844.94865327684</v>
      </c>
      <c r="M141" s="2">
        <f>+M4-M138</f>
        <v>417433.5</v>
      </c>
    </row>
    <row r="142" spans="1:13">
      <c r="D142" t="s">
        <v>36</v>
      </c>
      <c r="G142" s="7" t="str">
        <f>+IF(G141=0,"NA",IF(G141&lt;0,"OVER","UNDER"))</f>
        <v>UNDER</v>
      </c>
      <c r="H142" s="7" t="str">
        <f t="shared" ref="H142" si="49">+IF(H141=0,"NA",IF(H141&lt;0,"OVER","UNDER"))</f>
        <v>UNDER</v>
      </c>
      <c r="I142" s="7" t="str">
        <f t="shared" ref="I142" si="50">+IF(I141=0,"NA",IF(I141&lt;0,"OVER","UNDER"))</f>
        <v>UNDER</v>
      </c>
      <c r="J142" s="7" t="str">
        <f t="shared" ref="J142" si="51">+IF(J141=0,"NA",IF(J141&lt;0,"OVER","UNDER"))</f>
        <v>UNDER</v>
      </c>
      <c r="K142" s="7" t="str">
        <f t="shared" ref="K142" si="52">+IF(K141=0,"NA",IF(K141&lt;0,"OVER","UNDER"))</f>
        <v>UNDER</v>
      </c>
      <c r="L142" s="7" t="str">
        <f t="shared" ref="L142" si="53">+IF(L141=0,"NA",IF(L141&lt;0,"OVER","UNDER"))</f>
        <v>UNDER</v>
      </c>
      <c r="M142" s="7" t="str">
        <f t="shared" ref="M142" si="54">+IF(M141=0,"NA",IF(M141&lt;0,"OVER","UNDER"))</f>
        <v>UNDER</v>
      </c>
    </row>
    <row r="143" spans="1:13">
      <c r="D143" s="36"/>
      <c r="E143" s="36"/>
      <c r="F143" s="36"/>
      <c r="G143" s="37"/>
      <c r="H143" s="37"/>
      <c r="I143" s="37"/>
      <c r="J143" s="37"/>
      <c r="K143" s="37"/>
      <c r="L143" s="37"/>
      <c r="M143" s="37"/>
    </row>
    <row r="144" spans="1:13">
      <c r="A144" t="s">
        <v>59</v>
      </c>
      <c r="E144" s="17"/>
      <c r="M144" s="2"/>
    </row>
    <row r="145" spans="2:13" ht="45" hidden="1" outlineLevel="1">
      <c r="B145" s="16" t="s">
        <v>31</v>
      </c>
      <c r="C145" s="26" t="s">
        <v>60</v>
      </c>
      <c r="D145" s="16" t="s">
        <v>62</v>
      </c>
      <c r="E145" s="16" t="s">
        <v>66</v>
      </c>
    </row>
    <row r="146" spans="2:13" hidden="1" outlineLevel="1">
      <c r="B146">
        <f>+'bid input'!B2</f>
        <v>1104134</v>
      </c>
      <c r="C146" s="17" t="str">
        <f>+IF('bid input'!R2=1,"Y","N")</f>
        <v>Y</v>
      </c>
      <c r="D146" s="2">
        <f>+IF(C146="Y",+'bid input'!M2,0)</f>
        <v>187500</v>
      </c>
      <c r="E146" s="17">
        <f>+D146*$D$168</f>
        <v>55333.178685047715</v>
      </c>
      <c r="G146" s="3">
        <f>+$E146/$E$166*G$141</f>
        <v>1226.9136190572847</v>
      </c>
      <c r="H146" s="3">
        <f t="shared" ref="H146:L146" si="55">+$E146/$E$166*H$141</f>
        <v>8677.067245597993</v>
      </c>
      <c r="I146" s="3">
        <f t="shared" si="55"/>
        <v>14778.010459050673</v>
      </c>
      <c r="J146" s="3">
        <f t="shared" si="55"/>
        <v>4044.9943710264274</v>
      </c>
      <c r="K146" s="3">
        <f t="shared" si="55"/>
        <v>7936.3959790114068</v>
      </c>
      <c r="L146" s="3">
        <f t="shared" si="55"/>
        <v>18669.797011303926</v>
      </c>
      <c r="M146" s="2">
        <f>SUM(G146:L146)</f>
        <v>55333.178685047715</v>
      </c>
    </row>
    <row r="147" spans="2:13" hidden="1" outlineLevel="1">
      <c r="B147">
        <f>+'bid input'!B3</f>
        <v>1104143</v>
      </c>
      <c r="C147" s="17" t="str">
        <f>+IF('bid input'!R3=1,"Y","N")</f>
        <v>N</v>
      </c>
      <c r="D147" s="2">
        <f>+IF(C147="Y",+'bid input'!M3,0)</f>
        <v>0</v>
      </c>
      <c r="E147" s="17">
        <f t="shared" ref="E147:E165" si="56">+D147*$D$168</f>
        <v>0</v>
      </c>
      <c r="G147" s="3">
        <f t="shared" ref="G147:L165" si="57">+$E147/$E$166*G$141</f>
        <v>0</v>
      </c>
      <c r="H147" s="3">
        <f t="shared" si="57"/>
        <v>0</v>
      </c>
      <c r="I147" s="3">
        <f t="shared" si="57"/>
        <v>0</v>
      </c>
      <c r="J147" s="3">
        <f t="shared" si="57"/>
        <v>0</v>
      </c>
      <c r="K147" s="3">
        <f t="shared" si="57"/>
        <v>0</v>
      </c>
      <c r="L147" s="3">
        <f t="shared" si="57"/>
        <v>0</v>
      </c>
      <c r="M147" s="2">
        <f t="shared" ref="M147:M165" si="58">SUM(G147:L147)</f>
        <v>0</v>
      </c>
    </row>
    <row r="148" spans="2:13" hidden="1" outlineLevel="1">
      <c r="B148">
        <f>+'bid input'!B4</f>
        <v>1104154</v>
      </c>
      <c r="C148" s="17" t="str">
        <f>+IF('bid input'!R4=1,"Y","N")</f>
        <v>N</v>
      </c>
      <c r="D148" s="2">
        <f>+IF(C148="Y",+'bid input'!M4,0)</f>
        <v>0</v>
      </c>
      <c r="E148" s="17">
        <f t="shared" si="56"/>
        <v>0</v>
      </c>
      <c r="G148" s="3">
        <f t="shared" si="57"/>
        <v>0</v>
      </c>
      <c r="H148" s="3">
        <f t="shared" si="57"/>
        <v>0</v>
      </c>
      <c r="I148" s="3">
        <f t="shared" si="57"/>
        <v>0</v>
      </c>
      <c r="J148" s="3">
        <f t="shared" si="57"/>
        <v>0</v>
      </c>
      <c r="K148" s="3">
        <f t="shared" si="57"/>
        <v>0</v>
      </c>
      <c r="L148" s="3">
        <f t="shared" si="57"/>
        <v>0</v>
      </c>
      <c r="M148" s="2">
        <f t="shared" si="58"/>
        <v>0</v>
      </c>
    </row>
    <row r="149" spans="2:13" hidden="1" outlineLevel="1">
      <c r="B149">
        <f>+'bid input'!B5</f>
        <v>1104152</v>
      </c>
      <c r="C149" s="17" t="str">
        <f>+IF('bid input'!R5=1,"Y","N")</f>
        <v>N</v>
      </c>
      <c r="D149" s="2">
        <f>+IF(C149="Y",+'bid input'!M5,0)</f>
        <v>0</v>
      </c>
      <c r="E149" s="17">
        <f t="shared" si="56"/>
        <v>0</v>
      </c>
      <c r="G149" s="3">
        <f t="shared" si="57"/>
        <v>0</v>
      </c>
      <c r="H149" s="3">
        <f t="shared" si="57"/>
        <v>0</v>
      </c>
      <c r="I149" s="3">
        <f t="shared" si="57"/>
        <v>0</v>
      </c>
      <c r="J149" s="3">
        <f t="shared" si="57"/>
        <v>0</v>
      </c>
      <c r="K149" s="3">
        <f t="shared" si="57"/>
        <v>0</v>
      </c>
      <c r="L149" s="3">
        <f t="shared" si="57"/>
        <v>0</v>
      </c>
      <c r="M149" s="2">
        <f t="shared" si="58"/>
        <v>0</v>
      </c>
    </row>
    <row r="150" spans="2:13" hidden="1" outlineLevel="1">
      <c r="B150">
        <f>+'bid input'!B6</f>
        <v>1104136</v>
      </c>
      <c r="C150" s="17" t="str">
        <f>+IF('bid input'!R6=1,"Y","N")</f>
        <v>N</v>
      </c>
      <c r="D150" s="2">
        <f>+IF(C150="Y",+'bid input'!M6,0)</f>
        <v>0</v>
      </c>
      <c r="E150" s="17">
        <f t="shared" si="56"/>
        <v>0</v>
      </c>
      <c r="G150" s="3">
        <f t="shared" si="57"/>
        <v>0</v>
      </c>
      <c r="H150" s="3">
        <f t="shared" si="57"/>
        <v>0</v>
      </c>
      <c r="I150" s="3">
        <f t="shared" si="57"/>
        <v>0</v>
      </c>
      <c r="J150" s="3">
        <f t="shared" si="57"/>
        <v>0</v>
      </c>
      <c r="K150" s="3">
        <f t="shared" si="57"/>
        <v>0</v>
      </c>
      <c r="L150" s="3">
        <f t="shared" si="57"/>
        <v>0</v>
      </c>
      <c r="M150" s="2">
        <f t="shared" si="58"/>
        <v>0</v>
      </c>
    </row>
    <row r="151" spans="2:13" hidden="1" outlineLevel="1">
      <c r="B151">
        <f>+'bid input'!B7</f>
        <v>1104138</v>
      </c>
      <c r="C151" s="17" t="str">
        <f>+IF('bid input'!R7=1,"Y","N")</f>
        <v>N</v>
      </c>
      <c r="D151" s="2">
        <f>+IF(C151="Y",+'bid input'!M7,0)</f>
        <v>0</v>
      </c>
      <c r="E151" s="17">
        <f t="shared" si="56"/>
        <v>0</v>
      </c>
      <c r="G151" s="3">
        <f t="shared" si="57"/>
        <v>0</v>
      </c>
      <c r="H151" s="3">
        <f t="shared" si="57"/>
        <v>0</v>
      </c>
      <c r="I151" s="3">
        <f t="shared" si="57"/>
        <v>0</v>
      </c>
      <c r="J151" s="3">
        <f t="shared" si="57"/>
        <v>0</v>
      </c>
      <c r="K151" s="3">
        <f t="shared" si="57"/>
        <v>0</v>
      </c>
      <c r="L151" s="3">
        <f t="shared" si="57"/>
        <v>0</v>
      </c>
      <c r="M151" s="2">
        <f t="shared" si="58"/>
        <v>0</v>
      </c>
    </row>
    <row r="152" spans="2:13" hidden="1" outlineLevel="1">
      <c r="B152">
        <f>+'bid input'!B8</f>
        <v>1104139</v>
      </c>
      <c r="C152" s="17" t="str">
        <f>+IF('bid input'!R8=1,"Y","N")</f>
        <v>N</v>
      </c>
      <c r="D152" s="2">
        <f>+IF(C152="Y",+'bid input'!M8,0)</f>
        <v>0</v>
      </c>
      <c r="E152" s="17">
        <f t="shared" si="56"/>
        <v>0</v>
      </c>
      <c r="G152" s="3">
        <f t="shared" si="57"/>
        <v>0</v>
      </c>
      <c r="H152" s="3">
        <f t="shared" si="57"/>
        <v>0</v>
      </c>
      <c r="I152" s="3">
        <f t="shared" si="57"/>
        <v>0</v>
      </c>
      <c r="J152" s="3">
        <f t="shared" si="57"/>
        <v>0</v>
      </c>
      <c r="K152" s="3">
        <f t="shared" si="57"/>
        <v>0</v>
      </c>
      <c r="L152" s="3">
        <f t="shared" si="57"/>
        <v>0</v>
      </c>
      <c r="M152" s="2">
        <f t="shared" si="58"/>
        <v>0</v>
      </c>
    </row>
    <row r="153" spans="2:13" hidden="1" outlineLevel="1">
      <c r="B153">
        <f>+'bid input'!B9</f>
        <v>1104140</v>
      </c>
      <c r="C153" s="17" t="str">
        <f>+IF('bid input'!R9=1,"Y","N")</f>
        <v>N</v>
      </c>
      <c r="D153" s="2">
        <f>+IF(C153="Y",+'bid input'!M9,0)</f>
        <v>0</v>
      </c>
      <c r="E153" s="17">
        <f t="shared" si="56"/>
        <v>0</v>
      </c>
      <c r="G153" s="3">
        <f t="shared" si="57"/>
        <v>0</v>
      </c>
      <c r="H153" s="3">
        <f t="shared" si="57"/>
        <v>0</v>
      </c>
      <c r="I153" s="3">
        <f t="shared" si="57"/>
        <v>0</v>
      </c>
      <c r="J153" s="3">
        <f t="shared" si="57"/>
        <v>0</v>
      </c>
      <c r="K153" s="3">
        <f t="shared" si="57"/>
        <v>0</v>
      </c>
      <c r="L153" s="3">
        <f t="shared" si="57"/>
        <v>0</v>
      </c>
      <c r="M153" s="2">
        <f t="shared" si="58"/>
        <v>0</v>
      </c>
    </row>
    <row r="154" spans="2:13" hidden="1" outlineLevel="1">
      <c r="B154">
        <f>+'bid input'!B10</f>
        <v>1104141</v>
      </c>
      <c r="C154" s="17" t="str">
        <f>+IF('bid input'!R10=1,"Y","N")</f>
        <v>N</v>
      </c>
      <c r="D154" s="2">
        <f>+IF(C154="Y",+'bid input'!M10,0)</f>
        <v>0</v>
      </c>
      <c r="E154" s="17">
        <f t="shared" si="56"/>
        <v>0</v>
      </c>
      <c r="G154" s="3">
        <f t="shared" si="57"/>
        <v>0</v>
      </c>
      <c r="H154" s="3">
        <f t="shared" si="57"/>
        <v>0</v>
      </c>
      <c r="I154" s="3">
        <f t="shared" si="57"/>
        <v>0</v>
      </c>
      <c r="J154" s="3">
        <f t="shared" si="57"/>
        <v>0</v>
      </c>
      <c r="K154" s="3">
        <f t="shared" si="57"/>
        <v>0</v>
      </c>
      <c r="L154" s="3">
        <f t="shared" si="57"/>
        <v>0</v>
      </c>
      <c r="M154" s="2">
        <f t="shared" si="58"/>
        <v>0</v>
      </c>
    </row>
    <row r="155" spans="2:13" hidden="1" outlineLevel="1">
      <c r="B155">
        <f>+'bid input'!B11</f>
        <v>1104159</v>
      </c>
      <c r="C155" s="17" t="str">
        <f>+IF('bid input'!R11=1,"Y","N")</f>
        <v>N</v>
      </c>
      <c r="D155" s="2">
        <f>+IF(C155="Y",+'bid input'!M11,0)</f>
        <v>0</v>
      </c>
      <c r="E155" s="17">
        <f t="shared" si="56"/>
        <v>0</v>
      </c>
      <c r="G155" s="3">
        <f t="shared" si="57"/>
        <v>0</v>
      </c>
      <c r="H155" s="3">
        <f t="shared" si="57"/>
        <v>0</v>
      </c>
      <c r="I155" s="3">
        <f t="shared" si="57"/>
        <v>0</v>
      </c>
      <c r="J155" s="3">
        <f t="shared" si="57"/>
        <v>0</v>
      </c>
      <c r="K155" s="3">
        <f t="shared" si="57"/>
        <v>0</v>
      </c>
      <c r="L155" s="3">
        <f t="shared" si="57"/>
        <v>0</v>
      </c>
      <c r="M155" s="2">
        <f t="shared" si="58"/>
        <v>0</v>
      </c>
    </row>
    <row r="156" spans="2:13" hidden="1" outlineLevel="1">
      <c r="B156">
        <f>+'bid input'!B12</f>
        <v>1104161</v>
      </c>
      <c r="C156" s="17" t="str">
        <f>+IF('bid input'!R12=1,"Y","N")</f>
        <v>N</v>
      </c>
      <c r="D156" s="2">
        <f>+IF(C156="Y",+'bid input'!M12,0)</f>
        <v>0</v>
      </c>
      <c r="E156" s="17">
        <f t="shared" si="56"/>
        <v>0</v>
      </c>
      <c r="G156" s="3">
        <f t="shared" si="57"/>
        <v>0</v>
      </c>
      <c r="H156" s="3">
        <f t="shared" si="57"/>
        <v>0</v>
      </c>
      <c r="I156" s="3">
        <f t="shared" si="57"/>
        <v>0</v>
      </c>
      <c r="J156" s="3">
        <f t="shared" si="57"/>
        <v>0</v>
      </c>
      <c r="K156" s="3">
        <f t="shared" si="57"/>
        <v>0</v>
      </c>
      <c r="L156" s="3">
        <f t="shared" si="57"/>
        <v>0</v>
      </c>
      <c r="M156" s="2">
        <f t="shared" si="58"/>
        <v>0</v>
      </c>
    </row>
    <row r="157" spans="2:13" hidden="1" outlineLevel="1">
      <c r="B157">
        <f>+'bid input'!B13</f>
        <v>1104145</v>
      </c>
      <c r="C157" s="17" t="str">
        <f>+IF('bid input'!R13=1,"Y","N")</f>
        <v>N</v>
      </c>
      <c r="D157" s="2">
        <f>+IF(C157="Y",+'bid input'!M13,0)</f>
        <v>0</v>
      </c>
      <c r="E157" s="17">
        <f t="shared" si="56"/>
        <v>0</v>
      </c>
      <c r="G157" s="3">
        <f t="shared" si="57"/>
        <v>0</v>
      </c>
      <c r="H157" s="3">
        <f t="shared" si="57"/>
        <v>0</v>
      </c>
      <c r="I157" s="3">
        <f t="shared" si="57"/>
        <v>0</v>
      </c>
      <c r="J157" s="3">
        <f t="shared" si="57"/>
        <v>0</v>
      </c>
      <c r="K157" s="3">
        <f t="shared" si="57"/>
        <v>0</v>
      </c>
      <c r="L157" s="3">
        <f t="shared" si="57"/>
        <v>0</v>
      </c>
      <c r="M157" s="2">
        <f t="shared" si="58"/>
        <v>0</v>
      </c>
    </row>
    <row r="158" spans="2:13" hidden="1" outlineLevel="1">
      <c r="B158">
        <f>+'bid input'!B14</f>
        <v>1104133</v>
      </c>
      <c r="C158" s="17" t="str">
        <f>+IF('bid input'!R14=1,"Y","N")</f>
        <v>N</v>
      </c>
      <c r="D158" s="2">
        <f>+IF(C158="Y",+'bid input'!M14,0)</f>
        <v>0</v>
      </c>
      <c r="E158" s="17">
        <f t="shared" si="56"/>
        <v>0</v>
      </c>
      <c r="G158" s="3">
        <f t="shared" si="57"/>
        <v>0</v>
      </c>
      <c r="H158" s="3">
        <f t="shared" si="57"/>
        <v>0</v>
      </c>
      <c r="I158" s="3">
        <f t="shared" si="57"/>
        <v>0</v>
      </c>
      <c r="J158" s="3">
        <f t="shared" si="57"/>
        <v>0</v>
      </c>
      <c r="K158" s="3">
        <f t="shared" si="57"/>
        <v>0</v>
      </c>
      <c r="L158" s="3">
        <f t="shared" si="57"/>
        <v>0</v>
      </c>
      <c r="M158" s="2">
        <f t="shared" si="58"/>
        <v>0</v>
      </c>
    </row>
    <row r="159" spans="2:13" hidden="1" outlineLevel="1">
      <c r="B159">
        <f>+'bid input'!B15</f>
        <v>1104149</v>
      </c>
      <c r="C159" s="17" t="str">
        <f>+IF('bid input'!R15=1,"Y","N")</f>
        <v>N</v>
      </c>
      <c r="D159" s="2">
        <f>+IF(C159="Y",+'bid input'!M15,0)</f>
        <v>0</v>
      </c>
      <c r="E159" s="17">
        <f t="shared" si="56"/>
        <v>0</v>
      </c>
      <c r="G159" s="3">
        <f t="shared" si="57"/>
        <v>0</v>
      </c>
      <c r="H159" s="3">
        <f t="shared" si="57"/>
        <v>0</v>
      </c>
      <c r="I159" s="3">
        <f t="shared" si="57"/>
        <v>0</v>
      </c>
      <c r="J159" s="3">
        <f t="shared" si="57"/>
        <v>0</v>
      </c>
      <c r="K159" s="3">
        <f t="shared" si="57"/>
        <v>0</v>
      </c>
      <c r="L159" s="3">
        <f t="shared" si="57"/>
        <v>0</v>
      </c>
      <c r="M159" s="2">
        <f t="shared" si="58"/>
        <v>0</v>
      </c>
    </row>
    <row r="160" spans="2:13" hidden="1" outlineLevel="1">
      <c r="B160">
        <f>+'bid input'!B16</f>
        <v>1104151</v>
      </c>
      <c r="C160" s="17" t="str">
        <f>+IF('bid input'!R16=1,"Y","N")</f>
        <v>N</v>
      </c>
      <c r="D160" s="2">
        <f>+IF(C160="Y",+'bid input'!M16,0)</f>
        <v>0</v>
      </c>
      <c r="E160" s="17">
        <f t="shared" si="56"/>
        <v>0</v>
      </c>
      <c r="G160" s="3">
        <f t="shared" si="57"/>
        <v>0</v>
      </c>
      <c r="H160" s="3">
        <f t="shared" si="57"/>
        <v>0</v>
      </c>
      <c r="I160" s="3">
        <f t="shared" si="57"/>
        <v>0</v>
      </c>
      <c r="J160" s="3">
        <f t="shared" si="57"/>
        <v>0</v>
      </c>
      <c r="K160" s="3">
        <f t="shared" si="57"/>
        <v>0</v>
      </c>
      <c r="L160" s="3">
        <f t="shared" si="57"/>
        <v>0</v>
      </c>
      <c r="M160" s="2">
        <f t="shared" si="58"/>
        <v>0</v>
      </c>
    </row>
    <row r="161" spans="2:13" hidden="1" outlineLevel="1">
      <c r="B161">
        <f>+'bid input'!B17</f>
        <v>1104131</v>
      </c>
      <c r="C161" s="17" t="str">
        <f>+IF('bid input'!R17=1,"Y","N")</f>
        <v>Y</v>
      </c>
      <c r="D161" s="2">
        <f>+IF(C161="Y",+'bid input'!M17,0)</f>
        <v>598000</v>
      </c>
      <c r="E161" s="17">
        <f t="shared" si="56"/>
        <v>176475.95121951218</v>
      </c>
      <c r="G161" s="3">
        <f t="shared" si="57"/>
        <v>3913.0365023800337</v>
      </c>
      <c r="H161" s="3">
        <f t="shared" si="57"/>
        <v>27674.059801960535</v>
      </c>
      <c r="I161" s="3">
        <f t="shared" si="57"/>
        <v>47132.001357398949</v>
      </c>
      <c r="J161" s="3">
        <f t="shared" si="57"/>
        <v>12900.835380660288</v>
      </c>
      <c r="K161" s="3">
        <f t="shared" si="57"/>
        <v>25311.812242393717</v>
      </c>
      <c r="L161" s="3">
        <f t="shared" si="57"/>
        <v>59544.205934718659</v>
      </c>
      <c r="M161" s="2">
        <f t="shared" si="58"/>
        <v>176475.95121951218</v>
      </c>
    </row>
    <row r="162" spans="2:13" hidden="1" outlineLevel="1">
      <c r="B162">
        <f>+'bid input'!B18</f>
        <v>1104155</v>
      </c>
      <c r="C162" s="17" t="str">
        <f>+IF('bid input'!R18=1,"Y","N")</f>
        <v>N</v>
      </c>
      <c r="D162" s="2">
        <f>+IF(C162="Y",+'bid input'!M18,0)</f>
        <v>0</v>
      </c>
      <c r="E162" s="17">
        <f t="shared" si="56"/>
        <v>0</v>
      </c>
      <c r="G162" s="3">
        <f t="shared" si="57"/>
        <v>0</v>
      </c>
      <c r="H162" s="3">
        <f t="shared" si="57"/>
        <v>0</v>
      </c>
      <c r="I162" s="3">
        <f t="shared" si="57"/>
        <v>0</v>
      </c>
      <c r="J162" s="3">
        <f t="shared" si="57"/>
        <v>0</v>
      </c>
      <c r="K162" s="3">
        <f t="shared" si="57"/>
        <v>0</v>
      </c>
      <c r="L162" s="3">
        <f t="shared" si="57"/>
        <v>0</v>
      </c>
      <c r="M162" s="2">
        <f t="shared" si="58"/>
        <v>0</v>
      </c>
    </row>
    <row r="163" spans="2:13" hidden="1" outlineLevel="1">
      <c r="B163">
        <f>+'bid input'!B19</f>
        <v>1104156</v>
      </c>
      <c r="C163" s="17" t="str">
        <f>+IF('bid input'!R19=1,"Y","N")</f>
        <v>N</v>
      </c>
      <c r="D163" s="2">
        <f>+IF(C163="Y",+'bid input'!M19,0)</f>
        <v>0</v>
      </c>
      <c r="E163" s="17">
        <f t="shared" si="56"/>
        <v>0</v>
      </c>
      <c r="G163" s="3">
        <f t="shared" si="57"/>
        <v>0</v>
      </c>
      <c r="H163" s="3">
        <f t="shared" si="57"/>
        <v>0</v>
      </c>
      <c r="I163" s="3">
        <f t="shared" si="57"/>
        <v>0</v>
      </c>
      <c r="J163" s="3">
        <f t="shared" si="57"/>
        <v>0</v>
      </c>
      <c r="K163" s="3">
        <f t="shared" si="57"/>
        <v>0</v>
      </c>
      <c r="L163" s="3">
        <f t="shared" si="57"/>
        <v>0</v>
      </c>
      <c r="M163" s="2">
        <f t="shared" si="58"/>
        <v>0</v>
      </c>
    </row>
    <row r="164" spans="2:13" hidden="1" outlineLevel="1">
      <c r="B164">
        <f>+'bid input'!B20</f>
        <v>1104157</v>
      </c>
      <c r="C164" s="17" t="str">
        <f>+IF('bid input'!R20=1,"Y","N")</f>
        <v>Y</v>
      </c>
      <c r="D164" s="2">
        <f>+IF(C164="Y",+'bid input'!M20,0)</f>
        <v>629000</v>
      </c>
      <c r="E164" s="17">
        <f t="shared" si="56"/>
        <v>185624.37009544007</v>
      </c>
      <c r="G164" s="3">
        <f t="shared" si="57"/>
        <v>4115.8862207308375</v>
      </c>
      <c r="H164" s="3">
        <f t="shared" si="57"/>
        <v>29108.668253232736</v>
      </c>
      <c r="I164" s="3">
        <f t="shared" si="57"/>
        <v>49575.299086628656</v>
      </c>
      <c r="J164" s="3">
        <f t="shared" si="57"/>
        <v>13569.607783336656</v>
      </c>
      <c r="K164" s="3">
        <f t="shared" si="57"/>
        <v>26623.963044256936</v>
      </c>
      <c r="L164" s="3">
        <f t="shared" si="57"/>
        <v>62630.945707254235</v>
      </c>
      <c r="M164" s="2">
        <f t="shared" si="58"/>
        <v>185624.37009544004</v>
      </c>
    </row>
    <row r="165" spans="2:13" hidden="1" outlineLevel="1">
      <c r="B165">
        <f>+'bid input'!B21</f>
        <v>1104158</v>
      </c>
      <c r="C165" s="17" t="str">
        <f>+IF('bid input'!R21=1,"Y","N")</f>
        <v>N</v>
      </c>
      <c r="D165" s="2">
        <f>+IF(C165="Y",+'bid input'!M21,0)</f>
        <v>0</v>
      </c>
      <c r="E165" s="17">
        <f t="shared" si="56"/>
        <v>0</v>
      </c>
      <c r="G165" s="3">
        <f t="shared" si="57"/>
        <v>0</v>
      </c>
      <c r="H165" s="3">
        <f t="shared" si="57"/>
        <v>0</v>
      </c>
      <c r="I165" s="3">
        <f t="shared" si="57"/>
        <v>0</v>
      </c>
      <c r="J165" s="3">
        <f t="shared" si="57"/>
        <v>0</v>
      </c>
      <c r="K165" s="3">
        <f t="shared" si="57"/>
        <v>0</v>
      </c>
      <c r="L165" s="3">
        <f t="shared" si="57"/>
        <v>0</v>
      </c>
      <c r="M165" s="2">
        <f t="shared" si="58"/>
        <v>0</v>
      </c>
    </row>
    <row r="166" spans="2:13" hidden="1" outlineLevel="1">
      <c r="B166" t="s">
        <v>63</v>
      </c>
      <c r="C166">
        <f>+COUNTIF(C146:C165,"Y")</f>
        <v>3</v>
      </c>
      <c r="D166" s="2">
        <f>SUM(D146:D165)</f>
        <v>1414500</v>
      </c>
      <c r="E166" s="2">
        <f>SUM(E146:E165)</f>
        <v>417433.5</v>
      </c>
      <c r="H166" s="2"/>
      <c r="I166" s="2"/>
      <c r="J166" s="2"/>
      <c r="K166" s="2"/>
      <c r="L166" s="2"/>
      <c r="M166" s="2"/>
    </row>
    <row r="167" spans="2:13" hidden="1" outlineLevel="1">
      <c r="B167" t="s">
        <v>64</v>
      </c>
      <c r="D167" s="2">
        <f>+M141</f>
        <v>417433.5</v>
      </c>
      <c r="E167" s="17"/>
    </row>
    <row r="168" spans="2:13" hidden="1" outlineLevel="1">
      <c r="B168" t="s">
        <v>65</v>
      </c>
      <c r="D168" s="8">
        <f>+D167/D166</f>
        <v>0.29511028632025449</v>
      </c>
      <c r="E168" s="17"/>
    </row>
    <row r="169" spans="2:13" hidden="1" outlineLevel="1">
      <c r="E169" s="17"/>
      <c r="H169" s="5"/>
      <c r="I169" s="5"/>
      <c r="J169" s="5"/>
      <c r="K169" s="5"/>
      <c r="L169" s="5"/>
      <c r="M169" s="5"/>
    </row>
    <row r="170" spans="2:13" collapsed="1">
      <c r="D170" s="18" t="s">
        <v>67</v>
      </c>
      <c r="E170" s="19"/>
      <c r="F170" s="19"/>
      <c r="G170" s="20">
        <f>SUM(G146:G165)</f>
        <v>9255.836342168157</v>
      </c>
      <c r="H170" s="20">
        <f t="shared" ref="H170:L170" si="59">SUM(H146:H165)</f>
        <v>65459.795300791258</v>
      </c>
      <c r="I170" s="20">
        <f t="shared" si="59"/>
        <v>111485.31090307828</v>
      </c>
      <c r="J170" s="20">
        <f t="shared" si="59"/>
        <v>30515.437535023375</v>
      </c>
      <c r="K170" s="20">
        <f t="shared" si="59"/>
        <v>59872.171265662066</v>
      </c>
      <c r="L170" s="20">
        <f t="shared" si="59"/>
        <v>140844.94865327681</v>
      </c>
      <c r="M170" s="21">
        <f>SUM(G170:L170)</f>
        <v>417433.49999999988</v>
      </c>
    </row>
    <row r="171" spans="2:13">
      <c r="D171" s="22" t="s">
        <v>3</v>
      </c>
      <c r="E171" s="23"/>
      <c r="F171" s="23"/>
      <c r="G171" s="48">
        <f>+IF(ISERROR(G67),G133,MAX(G67,G133))</f>
        <v>2.4191176470588237E-2</v>
      </c>
      <c r="H171" s="48">
        <f t="shared" ref="H171:L171" si="60">+IF(ISERROR(H67),H133,MAX(H67,H133))</f>
        <v>2.4191176470588237E-2</v>
      </c>
      <c r="I171" s="48">
        <f t="shared" si="60"/>
        <v>4.6984049387760608E-2</v>
      </c>
      <c r="J171" s="48">
        <f t="shared" si="60"/>
        <v>4.7500000000000001E-2</v>
      </c>
      <c r="K171" s="48">
        <f t="shared" si="60"/>
        <v>2.4191176470588237E-2</v>
      </c>
      <c r="L171" s="48">
        <f t="shared" si="60"/>
        <v>5.2682267617053705E-2</v>
      </c>
      <c r="M171" s="25">
        <f>+SUMPRODUCT(G170:L170,G171:L171)/M170</f>
        <v>4.1595567209644219E-2</v>
      </c>
    </row>
    <row r="172" spans="2:13">
      <c r="E172" s="17"/>
    </row>
    <row r="173" spans="2:13">
      <c r="D173" s="28" t="s">
        <v>40</v>
      </c>
      <c r="E173" s="29"/>
      <c r="F173" s="29"/>
      <c r="G173" s="30">
        <f>+G138+G170</f>
        <v>318725</v>
      </c>
      <c r="H173" s="30">
        <f t="shared" ref="H173:M173" si="61">+H138+H170</f>
        <v>375685</v>
      </c>
      <c r="I173" s="30">
        <f t="shared" si="61"/>
        <v>479875</v>
      </c>
      <c r="J173" s="30">
        <f t="shared" si="61"/>
        <v>525400</v>
      </c>
      <c r="K173" s="30">
        <f t="shared" si="61"/>
        <v>515425</v>
      </c>
      <c r="L173" s="30">
        <f t="shared" si="61"/>
        <v>485000</v>
      </c>
      <c r="M173" s="31">
        <f t="shared" si="61"/>
        <v>2700110</v>
      </c>
    </row>
    <row r="174" spans="2:13">
      <c r="D174" s="32" t="s">
        <v>3</v>
      </c>
      <c r="E174" s="33"/>
      <c r="F174" s="33"/>
      <c r="G174" s="34">
        <f>+IF(ISERR(G139),G171,((G170*G171)+(G138*G139))/G173)</f>
        <v>2.1919117647058822E-2</v>
      </c>
      <c r="H174" s="34">
        <f t="shared" ref="H174:M174" si="62">+IF(ISERR(H139),H171,((H170*H171)+(H138*H139))/H173)</f>
        <v>2.3514705882352938E-2</v>
      </c>
      <c r="I174" s="34">
        <f t="shared" si="62"/>
        <v>4.3587239510208479E-2</v>
      </c>
      <c r="J174" s="34">
        <f t="shared" si="62"/>
        <v>4.5000709785027133E-2</v>
      </c>
      <c r="K174" s="34">
        <f t="shared" si="62"/>
        <v>2.3926470588235296E-2</v>
      </c>
      <c r="L174" s="34">
        <f t="shared" si="62"/>
        <v>5.2682267617053698E-2</v>
      </c>
      <c r="M174" s="35">
        <f t="shared" si="62"/>
        <v>3.6392329730898877E-2</v>
      </c>
    </row>
    <row r="175" spans="2:13">
      <c r="E175" s="17"/>
    </row>
    <row r="176" spans="2:13">
      <c r="D176" t="s">
        <v>35</v>
      </c>
      <c r="G176" s="2">
        <f>+G4-G173</f>
        <v>0</v>
      </c>
      <c r="H176" s="2">
        <f t="shared" ref="H176:M176" si="63">+H4-H173</f>
        <v>0</v>
      </c>
      <c r="I176" s="2">
        <f t="shared" si="63"/>
        <v>0</v>
      </c>
      <c r="J176" s="2">
        <f t="shared" si="63"/>
        <v>0</v>
      </c>
      <c r="K176" s="2">
        <f t="shared" si="63"/>
        <v>0</v>
      </c>
      <c r="L176" s="2">
        <f t="shared" si="63"/>
        <v>0</v>
      </c>
      <c r="M176" s="2">
        <f t="shared" si="63"/>
        <v>0</v>
      </c>
    </row>
    <row r="177" spans="1:13">
      <c r="D177" t="s">
        <v>36</v>
      </c>
      <c r="G177" s="7" t="str">
        <f>+IF(G176=0,"NA",IF(G176&lt;0,"OVER","UNDER"))</f>
        <v>NA</v>
      </c>
      <c r="H177" s="7" t="str">
        <f t="shared" ref="H177:M177" si="64">+IF(H176=0,"NA",IF(H176&lt;0,"OVER","UNDER"))</f>
        <v>NA</v>
      </c>
      <c r="I177" s="7" t="str">
        <f t="shared" si="64"/>
        <v>NA</v>
      </c>
      <c r="J177" s="7" t="str">
        <f t="shared" si="64"/>
        <v>NA</v>
      </c>
      <c r="K177" s="7" t="str">
        <f t="shared" si="64"/>
        <v>NA</v>
      </c>
      <c r="L177" s="7" t="str">
        <f t="shared" si="64"/>
        <v>NA</v>
      </c>
      <c r="M177" s="7" t="str">
        <f t="shared" si="64"/>
        <v>NA</v>
      </c>
    </row>
    <row r="178" spans="1:13">
      <c r="E178" s="17"/>
    </row>
    <row r="179" spans="1:13">
      <c r="A179" t="s">
        <v>72</v>
      </c>
      <c r="E179" s="17"/>
    </row>
    <row r="180" spans="1:13" hidden="1" outlineLevel="1">
      <c r="E180" s="17"/>
    </row>
    <row r="181" spans="1:13" hidden="1" outlineLevel="1">
      <c r="B181" s="16" t="s">
        <v>31</v>
      </c>
      <c r="C181" s="16" t="s">
        <v>34</v>
      </c>
      <c r="D181" s="16" t="s">
        <v>4</v>
      </c>
      <c r="E181" s="17"/>
    </row>
    <row r="182" spans="1:13" hidden="1" outlineLevel="1">
      <c r="B182">
        <f>+'bid input'!B2</f>
        <v>1104134</v>
      </c>
      <c r="C182" s="5">
        <f>+IF(M8&gt;0,F8,0)+IF(M37&gt;0,SUMPRODUCT(G$36:L$36,G37:L37)/M37,0)+E106+IF(M146&gt;0,M$171,0)</f>
        <v>4.1595567209644219E-2</v>
      </c>
      <c r="D182" s="2">
        <f>+M182</f>
        <v>55333.178685047715</v>
      </c>
      <c r="E182" s="17"/>
      <c r="G182" s="2">
        <f>+G146+G106+G37+G8</f>
        <v>1226.9136190572847</v>
      </c>
      <c r="H182" s="2">
        <f t="shared" ref="H182:M182" si="65">+H146+H106+H37+H8</f>
        <v>8677.067245597993</v>
      </c>
      <c r="I182" s="2">
        <f t="shared" si="65"/>
        <v>14778.010459050673</v>
      </c>
      <c r="J182" s="2">
        <f t="shared" si="65"/>
        <v>4044.9943710264274</v>
      </c>
      <c r="K182" s="2">
        <f t="shared" si="65"/>
        <v>7936.3959790114068</v>
      </c>
      <c r="L182" s="2">
        <f t="shared" si="65"/>
        <v>18669.797011303926</v>
      </c>
      <c r="M182" s="2">
        <f>SUM(G182:L182)</f>
        <v>55333.178685047715</v>
      </c>
    </row>
    <row r="183" spans="1:13" hidden="1" outlineLevel="1">
      <c r="B183">
        <f>+'bid input'!B3</f>
        <v>1104143</v>
      </c>
      <c r="C183" s="5">
        <f t="shared" ref="C183:C201" si="66">+IF(M9&gt;0,F9,0)+IF(M38&gt;0,SUMPRODUCT(G$36:L$36,G38:L38)/M38,0)+E107+IF(M147&gt;0,M$171,0)</f>
        <v>2.2500000000000003E-2</v>
      </c>
      <c r="D183" s="2">
        <f t="shared" ref="D183:D201" si="67">+M183</f>
        <v>138882</v>
      </c>
      <c r="E183" s="17"/>
      <c r="G183" s="2">
        <f t="shared" ref="G183:M201" si="68">+G147+G107+G38+G9</f>
        <v>63745</v>
      </c>
      <c r="H183" s="2">
        <f t="shared" si="68"/>
        <v>75137</v>
      </c>
      <c r="I183" s="2">
        <f t="shared" si="68"/>
        <v>0</v>
      </c>
      <c r="J183" s="2">
        <f t="shared" si="68"/>
        <v>0</v>
      </c>
      <c r="K183" s="2">
        <f t="shared" si="68"/>
        <v>0</v>
      </c>
      <c r="L183" s="2">
        <f t="shared" si="68"/>
        <v>0</v>
      </c>
      <c r="M183" s="2">
        <f t="shared" ref="M183:M202" si="69">SUM(G183:L183)</f>
        <v>138882</v>
      </c>
    </row>
    <row r="184" spans="1:13" hidden="1" outlineLevel="1">
      <c r="B184">
        <f>+'bid input'!B4</f>
        <v>1104154</v>
      </c>
      <c r="C184" s="5">
        <f t="shared" si="66"/>
        <v>4.6117011249892495E-2</v>
      </c>
      <c r="D184" s="2">
        <f t="shared" si="67"/>
        <v>185000</v>
      </c>
      <c r="E184" s="17"/>
      <c r="G184" s="2">
        <f t="shared" si="68"/>
        <v>4102.0419379400855</v>
      </c>
      <c r="H184" s="2">
        <f t="shared" si="68"/>
        <v>29010.757715052558</v>
      </c>
      <c r="I184" s="2">
        <f t="shared" si="68"/>
        <v>49408.546551892658</v>
      </c>
      <c r="J184" s="2">
        <f t="shared" si="68"/>
        <v>13523.964760804587</v>
      </c>
      <c r="K184" s="2">
        <f t="shared" si="68"/>
        <v>26534.410113580903</v>
      </c>
      <c r="L184" s="2">
        <f t="shared" si="68"/>
        <v>62420.278920729208</v>
      </c>
      <c r="M184" s="2">
        <f t="shared" si="69"/>
        <v>185000</v>
      </c>
    </row>
    <row r="185" spans="1:13" hidden="1" outlineLevel="1">
      <c r="B185">
        <f>+'bid input'!B5</f>
        <v>1104152</v>
      </c>
      <c r="C185" s="5">
        <f t="shared" si="66"/>
        <v>0.03</v>
      </c>
      <c r="D185" s="2">
        <f t="shared" si="67"/>
        <v>201055</v>
      </c>
      <c r="E185" s="17"/>
      <c r="G185" s="2">
        <f t="shared" si="68"/>
        <v>0</v>
      </c>
      <c r="H185" s="2">
        <f t="shared" si="68"/>
        <v>0</v>
      </c>
      <c r="I185" s="2">
        <f t="shared" si="68"/>
        <v>95975</v>
      </c>
      <c r="J185" s="2">
        <f t="shared" si="68"/>
        <v>105080</v>
      </c>
      <c r="K185" s="2">
        <f t="shared" si="68"/>
        <v>0</v>
      </c>
      <c r="L185" s="2">
        <f t="shared" si="68"/>
        <v>0</v>
      </c>
      <c r="M185" s="2">
        <f t="shared" si="69"/>
        <v>201055</v>
      </c>
    </row>
    <row r="186" spans="1:13" hidden="1" outlineLevel="1">
      <c r="B186">
        <f>+'bid input'!B6</f>
        <v>1104136</v>
      </c>
      <c r="C186" s="5">
        <f t="shared" si="66"/>
        <v>0.06</v>
      </c>
      <c r="D186" s="2">
        <f t="shared" si="67"/>
        <v>105080</v>
      </c>
      <c r="E186" s="17"/>
      <c r="G186" s="2">
        <f t="shared" si="68"/>
        <v>0</v>
      </c>
      <c r="H186" s="2">
        <f t="shared" si="68"/>
        <v>0</v>
      </c>
      <c r="I186" s="2">
        <f t="shared" si="68"/>
        <v>0</v>
      </c>
      <c r="J186" s="2">
        <f t="shared" si="68"/>
        <v>105080</v>
      </c>
      <c r="K186" s="2">
        <f t="shared" si="68"/>
        <v>0</v>
      </c>
      <c r="L186" s="2">
        <f t="shared" si="68"/>
        <v>0</v>
      </c>
      <c r="M186" s="2">
        <f t="shared" si="69"/>
        <v>105080</v>
      </c>
    </row>
    <row r="187" spans="1:13" hidden="1" outlineLevel="1">
      <c r="B187">
        <f>+'bid input'!B7</f>
        <v>1104138</v>
      </c>
      <c r="C187" s="5">
        <f t="shared" si="66"/>
        <v>3.7367011249892501E-2</v>
      </c>
      <c r="D187" s="2">
        <f t="shared" si="67"/>
        <v>300000</v>
      </c>
      <c r="E187" s="17"/>
      <c r="G187" s="2">
        <f t="shared" si="68"/>
        <v>6651.9598993623013</v>
      </c>
      <c r="H187" s="2">
        <f t="shared" si="68"/>
        <v>47044.471970355495</v>
      </c>
      <c r="I187" s="2">
        <f t="shared" si="68"/>
        <v>80121.967381447554</v>
      </c>
      <c r="J187" s="2">
        <f t="shared" si="68"/>
        <v>21930.753666169603</v>
      </c>
      <c r="K187" s="2">
        <f t="shared" si="68"/>
        <v>43028.773157158226</v>
      </c>
      <c r="L187" s="2">
        <f t="shared" si="68"/>
        <v>101222.07392550682</v>
      </c>
      <c r="M187" s="2">
        <f t="shared" si="69"/>
        <v>300000</v>
      </c>
    </row>
    <row r="188" spans="1:13" hidden="1" outlineLevel="1">
      <c r="B188">
        <f>+'bid input'!B8</f>
        <v>1104139</v>
      </c>
      <c r="C188" s="5">
        <f t="shared" si="66"/>
        <v>3.8617011249892495E-2</v>
      </c>
      <c r="D188" s="2">
        <f t="shared" si="67"/>
        <v>250000</v>
      </c>
      <c r="E188" s="17"/>
      <c r="G188" s="2">
        <f t="shared" si="68"/>
        <v>5543.2999161352509</v>
      </c>
      <c r="H188" s="2">
        <f t="shared" si="68"/>
        <v>39203.726641962916</v>
      </c>
      <c r="I188" s="2">
        <f t="shared" si="68"/>
        <v>66768.3061512063</v>
      </c>
      <c r="J188" s="2">
        <f t="shared" si="68"/>
        <v>18275.628055141333</v>
      </c>
      <c r="K188" s="2">
        <f t="shared" si="68"/>
        <v>35857.310964298522</v>
      </c>
      <c r="L188" s="2">
        <f t="shared" si="68"/>
        <v>84351.728271255692</v>
      </c>
      <c r="M188" s="2">
        <f t="shared" si="69"/>
        <v>250000</v>
      </c>
    </row>
    <row r="189" spans="1:13" hidden="1" outlineLevel="1">
      <c r="B189">
        <f>+'bid input'!B9</f>
        <v>1104140</v>
      </c>
      <c r="C189" s="5">
        <f t="shared" si="66"/>
        <v>2.5000000000000001E-2</v>
      </c>
      <c r="D189" s="2">
        <f t="shared" si="67"/>
        <v>103085</v>
      </c>
      <c r="E189" s="17"/>
      <c r="G189" s="2">
        <f t="shared" si="68"/>
        <v>0</v>
      </c>
      <c r="H189" s="2">
        <f t="shared" si="68"/>
        <v>0</v>
      </c>
      <c r="I189" s="2">
        <f t="shared" si="68"/>
        <v>0</v>
      </c>
      <c r="J189" s="2">
        <f t="shared" si="68"/>
        <v>0</v>
      </c>
      <c r="K189" s="2">
        <f t="shared" si="68"/>
        <v>103085</v>
      </c>
      <c r="L189" s="2">
        <f t="shared" si="68"/>
        <v>0</v>
      </c>
      <c r="M189" s="2">
        <f t="shared" si="69"/>
        <v>103085</v>
      </c>
    </row>
    <row r="190" spans="1:13" hidden="1" outlineLevel="1">
      <c r="B190">
        <f>+'bid input'!B10</f>
        <v>1104141</v>
      </c>
      <c r="C190" s="5">
        <f t="shared" si="66"/>
        <v>4.1117011249892498E-2</v>
      </c>
      <c r="D190" s="2">
        <f t="shared" si="67"/>
        <v>285000</v>
      </c>
      <c r="G190" s="2">
        <f t="shared" si="68"/>
        <v>6319.3619043941862</v>
      </c>
      <c r="H190" s="2">
        <f t="shared" si="68"/>
        <v>44692.248371837726</v>
      </c>
      <c r="I190" s="2">
        <f t="shared" si="68"/>
        <v>76115.869012375173</v>
      </c>
      <c r="J190" s="2">
        <f t="shared" si="68"/>
        <v>20834.215982861122</v>
      </c>
      <c r="K190" s="2">
        <f t="shared" si="68"/>
        <v>40877.334499300312</v>
      </c>
      <c r="L190" s="2">
        <f t="shared" si="68"/>
        <v>96160.970229231476</v>
      </c>
      <c r="M190" s="2">
        <f t="shared" si="69"/>
        <v>285000</v>
      </c>
    </row>
    <row r="191" spans="1:13" hidden="1" outlineLevel="1">
      <c r="B191">
        <f>+'bid input'!B11</f>
        <v>1104159</v>
      </c>
      <c r="C191" s="5">
        <f t="shared" si="66"/>
        <v>2.2499999999999999E-2</v>
      </c>
      <c r="D191" s="2">
        <f t="shared" si="67"/>
        <v>63745</v>
      </c>
      <c r="G191" s="2">
        <f t="shared" si="68"/>
        <v>63745</v>
      </c>
      <c r="H191" s="2">
        <f t="shared" si="68"/>
        <v>0</v>
      </c>
      <c r="I191" s="2">
        <f t="shared" si="68"/>
        <v>0</v>
      </c>
      <c r="J191" s="2">
        <f t="shared" si="68"/>
        <v>0</v>
      </c>
      <c r="K191" s="2">
        <f t="shared" si="68"/>
        <v>0</v>
      </c>
      <c r="L191" s="2">
        <f t="shared" si="68"/>
        <v>0</v>
      </c>
      <c r="M191" s="2">
        <f t="shared" si="69"/>
        <v>63745</v>
      </c>
    </row>
    <row r="192" spans="1:13" hidden="1" outlineLevel="1">
      <c r="B192">
        <f>+'bid input'!B12</f>
        <v>1104161</v>
      </c>
      <c r="C192" s="5">
        <f t="shared" si="66"/>
        <v>6.0000000000000005E-2</v>
      </c>
      <c r="D192" s="2">
        <f t="shared" si="67"/>
        <v>105080</v>
      </c>
      <c r="G192" s="2">
        <f t="shared" si="68"/>
        <v>0</v>
      </c>
      <c r="H192" s="2">
        <f t="shared" si="68"/>
        <v>0</v>
      </c>
      <c r="I192" s="2">
        <f t="shared" si="68"/>
        <v>0</v>
      </c>
      <c r="J192" s="2">
        <f t="shared" si="68"/>
        <v>105080</v>
      </c>
      <c r="K192" s="2">
        <f t="shared" si="68"/>
        <v>0</v>
      </c>
      <c r="L192" s="2">
        <f t="shared" si="68"/>
        <v>0</v>
      </c>
      <c r="M192" s="2">
        <f t="shared" si="69"/>
        <v>105080</v>
      </c>
    </row>
    <row r="193" spans="2:13" hidden="1" outlineLevel="1">
      <c r="B193">
        <f>+'bid input'!B13</f>
        <v>1104145</v>
      </c>
      <c r="C193" s="5">
        <f t="shared" si="66"/>
        <v>1.4999999999999999E-2</v>
      </c>
      <c r="D193" s="2">
        <f t="shared" si="67"/>
        <v>31872.5</v>
      </c>
      <c r="G193" s="2">
        <f t="shared" si="68"/>
        <v>31872.5</v>
      </c>
      <c r="H193" s="2">
        <f t="shared" si="68"/>
        <v>0</v>
      </c>
      <c r="I193" s="2">
        <f t="shared" si="68"/>
        <v>0</v>
      </c>
      <c r="J193" s="2">
        <f t="shared" si="68"/>
        <v>0</v>
      </c>
      <c r="K193" s="2">
        <f t="shared" si="68"/>
        <v>0</v>
      </c>
      <c r="L193" s="2">
        <f t="shared" si="68"/>
        <v>0</v>
      </c>
      <c r="M193" s="2">
        <f t="shared" si="69"/>
        <v>31872.5</v>
      </c>
    </row>
    <row r="194" spans="2:13" hidden="1" outlineLevel="1">
      <c r="B194">
        <f>+'bid input'!B14</f>
        <v>1104133</v>
      </c>
      <c r="C194" s="5">
        <f t="shared" si="66"/>
        <v>0.04</v>
      </c>
      <c r="D194" s="2">
        <f t="shared" si="67"/>
        <v>105080</v>
      </c>
      <c r="G194" s="2">
        <f t="shared" si="68"/>
        <v>0</v>
      </c>
      <c r="H194" s="2">
        <f t="shared" si="68"/>
        <v>0</v>
      </c>
      <c r="I194" s="2">
        <f t="shared" si="68"/>
        <v>0</v>
      </c>
      <c r="J194" s="2">
        <f t="shared" si="68"/>
        <v>105080</v>
      </c>
      <c r="K194" s="2">
        <f t="shared" si="68"/>
        <v>0</v>
      </c>
      <c r="L194" s="2">
        <f t="shared" si="68"/>
        <v>0</v>
      </c>
      <c r="M194" s="2">
        <f t="shared" si="69"/>
        <v>105080</v>
      </c>
    </row>
    <row r="195" spans="2:13" hidden="1" outlineLevel="1">
      <c r="B195">
        <f>+'bid input'!B15</f>
        <v>1104149</v>
      </c>
      <c r="C195" s="5">
        <f t="shared" si="66"/>
        <v>2.5000000000000001E-2</v>
      </c>
      <c r="D195" s="2">
        <f t="shared" si="67"/>
        <v>103085</v>
      </c>
      <c r="G195" s="2">
        <f t="shared" si="68"/>
        <v>0</v>
      </c>
      <c r="H195" s="2">
        <f t="shared" si="68"/>
        <v>0</v>
      </c>
      <c r="I195" s="2">
        <f t="shared" si="68"/>
        <v>0</v>
      </c>
      <c r="J195" s="2">
        <f t="shared" si="68"/>
        <v>0</v>
      </c>
      <c r="K195" s="2">
        <f t="shared" si="68"/>
        <v>103085</v>
      </c>
      <c r="L195" s="2">
        <f t="shared" si="68"/>
        <v>0</v>
      </c>
      <c r="M195" s="2">
        <f t="shared" si="69"/>
        <v>103085</v>
      </c>
    </row>
    <row r="196" spans="2:13" hidden="1" outlineLevel="1">
      <c r="B196">
        <f>+'bid input'!B16</f>
        <v>1104151</v>
      </c>
      <c r="C196" s="5">
        <f t="shared" si="66"/>
        <v>2.2499999999999999E-2</v>
      </c>
      <c r="D196" s="2">
        <f t="shared" si="67"/>
        <v>63745</v>
      </c>
      <c r="G196" s="2">
        <f t="shared" si="68"/>
        <v>63745</v>
      </c>
      <c r="H196" s="2">
        <f t="shared" si="68"/>
        <v>0</v>
      </c>
      <c r="I196" s="2">
        <f t="shared" si="68"/>
        <v>0</v>
      </c>
      <c r="J196" s="2">
        <f t="shared" si="68"/>
        <v>0</v>
      </c>
      <c r="K196" s="2">
        <f t="shared" si="68"/>
        <v>0</v>
      </c>
      <c r="L196" s="2">
        <f t="shared" si="68"/>
        <v>0</v>
      </c>
      <c r="M196" s="2">
        <f t="shared" si="69"/>
        <v>63745</v>
      </c>
    </row>
    <row r="197" spans="2:13" hidden="1" outlineLevel="1">
      <c r="B197">
        <f>+'bid input'!B17</f>
        <v>1104131</v>
      </c>
      <c r="C197" s="5">
        <f t="shared" si="66"/>
        <v>4.1595567209644219E-2</v>
      </c>
      <c r="D197" s="2">
        <f t="shared" si="67"/>
        <v>176475.95121951218</v>
      </c>
      <c r="G197" s="2">
        <f t="shared" si="68"/>
        <v>3913.0365023800337</v>
      </c>
      <c r="H197" s="2">
        <f t="shared" si="68"/>
        <v>27674.059801960535</v>
      </c>
      <c r="I197" s="2">
        <f t="shared" si="68"/>
        <v>47132.001357398949</v>
      </c>
      <c r="J197" s="2">
        <f t="shared" si="68"/>
        <v>12900.835380660288</v>
      </c>
      <c r="K197" s="2">
        <f t="shared" si="68"/>
        <v>25311.812242393717</v>
      </c>
      <c r="L197" s="2">
        <f t="shared" si="68"/>
        <v>59544.205934718659</v>
      </c>
      <c r="M197" s="2">
        <f t="shared" si="69"/>
        <v>176475.95121951218</v>
      </c>
    </row>
    <row r="198" spans="2:13" hidden="1" outlineLevel="1">
      <c r="B198">
        <f>+'bid input'!B18</f>
        <v>1104155</v>
      </c>
      <c r="C198" s="5">
        <f t="shared" si="66"/>
        <v>2.1250000000000002E-2</v>
      </c>
      <c r="D198" s="2">
        <f t="shared" si="67"/>
        <v>103085</v>
      </c>
      <c r="G198" s="2">
        <f t="shared" si="68"/>
        <v>0</v>
      </c>
      <c r="H198" s="2">
        <f t="shared" si="68"/>
        <v>0</v>
      </c>
      <c r="I198" s="2">
        <f t="shared" si="68"/>
        <v>0</v>
      </c>
      <c r="J198" s="2">
        <f t="shared" si="68"/>
        <v>0</v>
      </c>
      <c r="K198" s="2">
        <f t="shared" si="68"/>
        <v>103085</v>
      </c>
      <c r="L198" s="2">
        <f t="shared" si="68"/>
        <v>0</v>
      </c>
      <c r="M198" s="2">
        <f t="shared" si="69"/>
        <v>103085</v>
      </c>
    </row>
    <row r="199" spans="2:13" hidden="1" outlineLevel="1">
      <c r="B199">
        <f>+'bid input'!B19</f>
        <v>1104156</v>
      </c>
      <c r="C199" s="5">
        <f t="shared" si="66"/>
        <v>2.2499999999999999E-2</v>
      </c>
      <c r="D199" s="2">
        <f t="shared" si="67"/>
        <v>75137</v>
      </c>
      <c r="G199" s="2">
        <f t="shared" si="68"/>
        <v>0</v>
      </c>
      <c r="H199" s="2">
        <f t="shared" si="68"/>
        <v>75137</v>
      </c>
      <c r="I199" s="2">
        <f t="shared" si="68"/>
        <v>0</v>
      </c>
      <c r="J199" s="2">
        <f t="shared" si="68"/>
        <v>0</v>
      </c>
      <c r="K199" s="2">
        <f t="shared" si="68"/>
        <v>0</v>
      </c>
      <c r="L199" s="2">
        <f t="shared" si="68"/>
        <v>0</v>
      </c>
      <c r="M199" s="2">
        <f t="shared" si="69"/>
        <v>75137</v>
      </c>
    </row>
    <row r="200" spans="2:13" hidden="1" outlineLevel="1">
      <c r="B200">
        <f>+'bid input'!B20</f>
        <v>1104157</v>
      </c>
      <c r="C200" s="5">
        <f t="shared" si="66"/>
        <v>4.1595567209644219E-2</v>
      </c>
      <c r="D200" s="2">
        <f t="shared" si="67"/>
        <v>185624.37009544004</v>
      </c>
      <c r="G200" s="2">
        <f t="shared" si="68"/>
        <v>4115.8862207308375</v>
      </c>
      <c r="H200" s="2">
        <f t="shared" si="68"/>
        <v>29108.668253232736</v>
      </c>
      <c r="I200" s="2">
        <f t="shared" si="68"/>
        <v>49575.299086628656</v>
      </c>
      <c r="J200" s="2">
        <f t="shared" si="68"/>
        <v>13569.607783336656</v>
      </c>
      <c r="K200" s="2">
        <f t="shared" si="68"/>
        <v>26623.963044256936</v>
      </c>
      <c r="L200" s="2">
        <f t="shared" si="68"/>
        <v>62630.945707254235</v>
      </c>
      <c r="M200" s="2">
        <f t="shared" si="69"/>
        <v>185624.37009544004</v>
      </c>
    </row>
    <row r="201" spans="2:13" hidden="1" outlineLevel="1">
      <c r="B201">
        <f>+'bid input'!B21</f>
        <v>1104158</v>
      </c>
      <c r="C201" s="5">
        <f t="shared" si="66"/>
        <v>2.2499999999999999E-2</v>
      </c>
      <c r="D201" s="2">
        <f t="shared" si="67"/>
        <v>63745</v>
      </c>
      <c r="G201" s="2">
        <f t="shared" si="68"/>
        <v>63745</v>
      </c>
      <c r="H201" s="2">
        <f t="shared" si="68"/>
        <v>0</v>
      </c>
      <c r="I201" s="2">
        <f t="shared" si="68"/>
        <v>0</v>
      </c>
      <c r="J201" s="2">
        <f t="shared" si="68"/>
        <v>0</v>
      </c>
      <c r="K201" s="2">
        <f t="shared" si="68"/>
        <v>0</v>
      </c>
      <c r="L201" s="2">
        <f t="shared" si="68"/>
        <v>0</v>
      </c>
      <c r="M201" s="2">
        <f t="shared" si="69"/>
        <v>63745</v>
      </c>
    </row>
    <row r="202" spans="2:13" collapsed="1">
      <c r="B202" s="6" t="s">
        <v>74</v>
      </c>
      <c r="C202" s="5">
        <f>+SUMPRODUCT(C182:C201,M182:M201)/M202</f>
        <v>3.639232973089887E-2</v>
      </c>
      <c r="D202" s="2">
        <f>SUM(D182:D201)</f>
        <v>2700110</v>
      </c>
      <c r="G202" s="2">
        <f>SUM(G182:G201)</f>
        <v>318725</v>
      </c>
      <c r="H202" s="2">
        <f t="shared" ref="H202:M202" si="70">SUM(H182:H201)</f>
        <v>375684.99999999994</v>
      </c>
      <c r="I202" s="2">
        <f t="shared" si="70"/>
        <v>479874.99999999994</v>
      </c>
      <c r="J202" s="2">
        <f t="shared" si="70"/>
        <v>525400</v>
      </c>
      <c r="K202" s="2">
        <f t="shared" si="70"/>
        <v>515425.00000000006</v>
      </c>
      <c r="L202" s="2">
        <f t="shared" si="70"/>
        <v>485000</v>
      </c>
      <c r="M202" s="2">
        <f t="shared" si="69"/>
        <v>2700110</v>
      </c>
    </row>
    <row r="203" spans="2:13">
      <c r="C203" s="5"/>
    </row>
    <row r="204" spans="2:13">
      <c r="B204" t="s">
        <v>75</v>
      </c>
      <c r="C204" s="4">
        <v>0.01</v>
      </c>
    </row>
    <row r="206" spans="2:13">
      <c r="B206" t="s">
        <v>76</v>
      </c>
      <c r="C206" s="4">
        <f>+C204+C202</f>
        <v>4.6392329730898872E-2</v>
      </c>
      <c r="G206" s="5">
        <f>+G174+$C$204</f>
        <v>3.191911764705882E-2</v>
      </c>
      <c r="H206" s="5">
        <f t="shared" ref="H206:L206" si="71">+H174+$C$204</f>
        <v>3.351470588235294E-2</v>
      </c>
      <c r="I206" s="5">
        <f t="shared" si="71"/>
        <v>5.3587239510208481E-2</v>
      </c>
      <c r="J206" s="5">
        <f t="shared" si="71"/>
        <v>5.5000709785027135E-2</v>
      </c>
      <c r="K206" s="5">
        <f t="shared" si="71"/>
        <v>3.3926470588235294E-2</v>
      </c>
      <c r="L206" s="5">
        <f t="shared" si="71"/>
        <v>6.26822676170537E-2</v>
      </c>
      <c r="M206" s="5">
        <f>+M174+$C$204</f>
        <v>4.6392329730898879E-2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bid input</vt:lpstr>
      <vt:lpstr>assets available for bid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duHadway</dc:creator>
  <cp:lastModifiedBy>duHadway</cp:lastModifiedBy>
  <dcterms:created xsi:type="dcterms:W3CDTF">2011-05-06T19:30:48Z</dcterms:created>
  <dcterms:modified xsi:type="dcterms:W3CDTF">2012-01-06T19:42:59Z</dcterms:modified>
</cp:coreProperties>
</file>