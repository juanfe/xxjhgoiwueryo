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comments2.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sharedStrings.xml" ContentType="application/vnd.openxmlformats-officedocument.spreadsheetml.sharedStrings+xml"/>
  <Override PartName="/xl/_rels/workbook.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2.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1" firstSheet="0" showHorizontalScroll="true" showSheetTabs="true" showVerticalScroll="true" tabRatio="601" windowHeight="8192" windowWidth="16384" xWindow="0" yWindow="0"/>
  </bookViews>
  <sheets>
    <sheet name="bid input" sheetId="1" state="visible" r:id="rId2"/>
    <sheet name="assets available for bid" sheetId="2" state="visible" r:id="rId3"/>
  </sheets>
  <definedNames>
    <definedName function="false" hidden="true" localSheetId="0" name="_xlnm._FilterDatabase" vbProcedure="false">'bid input'!$A$1:$N$21</definedName>
    <definedName function="false" hidden="false" name="IsSC" vbProcedure="false">'assets available for bid'!$E$8:$E$27</definedName>
    <definedName function="false" hidden="false" name="IsSNC" vbProcedure="false">'assets available for bid'!$E$58:$E$77</definedName>
    <definedName function="false" hidden="false" name="LoanAmount" vbProcedure="false">'assets available for bid'!$G$4:$M$4</definedName>
    <definedName function="false" hidden="false" name="LoanN_SC" vbProcedure="false">'assets available for bid'!$C$8:$C$27</definedName>
    <definedName function="false" hidden="false" name="LoanN_SNC" vbProcedure="false">'assets available for bid'!$C$58:$C$77</definedName>
    <definedName function="false" hidden="false" name="LoanNumber" vbProcedure="false">'assets available for bid'!$G$2:$L$2</definedName>
    <definedName function="false" hidden="false" name="MO" vbProcedure="false">'assets available for bid'!$G$3:$L$3</definedName>
    <definedName function="false" hidden="false" name="SN_MO" vbProcedure="false">'assets available for bid'!$D$58:$D$77</definedName>
    <definedName function="false" hidden="false" name="SN_Percent" vbProcedure="false">'assets available for bid'!$N$58:$N$77</definedName>
    <definedName function="false" hidden="false" name="S_MO" vbProcedure="false">'assets available for bid'!$D$8:$D$27</definedName>
    <definedName function="false" hidden="false" name="S_Percent" vbProcedure="false">'assets available for bid'!$N$8:$N$27</definedName>
    <definedName function="false" hidden="false" name="_xlnm._FilterDatabase" vbProcedure="false">'bid input'!$A$1:$N$21</definedName>
    <definedName function="false" hidden="false" name="_xlnm._FilterDatabase_1" vbProcedure="false">'bid input'!$A$1:$N$21</definedName>
    <definedName function="false" hidden="false" name="_xlnm._FilterDatabase_1_1" vbProcedure="false">'bid input'!$A$1:$N$21</definedName>
    <definedName function="false" hidden="false" name="_xlnm._FilterDatabase_1_1_1" vbProcedure="false">'bid input'!$A$1:$N$21</definedName>
  </definedNames>
  <calcPr iterateCount="100" refMode="A1" iterate="false" iterateDelta="0.0001"/>
</workbook>
</file>

<file path=xl/comments2.xml><?xml version="1.0" encoding="utf-8"?>
<comments xmlns="http://schemas.openxmlformats.org/spreadsheetml/2006/main" xmlns:xdr="http://schemas.openxmlformats.org/drawingml/2006/spreadsheetDrawing">
  <authors>
    <author/>
  </authors>
  <commentList>
    <comment authorId="0" ref="D54">
      <text>
        <r>
          <rPr>
            <rFont val="Tahoma"/>
            <charset val="1"/>
            <family val="2"/>
            <b val="true"/>
            <color rgb="00000000"/>
            <sz val="8"/>
          </rPr>
          <t xml:space="preserve">duHadway:
</t>
        </r>
        <r>
          <rPr>
            <rFont val="Tahoma"/>
            <charset val="1"/>
            <family val="2"/>
            <color rgb="00000000"/>
            <sz val="8"/>
          </rPr>
          <t xml:space="preserve">Not automated to kill bids based upon rates if over subscribed</t>
        </r>
      </text>
    </comment>
    <comment authorId="0" ref="G57">
      <text>
        <r>
          <rPr>
            <rFont val="Tahoma"/>
            <charset val="1"/>
            <family val="2"/>
            <b val="true"/>
            <color rgb="00000000"/>
            <sz val="8"/>
          </rPr>
          <t xml:space="preserve">duHadway:
</t>
        </r>
        <r>
          <rPr>
            <rFont val="Tahoma"/>
            <charset val="1"/>
            <family val="2"/>
            <color rgb="00000000"/>
            <sz val="8"/>
          </rPr>
          <t xml:space="preserve">DISCOVERY
If Zero, use prior day or prior batch overall market rate.  Input here for testing
</t>
        </r>
      </text>
    </comment>
    <comment authorId="0" ref="D104">
      <text>
        <r>
          <rPr>
            <rFont val="Tahoma"/>
            <charset val="1"/>
            <family val="2"/>
            <b val="true"/>
            <color rgb="00000000"/>
            <sz val="8"/>
          </rPr>
          <t xml:space="preserve">duHadway:
</t>
        </r>
        <r>
          <rPr>
            <rFont val="Tahoma"/>
            <charset val="1"/>
            <family val="2"/>
            <color rgb="00000000"/>
            <sz val="8"/>
          </rPr>
          <t xml:space="preserve">Not automated to kill bids if oversubscribed</t>
        </r>
      </text>
    </comment>
    <comment authorId="0" ref="G112">
      <text>
        <r>
          <rPr>
            <rFont val="Calibri"/>
            <charset val="1"/>
            <family val="2"/>
            <b val="true"/>
            <color rgb="00000000"/>
            <sz val="9"/>
          </rPr>
          <t xml:space="preserve">Hang Zhang:
</t>
        </r>
        <r>
          <rPr>
            <rFont val="Calibri"/>
            <charset val="1"/>
            <family val="2"/>
            <color rgb="00000000"/>
            <sz val="9"/>
          </rPr>
          <t xml:space="preserve">rank in ascending order, since lowest rate &amp; earliest time accept first</t>
        </r>
      </text>
    </comment>
    <comment authorId="0" ref="J112">
      <text>
        <r>
          <rPr>
            <rFont val="Calibri"/>
            <charset val="1"/>
            <family val="2"/>
            <b val="true"/>
            <color rgb="00000000"/>
            <sz val="9"/>
          </rPr>
          <t xml:space="preserve">Hang Zhang:
</t>
        </r>
        <r>
          <rPr>
            <rFont val="Calibri"/>
            <charset val="1"/>
            <family val="2"/>
            <color rgb="00000000"/>
            <sz val="9"/>
          </rPr>
          <t xml:space="preserve">2nd, vlookup the timestamp for the bids with same rates, 12:00:00 am means 0, these bids had no dup rates</t>
        </r>
      </text>
    </comment>
    <comment authorId="0" ref="M112">
      <text>
        <r>
          <rPr>
            <rFont val="Calibri"/>
            <charset val="1"/>
            <family val="2"/>
            <b val="true"/>
            <color rgb="00000000"/>
            <sz val="9"/>
          </rPr>
          <t xml:space="preserve">Hang Zhang:
</t>
        </r>
        <r>
          <rPr>
            <rFont val="Calibri"/>
            <charset val="1"/>
            <family val="2"/>
            <color rgb="00000000"/>
            <sz val="9"/>
          </rPr>
          <t xml:space="preserve">3rd, combine rank &amp; time</t>
        </r>
      </text>
    </comment>
    <comment authorId="0" ref="N112">
      <text>
        <r>
          <rPr>
            <rFont val="Calibri"/>
            <charset val="1"/>
            <family val="2"/>
            <b val="true"/>
            <color rgb="00000000"/>
            <sz val="9"/>
          </rPr>
          <t xml:space="preserve">Hang Zhang:
</t>
        </r>
        <r>
          <rPr>
            <rFont val="Calibri"/>
            <charset val="1"/>
            <family val="2"/>
            <color rgb="00000000"/>
            <sz val="9"/>
          </rPr>
          <t xml:space="preserve">4th, re-rank 20 bids based on smallest rate and earliest time</t>
        </r>
      </text>
    </comment>
    <comment authorId="0" ref="O112">
      <text>
        <r>
          <rPr>
            <rFont val="Calibri"/>
            <charset val="1"/>
            <family val="2"/>
            <b val="true"/>
            <color rgb="00000000"/>
            <sz val="9"/>
          </rPr>
          <t xml:space="preserve">Hang Zhang:
</t>
        </r>
        <r>
          <rPr>
            <rFont val="Calibri"/>
            <charset val="1"/>
            <family val="2"/>
            <color rgb="00000000"/>
            <sz val="9"/>
          </rPr>
          <t xml:space="preserve">link rate</t>
        </r>
      </text>
    </comment>
    <comment authorId="0" ref="P112">
      <text>
        <r>
          <rPr>
            <rFont val="Calibri"/>
            <charset val="1"/>
            <family val="2"/>
            <b val="true"/>
            <color rgb="00000000"/>
            <sz val="9"/>
          </rPr>
          <t xml:space="preserve">Hang Zhang:
</t>
        </r>
        <r>
          <rPr>
            <rFont val="Calibri"/>
            <charset val="1"/>
            <family val="2"/>
            <color rgb="00000000"/>
            <sz val="9"/>
          </rPr>
          <t xml:space="preserve">link bid id, or any other thing needs to be linked, list can go on</t>
        </r>
      </text>
    </comment>
    <comment authorId="0" ref="R112">
      <text>
        <r>
          <rPr>
            <rFont val="Calibri"/>
            <charset val="1"/>
            <family val="2"/>
            <b val="true"/>
            <color rgb="00000000"/>
            <sz val="9"/>
          </rPr>
          <t xml:space="preserve">Hang Zhang:
</t>
        </r>
        <r>
          <rPr>
            <rFont val="Calibri"/>
            <charset val="1"/>
            <family val="2"/>
            <color rgb="00000000"/>
            <sz val="9"/>
          </rPr>
          <t xml:space="preserve">5th, Sort the rank acending order, if no dup rate, rank shows 0</t>
        </r>
      </text>
    </comment>
    <comment authorId="0" ref="S112">
      <text>
        <r>
          <rPr>
            <rFont val="Calibri"/>
            <charset val="1"/>
            <family val="2"/>
            <b val="true"/>
            <color rgb="00000000"/>
            <sz val="9"/>
          </rPr>
          <t xml:space="preserve">Hang Zhang:
</t>
        </r>
        <r>
          <rPr>
            <rFont val="Calibri"/>
            <charset val="1"/>
            <family val="2"/>
            <color rgb="00000000"/>
            <sz val="9"/>
          </rPr>
          <t xml:space="preserve">6th, sort the rank + time acending order, since we want to keep the earliest bid, excel vlookup will find the 1st value if the look up value has dups, so for rank 6, it will only pick up bid 1104155, 1104156 will never be picked up</t>
        </r>
      </text>
    </comment>
    <comment authorId="0" ref="T112">
      <text>
        <r>
          <rPr>
            <rFont val="Calibri"/>
            <charset val="1"/>
            <family val="2"/>
            <b val="true"/>
            <color rgb="00000000"/>
            <sz val="9"/>
          </rPr>
          <t xml:space="preserve">Hang Zhang:
</t>
        </r>
        <r>
          <rPr>
            <rFont val="Calibri"/>
            <charset val="1"/>
            <family val="2"/>
            <color rgb="00000000"/>
            <sz val="9"/>
          </rPr>
          <t xml:space="preserve">link rate</t>
        </r>
      </text>
    </comment>
    <comment authorId="0" ref="U112">
      <text>
        <r>
          <rPr>
            <rFont val="Calibri"/>
            <charset val="1"/>
            <family val="2"/>
            <b val="true"/>
            <color rgb="00000000"/>
            <sz val="9"/>
          </rPr>
          <t xml:space="preserve">Hang Zhang:
</t>
        </r>
        <r>
          <rPr>
            <rFont val="Calibri"/>
            <charset val="1"/>
            <family val="2"/>
            <color rgb="00000000"/>
            <sz val="9"/>
          </rPr>
          <t xml:space="preserve">link bid id, or any other thing needs to be linked, list can go on</t>
        </r>
      </text>
    </comment>
    <comment authorId="0" ref="G138">
      <text>
        <r>
          <rPr>
            <rFont val="Calibri"/>
            <charset val="1"/>
            <family val="2"/>
            <b val="true"/>
            <color rgb="00000000"/>
            <sz val="9"/>
          </rPr>
          <t xml:space="preserve">Hang Zhang:
</t>
        </r>
        <r>
          <rPr>
            <rFont val="Calibri"/>
            <charset val="1"/>
            <family val="2"/>
            <color rgb="00000000"/>
            <sz val="9"/>
          </rPr>
          <t xml:space="preserve">takes lowest rate @ earliest time
</t>
        </r>
      </text>
    </comment>
  </commentList>
</comments>
</file>

<file path=xl/sharedStrings.xml><?xml version="1.0" encoding="utf-8"?>
<sst xmlns="http://schemas.openxmlformats.org/spreadsheetml/2006/main" count="190" uniqueCount="87">
  <si>
    <t>time</t>
  </si>
  <si>
    <t>bidID</t>
  </si>
  <si>
    <t>Bid Type</t>
  </si>
  <si>
    <t>if general: Aggregate $</t>
  </si>
  <si>
    <t>if general, max % per asset</t>
  </si>
  <si>
    <t>if specified, bid %</t>
  </si>
  <si>
    <t>if specified, loan or MO</t>
  </si>
  <si>
    <t>Loan # if applicable</t>
  </si>
  <si>
    <t>MO if applicable</t>
  </si>
  <si>
    <t>order type</t>
  </si>
  <si>
    <t>if competitive, bid rate</t>
  </si>
  <si>
    <t>order timing</t>
  </si>
  <si>
    <t>Funds available</t>
  </si>
  <si>
    <t>If auto, date/time order placed</t>
  </si>
  <si>
    <t>Specified &amp; Competitive</t>
  </si>
  <si>
    <t>Specified &amp; Noncompetitive</t>
  </si>
  <si>
    <t>General &amp; Competitive</t>
  </si>
  <si>
    <t>General &amp; Noncompetitive</t>
  </si>
  <si>
    <t>General</t>
  </si>
  <si>
    <t>Noncompetitive</t>
  </si>
  <si>
    <t>Auto</t>
  </si>
  <si>
    <t>Specified</t>
  </si>
  <si>
    <t>MO</t>
  </si>
  <si>
    <t>ABC Mortgage</t>
  </si>
  <si>
    <t>Competitive</t>
  </si>
  <si>
    <t>Prime Lending</t>
  </si>
  <si>
    <t>Loan</t>
  </si>
  <si>
    <t>Day Trade</t>
  </si>
  <si>
    <t>Best Loans Inc</t>
  </si>
  <si>
    <t>Allocation process:</t>
  </si>
  <si>
    <t>Loan Number</t>
  </si>
  <si>
    <t>Batch Total</t>
  </si>
  <si>
    <t>Integrity Lending</t>
  </si>
  <si>
    <t>Loan Amount</t>
  </si>
  <si>
    <t>Step 2 of process - Assets are assigned Specified/Competitive bids:</t>
  </si>
  <si>
    <t>Bid ID</t>
  </si>
  <si>
    <t>Loan #</t>
  </si>
  <si>
    <t>Specific &amp; Competitive?</t>
  </si>
  <si>
    <t>Rate</t>
  </si>
  <si>
    <t>Total Specified/Competitive</t>
  </si>
  <si>
    <t>WA Rate</t>
  </si>
  <si>
    <t>Remaining need</t>
  </si>
  <si>
    <t>Over(under)subscribed</t>
  </si>
  <si>
    <t>Step 3 of process - Assets are assigned Specified/Non Competitive bids:</t>
  </si>
  <si>
    <t>Specific &amp; NonCompetitive?</t>
  </si>
  <si>
    <t>Rate &gt;&gt;</t>
  </si>
  <si>
    <t>Total Specified/Noncompetitive</t>
  </si>
  <si>
    <t>Step 4 of process - Market rate is determined:</t>
  </si>
  <si>
    <t>Cummulative</t>
  </si>
  <si>
    <t>Subscription %</t>
  </si>
  <si>
    <t>Step 5 of process - General/Competitive bids are assigned to undersubscribed assets:</t>
  </si>
  <si>
    <t>General &amp; Competitive?</t>
  </si>
  <si>
    <t>Aggregate $</t>
  </si>
  <si>
    <t>rank ascending</t>
  </si>
  <si>
    <t>Allocated &amp; accepted</t>
  </si>
  <si>
    <t>Timestamp</t>
  </si>
  <si>
    <t>format-rank</t>
  </si>
  <si>
    <t>re-rank</t>
  </si>
  <si>
    <t>Rank + Time</t>
  </si>
  <si>
    <t>final-rank</t>
  </si>
  <si>
    <t>New rank</t>
  </si>
  <si>
    <t>total</t>
  </si>
  <si>
    <t>Amount required to fund all under subscribed:</t>
  </si>
  <si>
    <t>If bids&gt;under subscribed amount, accept lowest rate first:</t>
  </si>
  <si>
    <t>Bid amt taken</t>
  </si>
  <si>
    <t>Amt required</t>
  </si>
  <si>
    <t>Bid #</t>
  </si>
  <si>
    <t>Amount Awarded</t>
  </si>
  <si>
    <t>Rate Awarded</t>
  </si>
  <si>
    <t>Highest daily rate</t>
  </si>
  <si>
    <t>less: Daily market rate</t>
  </si>
  <si>
    <t>Market Rate differential</t>
  </si>
  <si>
    <t>Market Premium, if applicable</t>
  </si>
  <si>
    <t>Total General/Noncompetitive</t>
  </si>
  <si>
    <t>Step 6 of process - General/Noncompetitive bids are assigned to undersubscribed assets:</t>
  </si>
  <si>
    <t>General &amp; Noncompetitive?</t>
  </si>
  <si>
    <t>Amount</t>
  </si>
  <si>
    <t>Allocation</t>
  </si>
  <si>
    <t>Total available</t>
  </si>
  <si>
    <t>Need</t>
  </si>
  <si>
    <t>allocation %</t>
  </si>
  <si>
    <t>Summary of bid allocations:</t>
  </si>
  <si>
    <t>Total</t>
  </si>
  <si>
    <t>Available After Alloc.</t>
  </si>
  <si>
    <t>Rate to SSI</t>
  </si>
  <si>
    <t>LS Spread</t>
  </si>
  <si>
    <t>Rate to MO</t>
  </si>
</sst>
</file>

<file path=xl/styles.xml><?xml version="1.0" encoding="utf-8"?>
<styleSheet xmlns="http://schemas.openxmlformats.org/spreadsheetml/2006/main">
  <numFmts count="12">
    <numFmt formatCode="GENERAL" numFmtId="164"/>
    <numFmt formatCode="H:MM:SS\ AM/PM;@" numFmtId="165"/>
    <numFmt formatCode="_(\$* #,##0.00_);_(\$* \(#,##0.00\);_(\$* \-??_);_(@_)" numFmtId="166"/>
    <numFmt formatCode="0%" numFmtId="167"/>
    <numFmt formatCode="0.000%" numFmtId="168"/>
    <numFmt formatCode="M/D/YY\ H:MM\ AM/PM;@" numFmtId="169"/>
    <numFmt formatCode="M/D/YYYY\ H:MM" numFmtId="170"/>
    <numFmt formatCode="0.00%" numFmtId="171"/>
    <numFmt formatCode="_(* #,##0.00_);_(* \(#,##0.00\);_(* \-??_);_(@_)" numFmtId="172"/>
    <numFmt formatCode="_(* #,##0_);_(* \(#,##0\);_(* \-??_);_(@_)" numFmtId="173"/>
    <numFmt formatCode="_(* #,##0.0_);_(* \(#,##0.0\);_(* \-??_);_(@_)" numFmtId="174"/>
    <numFmt formatCode="0.0%" numFmtId="175"/>
  </numFmts>
  <fonts count="16">
    <font>
      <name val="Calibri"/>
      <charset val="1"/>
      <family val="2"/>
      <color rgb="00000000"/>
      <sz val="11"/>
    </font>
    <font>
      <name val="Arial"/>
      <family val="0"/>
      <sz val="10"/>
    </font>
    <font>
      <name val="Arial"/>
      <family val="0"/>
      <sz val="10"/>
    </font>
    <font>
      <name val="Arial"/>
      <family val="0"/>
      <sz val="10"/>
    </font>
    <font>
      <name val="Calibri"/>
      <charset val="1"/>
      <family val="2"/>
      <color rgb="00FF0000"/>
      <sz val="11"/>
    </font>
    <font>
      <name val="Calibri"/>
      <charset val="1"/>
      <family val="2"/>
      <color rgb="001F497D"/>
      <sz val="11"/>
    </font>
    <font>
      <name val="Calibri"/>
      <charset val="1"/>
      <family val="2"/>
      <color rgb="00000000"/>
      <sz val="11"/>
      <u val="single"/>
    </font>
    <font>
      <name val="Calibri"/>
      <charset val="1"/>
      <family val="2"/>
      <sz val="11"/>
    </font>
    <font>
      <name val="Calibri"/>
      <charset val="1"/>
      <family val="2"/>
      <color rgb="00FFFFFF"/>
      <sz val="11"/>
    </font>
    <font>
      <name val="Tahoma"/>
      <charset val="1"/>
      <family val="2"/>
      <b val="true"/>
      <color rgb="00000000"/>
      <sz val="8"/>
    </font>
    <font>
      <name val="Tahoma"/>
      <charset val="1"/>
      <family val="2"/>
      <color rgb="00000000"/>
      <sz val="8"/>
    </font>
    <font>
      <name val="Calibri"/>
      <charset val="1"/>
      <family val="2"/>
      <color rgb="00FF0000"/>
      <sz val="11"/>
      <u val="single"/>
    </font>
    <font>
      <name val="Calibri"/>
      <charset val="1"/>
      <family val="2"/>
      <b val="true"/>
      <color rgb="00000000"/>
      <sz val="9"/>
    </font>
    <font>
      <name val="Calibri"/>
      <charset val="1"/>
      <family val="2"/>
      <color rgb="00000000"/>
      <sz val="9"/>
    </font>
    <font>
      <name val="Courier New"/>
      <charset val="1"/>
      <family val="3"/>
      <b val="true"/>
      <color rgb="00FF0000"/>
      <sz val="12"/>
    </font>
    <font>
      <name val="Calibri"/>
      <charset val="1"/>
      <family val="2"/>
      <color rgb="00000000"/>
      <sz val="11"/>
      <u val="double"/>
    </font>
  </fonts>
  <fills count="3">
    <fill>
      <patternFill patternType="none"/>
    </fill>
    <fill>
      <patternFill patternType="gray125"/>
    </fill>
    <fill>
      <patternFill patternType="solid">
        <fgColor rgb="00DCE6F2"/>
        <bgColor rgb="00CCFFFF"/>
      </patternFill>
    </fill>
  </fills>
  <borders count="9">
    <border diagonalDown="false" diagonalUp="false">
      <left/>
      <right/>
      <top/>
      <bottom/>
      <diagonal/>
    </border>
    <border diagonalDown="false" diagonalUp="false">
      <left style="thin"/>
      <right/>
      <top style="thin"/>
      <bottom/>
      <diagonal/>
    </border>
    <border diagonalDown="false" diagonalUp="false">
      <left/>
      <right/>
      <top style="thin"/>
      <bottom/>
      <diagonal/>
    </border>
    <border diagonalDown="false" diagonalUp="false">
      <left/>
      <right style="thin"/>
      <top style="thin"/>
      <bottom/>
      <diagonal/>
    </border>
    <border diagonalDown="false" diagonalUp="false">
      <left style="thin"/>
      <right/>
      <top/>
      <bottom style="thin"/>
      <diagonal/>
    </border>
    <border diagonalDown="false" diagonalUp="false">
      <left/>
      <right/>
      <top/>
      <bottom style="thin"/>
      <diagonal/>
    </border>
    <border diagonalDown="false" diagonalUp="false">
      <left/>
      <right style="thin"/>
      <top/>
      <bottom style="thin"/>
      <diagonal/>
    </border>
    <border diagonalDown="false" diagonalUp="false">
      <left style="thin"/>
      <right/>
      <top/>
      <bottom/>
      <diagonal/>
    </border>
    <border diagonalDown="false" diagonalUp="false">
      <left/>
      <right style="thin"/>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true" applyBorder="true" applyFont="true" applyProtection="true" borderId="0" fillId="0" fontId="0" numFmtId="172">
      <alignment horizontal="general" indent="0" shrinkToFit="false" textRotation="0" vertical="bottom" wrapText="false"/>
      <protection hidden="false" locked="true"/>
    </xf>
    <xf applyAlignment="false" applyBorder="false" applyFont="true" applyProtection="false" borderId="0" fillId="0" fontId="1" numFmtId="41"/>
    <xf applyAlignment="true" applyBorder="true" applyFont="true" applyProtection="true" borderId="0" fillId="0" fontId="0" numFmtId="166">
      <alignment horizontal="general" indent="0" shrinkToFit="false" textRotation="0" vertical="bottom" wrapText="false"/>
      <protection hidden="false" locked="true"/>
    </xf>
    <xf applyAlignment="false" applyBorder="false" applyFont="true" applyProtection="false" borderId="0" fillId="0" fontId="1" numFmtId="42"/>
    <xf applyAlignment="true" applyBorder="true" applyFont="true" applyProtection="true" borderId="0" fillId="0" fontId="0" numFmtId="167">
      <alignment horizontal="general" indent="0" shrinkToFit="false" textRotation="0" vertical="bottom" wrapText="false"/>
      <protection hidden="false" locked="true"/>
    </xf>
  </cellStyleXfs>
  <cellXfs count="69">
    <xf applyAlignment="false" applyBorder="false" applyFont="false" applyProtection="false" borderId="0" fillId="0" fontId="0" numFmtId="164" xfId="0"/>
    <xf applyAlignment="false" applyBorder="false" applyFont="true" applyProtection="false" borderId="0" fillId="0" fontId="4" numFmtId="164" xfId="0"/>
    <xf applyAlignment="true" applyBorder="false" applyFont="true" applyProtection="false" borderId="0" fillId="0" fontId="0" numFmtId="164" xfId="0">
      <alignment horizontal="general" indent="0" shrinkToFit="false" textRotation="0" vertical="bottom" wrapText="true"/>
    </xf>
    <xf applyAlignment="true" applyBorder="false" applyFont="true" applyProtection="false" borderId="0" fillId="0" fontId="4" numFmtId="164" xfId="0">
      <alignment horizontal="general" indent="0" shrinkToFit="false" textRotation="0" vertical="bottom" wrapText="true"/>
    </xf>
    <xf applyAlignment="false" applyBorder="false" applyFont="false" applyProtection="false" borderId="0" fillId="0" fontId="0" numFmtId="165" xfId="0"/>
    <xf applyAlignment="false" applyBorder="false" applyFont="true" applyProtection="false" borderId="0" fillId="0" fontId="5" numFmtId="164" xfId="0"/>
    <xf applyAlignment="true" applyBorder="true" applyFont="true" applyProtection="true" borderId="0" fillId="0" fontId="5" numFmtId="166" xfId="17">
      <alignment horizontal="general" indent="0" shrinkToFit="false" textRotation="0" vertical="bottom" wrapText="false"/>
      <protection hidden="false" locked="true"/>
    </xf>
    <xf applyAlignment="true" applyBorder="true" applyFont="true" applyProtection="true" borderId="0" fillId="0" fontId="5" numFmtId="167" xfId="19">
      <alignment horizontal="general" indent="0" shrinkToFit="false" textRotation="0" vertical="bottom" wrapText="false"/>
      <protection hidden="false" locked="true"/>
    </xf>
    <xf applyAlignment="true" applyBorder="true" applyFont="true" applyProtection="true" borderId="0" fillId="0" fontId="5" numFmtId="168" xfId="19">
      <alignment horizontal="general" indent="0" shrinkToFit="false" textRotation="0" vertical="bottom" wrapText="false"/>
      <protection hidden="false" locked="true"/>
    </xf>
    <xf applyAlignment="false" applyBorder="false" applyFont="true" applyProtection="false" borderId="0" fillId="0" fontId="5" numFmtId="169" xfId="0"/>
    <xf applyAlignment="false" applyBorder="false" applyFont="true" applyProtection="false" borderId="0" fillId="0" fontId="4" numFmtId="165" xfId="0"/>
    <xf applyAlignment="false" applyBorder="false" applyFont="false" applyProtection="false" borderId="0" fillId="0" fontId="0" numFmtId="170" xfId="0"/>
    <xf applyAlignment="false" applyBorder="false" applyFont="true" applyProtection="false" borderId="0" fillId="0" fontId="5" numFmtId="166" xfId="0"/>
    <xf applyAlignment="false" applyBorder="false" applyFont="false" applyProtection="false" borderId="0" fillId="0" fontId="0" numFmtId="166" xfId="0"/>
    <xf applyAlignment="true" applyBorder="true" applyFont="true" applyProtection="false" borderId="0" fillId="0" fontId="6" numFmtId="164" xfId="0">
      <alignment horizontal="center" indent="0" shrinkToFit="false" textRotation="0" vertical="bottom" wrapText="false"/>
    </xf>
    <xf applyAlignment="true" applyBorder="true" applyFont="true" applyProtection="false" borderId="0" fillId="0" fontId="6" numFmtId="164" xfId="0">
      <alignment horizontal="center" indent="0" shrinkToFit="false" textRotation="0" vertical="bottom" wrapText="true"/>
    </xf>
    <xf applyAlignment="false" applyBorder="false" applyFont="true" applyProtection="false" borderId="0" fillId="0" fontId="7" numFmtId="164" xfId="0"/>
    <xf applyAlignment="true" applyBorder="false" applyFont="true" applyProtection="false" borderId="0" fillId="0" fontId="7" numFmtId="166" xfId="0">
      <alignment horizontal="center" indent="0" shrinkToFit="false" textRotation="0" vertical="bottom" wrapText="false"/>
    </xf>
    <xf applyAlignment="true" applyBorder="true" applyFont="true" applyProtection="true" borderId="0" fillId="0" fontId="0" numFmtId="168" xfId="19">
      <alignment horizontal="general" indent="0" shrinkToFit="false" textRotation="0" vertical="bottom" wrapText="false"/>
      <protection hidden="false" locked="true"/>
    </xf>
    <xf applyAlignment="false" applyBorder="false" applyFont="true" applyProtection="false" borderId="0" fillId="0" fontId="0" numFmtId="164" xfId="0"/>
    <xf applyAlignment="false" applyBorder="false" applyFont="true" applyProtection="false" borderId="0" fillId="0" fontId="8" numFmtId="171" xfId="0"/>
    <xf applyAlignment="false" applyBorder="true" applyFont="true" applyProtection="false" borderId="1" fillId="0" fontId="0" numFmtId="164" xfId="0"/>
    <xf applyAlignment="false" applyBorder="true" applyFont="false" applyProtection="false" borderId="2" fillId="0" fontId="0" numFmtId="164" xfId="0"/>
    <xf applyAlignment="false" applyBorder="true" applyFont="false" applyProtection="false" borderId="2" fillId="0" fontId="0" numFmtId="166" xfId="0"/>
    <xf applyAlignment="false" applyBorder="true" applyFont="false" applyProtection="false" borderId="3" fillId="0" fontId="0" numFmtId="166" xfId="0"/>
    <xf applyAlignment="false" applyBorder="true" applyFont="true" applyProtection="false" borderId="4" fillId="0" fontId="0" numFmtId="164" xfId="0"/>
    <xf applyAlignment="false" applyBorder="true" applyFont="false" applyProtection="false" borderId="5" fillId="0" fontId="0" numFmtId="164" xfId="0"/>
    <xf applyAlignment="true" applyBorder="true" applyFont="true" applyProtection="true" borderId="5" fillId="0" fontId="0" numFmtId="168" xfId="19">
      <alignment horizontal="general" indent="0" shrinkToFit="false" textRotation="0" vertical="bottom" wrapText="false"/>
      <protection hidden="false" locked="true"/>
    </xf>
    <xf applyAlignment="true" applyBorder="true" applyFont="true" applyProtection="true" borderId="6" fillId="0" fontId="0" numFmtId="168" xfId="19">
      <alignment horizontal="general" indent="0" shrinkToFit="false" textRotation="0" vertical="bottom" wrapText="false"/>
      <protection hidden="false" locked="true"/>
    </xf>
    <xf applyAlignment="true" applyBorder="false" applyFont="false" applyProtection="false" borderId="0" fillId="0" fontId="0" numFmtId="164" xfId="0">
      <alignment horizontal="center" indent="0" shrinkToFit="false" textRotation="0" vertical="bottom" wrapText="false"/>
    </xf>
    <xf applyAlignment="false" applyBorder="false" applyFont="true" applyProtection="false" borderId="0" fillId="0" fontId="5" numFmtId="168" xfId="0"/>
    <xf applyAlignment="false" applyBorder="false" applyFont="true" applyProtection="false" borderId="0" fillId="0" fontId="0" numFmtId="166" xfId="0"/>
    <xf applyAlignment="false" applyBorder="true" applyFont="false" applyProtection="false" borderId="0" fillId="0" fontId="0" numFmtId="164" xfId="0"/>
    <xf applyAlignment="false" applyBorder="true" applyFont="true" applyProtection="false" borderId="1" fillId="2" fontId="0" numFmtId="164" xfId="0"/>
    <xf applyAlignment="false" applyBorder="true" applyFont="false" applyProtection="false" borderId="2" fillId="2" fontId="0" numFmtId="164" xfId="0"/>
    <xf applyAlignment="false" applyBorder="true" applyFont="false" applyProtection="false" borderId="2" fillId="2" fontId="0" numFmtId="166" xfId="0"/>
    <xf applyAlignment="false" applyBorder="true" applyFont="false" applyProtection="false" borderId="3" fillId="2" fontId="0" numFmtId="166" xfId="0"/>
    <xf applyAlignment="false" applyBorder="true" applyFont="true" applyProtection="false" borderId="7" fillId="2" fontId="0" numFmtId="164" xfId="0"/>
    <xf applyAlignment="false" applyBorder="true" applyFont="false" applyProtection="false" borderId="0" fillId="2" fontId="0" numFmtId="164" xfId="0"/>
    <xf applyAlignment="true" applyBorder="true" applyFont="true" applyProtection="true" borderId="0" fillId="2" fontId="0" numFmtId="167" xfId="19">
      <alignment horizontal="general" indent="0" shrinkToFit="false" textRotation="0" vertical="bottom" wrapText="false"/>
      <protection hidden="false" locked="true"/>
    </xf>
    <xf applyAlignment="false" applyBorder="true" applyFont="false" applyProtection="false" borderId="8" fillId="2" fontId="0" numFmtId="166" xfId="0"/>
    <xf applyAlignment="false" applyBorder="true" applyFont="true" applyProtection="false" borderId="4" fillId="2" fontId="0" numFmtId="164" xfId="0"/>
    <xf applyAlignment="false" applyBorder="true" applyFont="false" applyProtection="false" borderId="5" fillId="2" fontId="0" numFmtId="164" xfId="0"/>
    <xf applyAlignment="true" applyBorder="true" applyFont="true" applyProtection="true" borderId="5" fillId="2" fontId="0" numFmtId="168" xfId="19">
      <alignment horizontal="general" indent="0" shrinkToFit="false" textRotation="0" vertical="bottom" wrapText="false"/>
      <protection hidden="false" locked="true"/>
    </xf>
    <xf applyAlignment="true" applyBorder="true" applyFont="true" applyProtection="true" borderId="6" fillId="2" fontId="0" numFmtId="168" xfId="19">
      <alignment horizontal="general" indent="0" shrinkToFit="false" textRotation="0" vertical="bottom" wrapText="false"/>
      <protection hidden="false" locked="true"/>
    </xf>
    <xf applyAlignment="true" applyBorder="true" applyFont="true" applyProtection="false" borderId="0" fillId="0" fontId="11" numFmtId="164" xfId="0">
      <alignment horizontal="center" indent="0" shrinkToFit="false" textRotation="0" vertical="bottom" wrapText="false"/>
    </xf>
    <xf applyAlignment="false" applyBorder="false" applyFont="true" applyProtection="false" borderId="0" fillId="0" fontId="14" numFmtId="164" xfId="0"/>
    <xf applyAlignment="true" applyBorder="true" applyFont="true" applyProtection="true" borderId="0" fillId="0" fontId="0" numFmtId="173" xfId="15">
      <alignment horizontal="general" indent="0" shrinkToFit="false" textRotation="0" vertical="bottom" wrapText="false"/>
      <protection hidden="false" locked="true"/>
    </xf>
    <xf applyAlignment="true" applyBorder="true" applyFont="true" applyProtection="true" borderId="0" fillId="0" fontId="4" numFmtId="173" xfId="15">
      <alignment horizontal="general" indent="0" shrinkToFit="false" textRotation="0" vertical="bottom" wrapText="false"/>
      <protection hidden="false" locked="true"/>
    </xf>
    <xf applyAlignment="true" applyBorder="true" applyFont="true" applyProtection="true" borderId="0" fillId="0" fontId="0" numFmtId="166" xfId="17">
      <alignment horizontal="general" indent="0" shrinkToFit="false" textRotation="0" vertical="bottom" wrapText="false"/>
      <protection hidden="false" locked="true"/>
    </xf>
    <xf applyAlignment="true" applyBorder="true" applyFont="true" applyProtection="true" borderId="0" fillId="0" fontId="4" numFmtId="169" xfId="17">
      <alignment horizontal="general" indent="0" shrinkToFit="false" textRotation="0" vertical="bottom" wrapText="false"/>
      <protection hidden="false" locked="true"/>
    </xf>
    <xf applyAlignment="true" applyBorder="true" applyFont="true" applyProtection="true" borderId="0" fillId="0" fontId="4" numFmtId="172" xfId="15">
      <alignment horizontal="general" indent="0" shrinkToFit="false" textRotation="0" vertical="bottom" wrapText="false"/>
      <protection hidden="false" locked="true"/>
    </xf>
    <xf applyAlignment="true" applyBorder="true" applyFont="true" applyProtection="true" borderId="0" fillId="0" fontId="4" numFmtId="168" xfId="19">
      <alignment horizontal="general" indent="0" shrinkToFit="false" textRotation="0" vertical="bottom" wrapText="false"/>
      <protection hidden="false" locked="true"/>
    </xf>
    <xf applyAlignment="true" applyBorder="true" applyFont="true" applyProtection="true" borderId="0" fillId="0" fontId="4" numFmtId="164" xfId="19">
      <alignment horizontal="general" indent="0" shrinkToFit="false" textRotation="0" vertical="bottom" wrapText="false"/>
      <protection hidden="false" locked="true"/>
    </xf>
    <xf applyAlignment="true" applyBorder="true" applyFont="true" applyProtection="true" borderId="0" fillId="0" fontId="4" numFmtId="174" xfId="15">
      <alignment horizontal="general" indent="0" shrinkToFit="false" textRotation="0" vertical="bottom" wrapText="false"/>
      <protection hidden="false" locked="true"/>
    </xf>
    <xf applyAlignment="false" applyBorder="true" applyFont="true" applyProtection="false" borderId="0" fillId="0" fontId="4" numFmtId="164" xfId="0"/>
    <xf applyAlignment="false" applyBorder="false" applyFont="false" applyProtection="false" borderId="0" fillId="0" fontId="0" numFmtId="173" xfId="0"/>
    <xf applyAlignment="false" applyBorder="false" applyFont="true" applyProtection="false" borderId="0" fillId="0" fontId="5" numFmtId="171" xfId="0"/>
    <xf applyAlignment="false" applyBorder="false" applyFont="true" applyProtection="false" borderId="0" fillId="0" fontId="4" numFmtId="166" xfId="0"/>
    <xf applyAlignment="true" applyBorder="true" applyFont="true" applyProtection="true" borderId="0" fillId="0" fontId="4" numFmtId="166" xfId="17">
      <alignment horizontal="general" indent="0" shrinkToFit="false" textRotation="0" vertical="bottom" wrapText="false"/>
      <protection hidden="false" locked="true"/>
    </xf>
    <xf applyAlignment="false" applyBorder="false" applyFont="false" applyProtection="false" borderId="0" fillId="0" fontId="0" numFmtId="168" xfId="0"/>
    <xf applyAlignment="true" applyBorder="false" applyFont="true" applyProtection="false" borderId="0" fillId="0" fontId="7" numFmtId="168" xfId="0">
      <alignment horizontal="center" indent="0" shrinkToFit="false" textRotation="0" vertical="bottom" wrapText="false"/>
    </xf>
    <xf applyAlignment="true" applyBorder="true" applyFont="true" applyProtection="true" borderId="0" fillId="0" fontId="8" numFmtId="168" xfId="19">
      <alignment horizontal="general" indent="0" shrinkToFit="false" textRotation="0" vertical="bottom" wrapText="false"/>
      <protection hidden="false" locked="true"/>
    </xf>
    <xf applyAlignment="false" applyBorder="false" applyFont="true" applyProtection="false" borderId="0" fillId="0" fontId="6" numFmtId="168" xfId="0"/>
    <xf applyAlignment="false" applyBorder="false" applyFont="true" applyProtection="false" borderId="0" fillId="0" fontId="15" numFmtId="168" xfId="0"/>
    <xf applyAlignment="true" applyBorder="false" applyFont="true" applyProtection="false" borderId="0" fillId="0" fontId="5" numFmtId="171" xfId="0">
      <alignment horizontal="center" indent="0" shrinkToFit="false" textRotation="0" vertical="bottom" wrapText="false"/>
    </xf>
    <xf applyAlignment="false" applyBorder="true" applyFont="false" applyProtection="false" borderId="5" fillId="0" fontId="0" numFmtId="168" xfId="0"/>
    <xf applyAlignment="true" applyBorder="true" applyFont="true" applyProtection="true" borderId="0" fillId="0" fontId="0" numFmtId="175" xfId="19">
      <alignment horizontal="general" indent="0" shrinkToFit="false" textRotation="0" vertical="bottom" wrapText="false"/>
      <protection hidden="false" locked="true"/>
    </xf>
    <xf applyAlignment="true" applyBorder="false" applyFont="true" applyProtection="false" borderId="0" fillId="0" fontId="4" numFmtId="164" xfId="0">
      <alignment horizontal="center" indent="0" shrinkToFit="false" textRotation="0" vertical="bottom" wrapText="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DCE6F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1F497D"/>
      <rgbColor rgb="00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drawings/drawing1.xml><?xml version="1.0" encoding="utf-8"?>
<xdr:wsDr xmlns:a="http://schemas.openxmlformats.org/drawingml/2006/main" xmlns:r="http://schemas.openxmlformats.org/officeDocument/2006/relationships" xmlns:xdr="http://schemas.openxmlformats.org/drawingml/2006/spreadsheetDrawing"/>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T21"/>
  <sheetViews>
    <sheetView colorId="64" defaultGridColor="true" rightToLeft="false" showFormulas="false" showGridLines="true" showOutlineSymbols="true" showRowColHeaders="true" showZeros="true" tabSelected="false" topLeftCell="A1" view="normal" windowProtection="false" workbookViewId="0" zoomScale="125" zoomScaleNormal="125" zoomScalePageLayoutView="100">
      <selection activeCell="C2" activeCellId="0" pane="topLeft" sqref="C2"/>
    </sheetView>
  </sheetViews>
  <cols>
    <col collapsed="false" hidden="false" max="1" min="1" style="0" width="11.6156862745098"/>
    <col collapsed="false" hidden="false" max="3" min="2" style="0" width="8.54117647058824"/>
    <col collapsed="false" hidden="false" max="4" min="4" style="0" width="15.5411764705882"/>
    <col collapsed="false" hidden="false" max="8" min="5" style="0" width="8.54117647058824"/>
    <col collapsed="false" hidden="false" max="9" min="9" style="0" width="15.6823529411765"/>
    <col collapsed="false" hidden="false" max="10" min="10" style="0" width="16.1137254901961"/>
    <col collapsed="false" hidden="false" max="11" min="11" style="0" width="13.5019607843137"/>
    <col collapsed="false" hidden="false" max="12" min="12" style="0" width="9.88235294117647"/>
    <col collapsed="false" hidden="false" max="13" min="13" style="0" width="17.1372549019608"/>
    <col collapsed="false" hidden="false" max="14" min="14" style="0" width="17.2901960784314"/>
    <col collapsed="false" hidden="false" max="16" min="15" style="0" width="9.58823529411765"/>
    <col collapsed="false" hidden="false" max="18" min="17" style="0" width="8.54117647058824"/>
    <col collapsed="false" hidden="false" max="19" min="19" style="1" width="11.0274509803922"/>
    <col collapsed="false" hidden="false" max="20" min="20" style="0" width="12.1960784313725"/>
    <col collapsed="false" hidden="false" max="1025" min="21" style="0" width="8.54117647058824"/>
  </cols>
  <sheetData>
    <row collapsed="false" customFormat="true" customHeight="false" hidden="false" ht="68.65" outlineLevel="0" r="1" s="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3" t="s">
        <v>0</v>
      </c>
    </row>
    <row collapsed="false" customFormat="false" customHeight="false" hidden="false" ht="14" outlineLevel="0" r="2">
      <c r="A2" s="4" t="n">
        <v>0.625</v>
      </c>
      <c r="B2" s="0" t="n">
        <v>1104134</v>
      </c>
      <c r="C2" s="5" t="s">
        <v>18</v>
      </c>
      <c r="D2" s="6" t="n">
        <v>15000000</v>
      </c>
      <c r="E2" s="7" t="n">
        <v>0.1</v>
      </c>
      <c r="F2" s="7"/>
      <c r="G2" s="5"/>
      <c r="H2" s="5"/>
      <c r="I2" s="5"/>
      <c r="J2" s="5" t="s">
        <v>19</v>
      </c>
      <c r="K2" s="8"/>
      <c r="L2" s="5" t="s">
        <v>20</v>
      </c>
      <c r="M2" s="6" t="n">
        <v>187500</v>
      </c>
      <c r="N2" s="9" t="n">
        <v>40892.5370949074</v>
      </c>
      <c r="O2" s="0" t="n">
        <f aca="false">+IF(AND(C2="Specified",J2="Competitive"),1,0)</f>
        <v>0</v>
      </c>
      <c r="P2" s="0" t="n">
        <f aca="false">+IF(AND(C2="Specified",J2="Noncompetitive"),1,0)</f>
        <v>0</v>
      </c>
      <c r="Q2" s="0" t="n">
        <f aca="false">+IF(AND(C2="General",J2="Competitive"),1,0)</f>
        <v>0</v>
      </c>
      <c r="R2" s="0" t="n">
        <f aca="false">+IF(AND(C2="General",J2="Noncompetitive"),1,0)</f>
        <v>1</v>
      </c>
      <c r="S2" s="10" t="n">
        <v>40928.625</v>
      </c>
      <c r="T2" s="11"/>
    </row>
    <row collapsed="false" customFormat="false" customHeight="false" hidden="false" ht="14" outlineLevel="0" r="3">
      <c r="A3" s="4" t="n">
        <v>0.625</v>
      </c>
      <c r="B3" s="0" t="n">
        <v>1104143</v>
      </c>
      <c r="C3" s="5" t="s">
        <v>21</v>
      </c>
      <c r="D3" s="6"/>
      <c r="E3" s="7"/>
      <c r="F3" s="7" t="n">
        <v>0.2</v>
      </c>
      <c r="G3" s="5" t="s">
        <v>22</v>
      </c>
      <c r="H3" s="5"/>
      <c r="I3" s="5" t="s">
        <v>23</v>
      </c>
      <c r="J3" s="5" t="s">
        <v>19</v>
      </c>
      <c r="K3" s="8"/>
      <c r="L3" s="5" t="s">
        <v>20</v>
      </c>
      <c r="M3" s="6" t="n">
        <v>500000</v>
      </c>
      <c r="N3" s="9" t="n">
        <v>40897.3636342593</v>
      </c>
      <c r="O3" s="0" t="n">
        <f aca="false">+IF(AND(C3="Specified",J3="Competitive"),1,0)</f>
        <v>0</v>
      </c>
      <c r="P3" s="0" t="n">
        <f aca="false">+IF(AND(C3="Specified",J3="Noncompetitive"),1,0)</f>
        <v>1</v>
      </c>
      <c r="Q3" s="0" t="n">
        <f aca="false">+IF(AND(C3="General",J3="Competitive"),1,0)</f>
        <v>0</v>
      </c>
      <c r="R3" s="0" t="n">
        <f aca="false">+IF(AND(C3="General",J3="Noncompetitive"),1,0)</f>
        <v>0</v>
      </c>
      <c r="S3" s="10" t="n">
        <v>40928.625</v>
      </c>
      <c r="T3" s="11"/>
    </row>
    <row collapsed="false" customFormat="false" customHeight="false" hidden="false" ht="14" outlineLevel="0" r="4">
      <c r="A4" s="4" t="n">
        <v>0.625</v>
      </c>
      <c r="B4" s="0" t="n">
        <v>1104154</v>
      </c>
      <c r="C4" s="5" t="s">
        <v>18</v>
      </c>
      <c r="D4" s="6" t="n">
        <v>20000000</v>
      </c>
      <c r="E4" s="7" t="n">
        <v>0.2</v>
      </c>
      <c r="F4" s="7"/>
      <c r="G4" s="5"/>
      <c r="H4" s="5"/>
      <c r="I4" s="5"/>
      <c r="J4" s="5" t="s">
        <v>24</v>
      </c>
      <c r="K4" s="8" t="n">
        <v>0.03</v>
      </c>
      <c r="L4" s="5" t="s">
        <v>20</v>
      </c>
      <c r="M4" s="6" t="n">
        <v>185000</v>
      </c>
      <c r="N4" s="9" t="n">
        <v>40913.3866666667</v>
      </c>
      <c r="O4" s="0" t="n">
        <f aca="false">+IF(AND(C4="Specified",J4="Competitive"),1,0)</f>
        <v>0</v>
      </c>
      <c r="P4" s="0" t="n">
        <f aca="false">+IF(AND(C4="Specified",J4="Noncompetitive"),1,0)</f>
        <v>0</v>
      </c>
      <c r="Q4" s="0" t="n">
        <f aca="false">+IF(AND(C4="General",J4="Competitive"),1,0)</f>
        <v>1</v>
      </c>
      <c r="R4" s="0" t="n">
        <f aca="false">+IF(AND(C4="General",J4="Noncompetitive"),1,0)</f>
        <v>0</v>
      </c>
      <c r="S4" s="10" t="n">
        <v>40928.625</v>
      </c>
      <c r="T4" s="11"/>
    </row>
    <row collapsed="false" customFormat="false" customHeight="false" hidden="false" ht="14" outlineLevel="0" r="5">
      <c r="A5" s="4" t="n">
        <v>0.625</v>
      </c>
      <c r="B5" s="0" t="n">
        <v>1104152</v>
      </c>
      <c r="C5" s="5" t="s">
        <v>21</v>
      </c>
      <c r="D5" s="6"/>
      <c r="E5" s="7"/>
      <c r="F5" s="7" t="n">
        <v>0.2</v>
      </c>
      <c r="G5" s="5" t="s">
        <v>22</v>
      </c>
      <c r="H5" s="5"/>
      <c r="I5" s="5" t="s">
        <v>25</v>
      </c>
      <c r="J5" s="5" t="s">
        <v>24</v>
      </c>
      <c r="K5" s="8" t="n">
        <v>0.03</v>
      </c>
      <c r="L5" s="5" t="s">
        <v>20</v>
      </c>
      <c r="M5" s="6" t="n">
        <v>1500000</v>
      </c>
      <c r="N5" s="9" t="n">
        <v>40913.3856712963</v>
      </c>
      <c r="O5" s="0" t="n">
        <f aca="false">+IF(AND(C5="Specified",J5="Competitive"),1,0)</f>
        <v>1</v>
      </c>
      <c r="P5" s="0" t="n">
        <f aca="false">+IF(AND(C5="Specified",J5="Noncompetitive"),1,0)</f>
        <v>0</v>
      </c>
      <c r="Q5" s="0" t="n">
        <f aca="false">+IF(AND(C5="General",J5="Competitive"),1,0)</f>
        <v>0</v>
      </c>
      <c r="R5" s="0" t="n">
        <f aca="false">+IF(AND(C5="General",J5="Noncompetitive"),1,0)</f>
        <v>0</v>
      </c>
      <c r="S5" s="10" t="n">
        <v>40928.625</v>
      </c>
      <c r="T5" s="11"/>
    </row>
    <row collapsed="false" customFormat="false" customHeight="false" hidden="false" ht="14" outlineLevel="0" r="6">
      <c r="A6" s="4" t="n">
        <v>0.712638888888889</v>
      </c>
      <c r="B6" s="0" t="n">
        <v>1104136</v>
      </c>
      <c r="C6" s="5" t="s">
        <v>21</v>
      </c>
      <c r="D6" s="6"/>
      <c r="E6" s="7"/>
      <c r="F6" s="7" t="n">
        <v>0.2</v>
      </c>
      <c r="G6" s="5" t="s">
        <v>26</v>
      </c>
      <c r="H6" s="5" t="n">
        <v>4</v>
      </c>
      <c r="I6" s="5"/>
      <c r="J6" s="5" t="s">
        <v>24</v>
      </c>
      <c r="K6" s="8" t="n">
        <v>0.06</v>
      </c>
      <c r="L6" s="5" t="s">
        <v>27</v>
      </c>
      <c r="M6" s="6" t="n">
        <v>860000</v>
      </c>
      <c r="N6" s="9"/>
      <c r="O6" s="0" t="n">
        <f aca="false">+IF(AND(C6="Specified",J6="Competitive"),1,0)</f>
        <v>1</v>
      </c>
      <c r="P6" s="0" t="n">
        <f aca="false">+IF(AND(C6="Specified",J6="Noncompetitive"),1,0)</f>
        <v>0</v>
      </c>
      <c r="Q6" s="0" t="n">
        <f aca="false">+IF(AND(C6="General",J6="Competitive"),1,0)</f>
        <v>0</v>
      </c>
      <c r="R6" s="0" t="n">
        <f aca="false">+IF(AND(C6="General",J6="Noncompetitive"),1,0)</f>
        <v>0</v>
      </c>
      <c r="S6" s="10" t="n">
        <v>40928.7126388889</v>
      </c>
    </row>
    <row collapsed="false" customFormat="false" customHeight="false" hidden="false" ht="14" outlineLevel="0" r="7">
      <c r="A7" s="4" t="n">
        <v>0.772638888888889</v>
      </c>
      <c r="B7" s="0" t="n">
        <v>1104138</v>
      </c>
      <c r="C7" s="5" t="s">
        <v>18</v>
      </c>
      <c r="D7" s="6" t="n">
        <v>1000000</v>
      </c>
      <c r="E7" s="7" t="n">
        <v>0.5</v>
      </c>
      <c r="F7" s="7"/>
      <c r="G7" s="5"/>
      <c r="H7" s="5"/>
      <c r="I7" s="5"/>
      <c r="J7" s="5" t="s">
        <v>24</v>
      </c>
      <c r="K7" s="8" t="n">
        <v>0.02125</v>
      </c>
      <c r="L7" s="5" t="s">
        <v>27</v>
      </c>
      <c r="M7" s="6" t="n">
        <v>300000</v>
      </c>
      <c r="N7" s="9"/>
      <c r="O7" s="0" t="n">
        <f aca="false">+IF(AND(C7="Specified",J7="Competitive"),1,0)</f>
        <v>0</v>
      </c>
      <c r="P7" s="0" t="n">
        <f aca="false">+IF(AND(C7="Specified",J7="Noncompetitive"),1,0)</f>
        <v>0</v>
      </c>
      <c r="Q7" s="0" t="n">
        <f aca="false">+IF(AND(C7="General",J7="Competitive"),1,0)</f>
        <v>1</v>
      </c>
      <c r="R7" s="0" t="n">
        <f aca="false">+IF(AND(C7="General",J7="Noncompetitive"),1,0)</f>
        <v>0</v>
      </c>
      <c r="S7" s="10" t="n">
        <v>40928.7726388889</v>
      </c>
      <c r="T7" s="11"/>
    </row>
    <row collapsed="false" customFormat="false" customHeight="false" hidden="false" ht="14" outlineLevel="0" r="8">
      <c r="A8" s="4" t="n">
        <v>0.802638888888889</v>
      </c>
      <c r="B8" s="0" t="n">
        <v>1104139</v>
      </c>
      <c r="C8" s="5" t="s">
        <v>18</v>
      </c>
      <c r="D8" s="6" t="n">
        <v>500000</v>
      </c>
      <c r="E8" s="7" t="n">
        <v>0.3</v>
      </c>
      <c r="F8" s="7"/>
      <c r="G8" s="5"/>
      <c r="H8" s="5"/>
      <c r="I8" s="5"/>
      <c r="J8" s="5" t="s">
        <v>24</v>
      </c>
      <c r="K8" s="8" t="n">
        <v>0.0225</v>
      </c>
      <c r="L8" s="5" t="s">
        <v>27</v>
      </c>
      <c r="M8" s="6" t="n">
        <v>250000</v>
      </c>
      <c r="N8" s="9"/>
      <c r="O8" s="0" t="n">
        <f aca="false">+IF(AND(C8="Specified",J8="Competitive"),1,0)</f>
        <v>0</v>
      </c>
      <c r="P8" s="0" t="n">
        <f aca="false">+IF(AND(C8="Specified",J8="Noncompetitive"),1,0)</f>
        <v>0</v>
      </c>
      <c r="Q8" s="0" t="n">
        <f aca="false">+IF(AND(C8="General",J8="Competitive"),1,0)</f>
        <v>1</v>
      </c>
      <c r="R8" s="0" t="n">
        <f aca="false">+IF(AND(C8="General",J8="Noncompetitive"),1,0)</f>
        <v>0</v>
      </c>
      <c r="S8" s="10" t="n">
        <v>40928.8026388889</v>
      </c>
      <c r="T8" s="11"/>
    </row>
    <row collapsed="false" customFormat="false" customHeight="false" hidden="false" ht="14" outlineLevel="0" r="9">
      <c r="A9" s="4" t="n">
        <v>0.832638888888889</v>
      </c>
      <c r="B9" s="0" t="n">
        <v>1104140</v>
      </c>
      <c r="C9" s="5" t="s">
        <v>21</v>
      </c>
      <c r="D9" s="6"/>
      <c r="E9" s="7"/>
      <c r="F9" s="7" t="n">
        <v>0.2</v>
      </c>
      <c r="G9" s="5" t="s">
        <v>26</v>
      </c>
      <c r="H9" s="5" t="n">
        <v>5</v>
      </c>
      <c r="I9" s="5"/>
      <c r="J9" s="5" t="s">
        <v>24</v>
      </c>
      <c r="K9" s="8" t="n">
        <v>0.025</v>
      </c>
      <c r="L9" s="5" t="s">
        <v>27</v>
      </c>
      <c r="M9" s="6" t="n">
        <v>74000</v>
      </c>
      <c r="N9" s="9"/>
      <c r="O9" s="0" t="n">
        <f aca="false">+IF(AND(C9="Specified",J9="Competitive"),1,0)</f>
        <v>1</v>
      </c>
      <c r="P9" s="0" t="n">
        <f aca="false">+IF(AND(C9="Specified",J9="Noncompetitive"),1,0)</f>
        <v>0</v>
      </c>
      <c r="Q9" s="0" t="n">
        <f aca="false">+IF(AND(C9="General",J9="Competitive"),1,0)</f>
        <v>0</v>
      </c>
      <c r="R9" s="0" t="n">
        <f aca="false">+IF(AND(C9="General",J9="Noncompetitive"),1,0)</f>
        <v>0</v>
      </c>
      <c r="S9" s="10" t="n">
        <v>40928.8326388889</v>
      </c>
      <c r="T9" s="11"/>
    </row>
    <row collapsed="false" customFormat="false" customHeight="false" hidden="false" ht="14" outlineLevel="0" r="10">
      <c r="A10" s="4" t="n">
        <v>0.862638888888889</v>
      </c>
      <c r="B10" s="0" t="n">
        <v>1104141</v>
      </c>
      <c r="C10" s="5" t="s">
        <v>18</v>
      </c>
      <c r="D10" s="6" t="n">
        <v>500000</v>
      </c>
      <c r="E10" s="7" t="n">
        <v>0.2</v>
      </c>
      <c r="F10" s="7"/>
      <c r="G10" s="5"/>
      <c r="H10" s="5"/>
      <c r="I10" s="5"/>
      <c r="J10" s="5" t="s">
        <v>24</v>
      </c>
      <c r="K10" s="8" t="n">
        <v>0.025</v>
      </c>
      <c r="L10" s="5" t="s">
        <v>27</v>
      </c>
      <c r="M10" s="6" t="n">
        <v>285000</v>
      </c>
      <c r="N10" s="9"/>
      <c r="O10" s="0" t="n">
        <f aca="false">+IF(AND(C10="Specified",J10="Competitive"),1,0)</f>
        <v>0</v>
      </c>
      <c r="P10" s="0" t="n">
        <f aca="false">+IF(AND(C10="Specified",J10="Noncompetitive"),1,0)</f>
        <v>0</v>
      </c>
      <c r="Q10" s="0" t="n">
        <f aca="false">+IF(AND(C10="General",J10="Competitive"),1,0)</f>
        <v>1</v>
      </c>
      <c r="R10" s="0" t="n">
        <f aca="false">+IF(AND(C10="General",J10="Noncompetitive"),1,0)</f>
        <v>0</v>
      </c>
      <c r="S10" s="10" t="n">
        <v>40928.8626388889</v>
      </c>
      <c r="T10" s="11"/>
    </row>
    <row collapsed="false" customFormat="false" customHeight="false" hidden="false" ht="14" outlineLevel="0" r="11">
      <c r="A11" s="4" t="n">
        <v>0.902638888888889</v>
      </c>
      <c r="B11" s="0" t="n">
        <v>1104159</v>
      </c>
      <c r="C11" s="5" t="s">
        <v>21</v>
      </c>
      <c r="D11" s="6"/>
      <c r="E11" s="7"/>
      <c r="F11" s="7" t="n">
        <v>0.2</v>
      </c>
      <c r="G11" s="5" t="s">
        <v>26</v>
      </c>
      <c r="H11" s="5" t="n">
        <v>1</v>
      </c>
      <c r="I11" s="5"/>
      <c r="J11" s="5" t="s">
        <v>19</v>
      </c>
      <c r="K11" s="8"/>
      <c r="L11" s="5" t="s">
        <v>27</v>
      </c>
      <c r="M11" s="6" t="n">
        <v>532000</v>
      </c>
      <c r="N11" s="9"/>
      <c r="O11" s="0" t="n">
        <f aca="false">+IF(AND(C11="Specified",J11="Competitive"),1,0)</f>
        <v>0</v>
      </c>
      <c r="P11" s="0" t="n">
        <f aca="false">+IF(AND(C11="Specified",J11="Noncompetitive"),1,0)</f>
        <v>1</v>
      </c>
      <c r="Q11" s="0" t="n">
        <f aca="false">+IF(AND(C11="General",J11="Competitive"),1,0)</f>
        <v>0</v>
      </c>
      <c r="R11" s="0" t="n">
        <f aca="false">+IF(AND(C11="General",J11="Noncompetitive"),1,0)</f>
        <v>0</v>
      </c>
      <c r="S11" s="10" t="n">
        <v>40928.9026388889</v>
      </c>
      <c r="T11" s="11"/>
    </row>
    <row collapsed="false" customFormat="false" customHeight="false" hidden="false" ht="14" outlineLevel="0" r="12">
      <c r="A12" s="4" t="n">
        <v>0.962638888888889</v>
      </c>
      <c r="B12" s="0" t="n">
        <v>1104161</v>
      </c>
      <c r="C12" s="5" t="s">
        <v>21</v>
      </c>
      <c r="D12" s="6"/>
      <c r="E12" s="7"/>
      <c r="F12" s="7" t="n">
        <v>0.2</v>
      </c>
      <c r="G12" s="5" t="s">
        <v>26</v>
      </c>
      <c r="H12" s="5" t="n">
        <v>4</v>
      </c>
      <c r="I12" s="5"/>
      <c r="J12" s="5" t="s">
        <v>19</v>
      </c>
      <c r="K12" s="8"/>
      <c r="L12" s="5" t="s">
        <v>27</v>
      </c>
      <c r="M12" s="6" t="n">
        <v>292000</v>
      </c>
      <c r="N12" s="9"/>
      <c r="O12" s="0" t="n">
        <f aca="false">+IF(AND(C12="Specified",J12="Competitive"),1,0)</f>
        <v>0</v>
      </c>
      <c r="P12" s="0" t="n">
        <f aca="false">+IF(AND(C12="Specified",J12="Noncompetitive"),1,0)</f>
        <v>1</v>
      </c>
      <c r="Q12" s="0" t="n">
        <f aca="false">+IF(AND(C12="General",J12="Competitive"),1,0)</f>
        <v>0</v>
      </c>
      <c r="R12" s="0" t="n">
        <f aca="false">+IF(AND(C12="General",J12="Noncompetitive"),1,0)</f>
        <v>0</v>
      </c>
      <c r="S12" s="10" t="n">
        <v>40928.9626388889</v>
      </c>
      <c r="T12" s="11"/>
    </row>
    <row collapsed="false" customFormat="false" customHeight="false" hidden="false" ht="14" outlineLevel="0" r="13">
      <c r="A13" s="4" t="n">
        <v>0.982638888888889</v>
      </c>
      <c r="B13" s="0" t="n">
        <v>1104145</v>
      </c>
      <c r="C13" s="5" t="s">
        <v>21</v>
      </c>
      <c r="D13" s="6"/>
      <c r="E13" s="7"/>
      <c r="F13" s="7" t="n">
        <v>0.1</v>
      </c>
      <c r="G13" s="5" t="s">
        <v>26</v>
      </c>
      <c r="H13" s="5" t="n">
        <v>1</v>
      </c>
      <c r="I13" s="5"/>
      <c r="J13" s="5" t="s">
        <v>24</v>
      </c>
      <c r="K13" s="8" t="n">
        <v>0.015</v>
      </c>
      <c r="L13" s="5" t="s">
        <v>27</v>
      </c>
      <c r="M13" s="6" t="n">
        <v>752000</v>
      </c>
      <c r="N13" s="9"/>
      <c r="O13" s="0" t="n">
        <f aca="false">+IF(AND(C13="Specified",J13="Competitive"),1,0)</f>
        <v>1</v>
      </c>
      <c r="P13" s="0" t="n">
        <f aca="false">+IF(AND(C13="Specified",J13="Noncompetitive"),1,0)</f>
        <v>0</v>
      </c>
      <c r="Q13" s="0" t="n">
        <f aca="false">+IF(AND(C13="General",J13="Competitive"),1,0)</f>
        <v>0</v>
      </c>
      <c r="R13" s="0" t="n">
        <f aca="false">+IF(AND(C13="General",J13="Noncompetitive"),1,0)</f>
        <v>0</v>
      </c>
      <c r="S13" s="10" t="n">
        <v>40928.9826388889</v>
      </c>
      <c r="T13" s="11"/>
    </row>
    <row collapsed="false" customFormat="false" customHeight="false" hidden="false" ht="14" outlineLevel="0" r="14">
      <c r="A14" s="4" t="n">
        <v>1.09930555555556</v>
      </c>
      <c r="B14" s="0" t="n">
        <v>1104133</v>
      </c>
      <c r="C14" s="5" t="s">
        <v>21</v>
      </c>
      <c r="D14" s="6"/>
      <c r="E14" s="7"/>
      <c r="F14" s="7" t="n">
        <v>0.2</v>
      </c>
      <c r="G14" s="5" t="s">
        <v>26</v>
      </c>
      <c r="H14" s="5" t="n">
        <v>4</v>
      </c>
      <c r="I14" s="5"/>
      <c r="J14" s="5" t="s">
        <v>24</v>
      </c>
      <c r="K14" s="8" t="n">
        <v>0.04</v>
      </c>
      <c r="L14" s="5" t="s">
        <v>27</v>
      </c>
      <c r="M14" s="6" t="n">
        <v>418000</v>
      </c>
      <c r="N14" s="9"/>
      <c r="O14" s="0" t="n">
        <f aca="false">+IF(AND(C14="Specified",J14="Competitive"),1,0)</f>
        <v>1</v>
      </c>
      <c r="P14" s="0" t="n">
        <f aca="false">+IF(AND(C14="Specified",J14="Noncompetitive"),1,0)</f>
        <v>0</v>
      </c>
      <c r="Q14" s="0" t="n">
        <f aca="false">+IF(AND(C14="General",J14="Competitive"),1,0)</f>
        <v>0</v>
      </c>
      <c r="R14" s="0" t="n">
        <f aca="false">+IF(AND(C14="General",J14="Noncompetitive"),1,0)</f>
        <v>0</v>
      </c>
      <c r="S14" s="10" t="n">
        <v>40929.0993055556</v>
      </c>
      <c r="T14" s="11"/>
    </row>
    <row collapsed="false" customFormat="false" customHeight="false" hidden="false" ht="14" outlineLevel="0" r="15">
      <c r="A15" s="4" t="n">
        <v>1.10263888888889</v>
      </c>
      <c r="B15" s="0" t="n">
        <v>1104149</v>
      </c>
      <c r="C15" s="5" t="s">
        <v>21</v>
      </c>
      <c r="D15" s="6"/>
      <c r="E15" s="7"/>
      <c r="F15" s="7" t="n">
        <v>0.2</v>
      </c>
      <c r="G15" s="5" t="s">
        <v>26</v>
      </c>
      <c r="H15" s="5" t="n">
        <v>5</v>
      </c>
      <c r="I15" s="5"/>
      <c r="J15" s="5" t="s">
        <v>19</v>
      </c>
      <c r="K15" s="8"/>
      <c r="L15" s="5" t="s">
        <v>27</v>
      </c>
      <c r="M15" s="6" t="n">
        <v>47000</v>
      </c>
      <c r="N15" s="9"/>
      <c r="O15" s="0" t="n">
        <f aca="false">+IF(AND(C15="Specified",J15="Competitive"),1,0)</f>
        <v>0</v>
      </c>
      <c r="P15" s="0" t="n">
        <f aca="false">+IF(AND(C15="Specified",J15="Noncompetitive"),1,0)</f>
        <v>1</v>
      </c>
      <c r="Q15" s="0" t="n">
        <f aca="false">+IF(AND(C15="General",J15="Competitive"),1,0)</f>
        <v>0</v>
      </c>
      <c r="R15" s="0" t="n">
        <f aca="false">+IF(AND(C15="General",J15="Noncompetitive"),1,0)</f>
        <v>0</v>
      </c>
      <c r="S15" s="10" t="n">
        <v>40929.1026388889</v>
      </c>
      <c r="T15" s="11"/>
    </row>
    <row collapsed="false" customFormat="false" customHeight="false" hidden="false" ht="14" outlineLevel="0" r="16">
      <c r="A16" s="4" t="n">
        <v>1.16263888888889</v>
      </c>
      <c r="B16" s="0" t="n">
        <v>1104151</v>
      </c>
      <c r="C16" s="5" t="s">
        <v>21</v>
      </c>
      <c r="D16" s="6"/>
      <c r="E16" s="7"/>
      <c r="F16" s="7" t="n">
        <v>0.2</v>
      </c>
      <c r="G16" s="5" t="s">
        <v>26</v>
      </c>
      <c r="H16" s="5" t="n">
        <v>1</v>
      </c>
      <c r="I16" s="5"/>
      <c r="J16" s="5" t="s">
        <v>19</v>
      </c>
      <c r="K16" s="8"/>
      <c r="L16" s="5" t="s">
        <v>27</v>
      </c>
      <c r="M16" s="6" t="n">
        <v>283000</v>
      </c>
      <c r="N16" s="9"/>
      <c r="O16" s="0" t="n">
        <f aca="false">+IF(AND(C16="Specified",J16="Competitive"),1,0)</f>
        <v>0</v>
      </c>
      <c r="P16" s="0" t="n">
        <f aca="false">+IF(AND(C16="Specified",J16="Noncompetitive"),1,0)</f>
        <v>1</v>
      </c>
      <c r="Q16" s="0" t="n">
        <f aca="false">+IF(AND(C16="General",J16="Competitive"),1,0)</f>
        <v>0</v>
      </c>
      <c r="R16" s="0" t="n">
        <f aca="false">+IF(AND(C16="General",J16="Noncompetitive"),1,0)</f>
        <v>0</v>
      </c>
      <c r="S16" s="10" t="n">
        <v>40929.1626388889</v>
      </c>
      <c r="T16" s="11"/>
    </row>
    <row collapsed="false" customFormat="false" customHeight="false" hidden="false" ht="14" outlineLevel="0" r="17">
      <c r="A17" s="4" t="n">
        <v>1.19263888888889</v>
      </c>
      <c r="B17" s="0" t="n">
        <v>1104131</v>
      </c>
      <c r="C17" s="5" t="s">
        <v>18</v>
      </c>
      <c r="D17" s="6" t="n">
        <v>1000000</v>
      </c>
      <c r="E17" s="7" t="n">
        <v>0.5</v>
      </c>
      <c r="F17" s="7"/>
      <c r="G17" s="5"/>
      <c r="H17" s="5"/>
      <c r="I17" s="5"/>
      <c r="J17" s="5" t="s">
        <v>19</v>
      </c>
      <c r="K17" s="8"/>
      <c r="L17" s="5" t="s">
        <v>27</v>
      </c>
      <c r="M17" s="6" t="n">
        <v>598000</v>
      </c>
      <c r="N17" s="9"/>
      <c r="O17" s="0" t="n">
        <f aca="false">+IF(AND(C17="Specified",J17="Competitive"),1,0)</f>
        <v>0</v>
      </c>
      <c r="P17" s="0" t="n">
        <f aca="false">+IF(AND(C17="Specified",J17="Noncompetitive"),1,0)</f>
        <v>0</v>
      </c>
      <c r="Q17" s="0" t="n">
        <f aca="false">+IF(AND(C17="General",J17="Competitive"),1,0)</f>
        <v>0</v>
      </c>
      <c r="R17" s="0" t="n">
        <f aca="false">+IF(AND(C17="General",J17="Noncompetitive"),1,0)</f>
        <v>1</v>
      </c>
      <c r="S17" s="10" t="n">
        <v>40929.1926388889</v>
      </c>
      <c r="T17" s="11"/>
    </row>
    <row collapsed="false" customFormat="false" customHeight="false" hidden="false" ht="14" outlineLevel="0" r="18">
      <c r="A18" s="4" t="n">
        <v>1.28263888888889</v>
      </c>
      <c r="B18" s="0" t="n">
        <v>1104155</v>
      </c>
      <c r="C18" s="5" t="s">
        <v>21</v>
      </c>
      <c r="D18" s="6"/>
      <c r="E18" s="7"/>
      <c r="F18" s="7" t="n">
        <v>0.2</v>
      </c>
      <c r="G18" s="5" t="s">
        <v>22</v>
      </c>
      <c r="H18" s="5"/>
      <c r="I18" s="5" t="s">
        <v>28</v>
      </c>
      <c r="J18" s="5" t="s">
        <v>24</v>
      </c>
      <c r="K18" s="8" t="n">
        <v>0.02125</v>
      </c>
      <c r="L18" s="5" t="s">
        <v>27</v>
      </c>
      <c r="M18" s="6" t="n">
        <v>639000</v>
      </c>
      <c r="N18" s="9"/>
      <c r="O18" s="0" t="n">
        <f aca="false">+IF(AND(C18="Specified",J18="Competitive"),1,0)</f>
        <v>1</v>
      </c>
      <c r="P18" s="0" t="n">
        <f aca="false">+IF(AND(C18="Specified",J18="Noncompetitive"),1,0)</f>
        <v>0</v>
      </c>
      <c r="Q18" s="0" t="n">
        <f aca="false">+IF(AND(C18="General",J18="Competitive"),1,0)</f>
        <v>0</v>
      </c>
      <c r="R18" s="0" t="n">
        <f aca="false">+IF(AND(C18="General",J18="Noncompetitive"),1,0)</f>
        <v>0</v>
      </c>
      <c r="S18" s="10" t="n">
        <v>40929.2826388889</v>
      </c>
      <c r="T18" s="11"/>
    </row>
    <row collapsed="false" customFormat="false" customHeight="false" hidden="false" ht="14" outlineLevel="0" r="19">
      <c r="A19" s="4" t="n">
        <v>1.31263888888889</v>
      </c>
      <c r="B19" s="0" t="n">
        <v>1104156</v>
      </c>
      <c r="C19" s="5" t="s">
        <v>21</v>
      </c>
      <c r="D19" s="6"/>
      <c r="E19" s="7"/>
      <c r="F19" s="7" t="n">
        <v>0.2</v>
      </c>
      <c r="G19" s="5" t="s">
        <v>26</v>
      </c>
      <c r="H19" s="5" t="n">
        <v>2</v>
      </c>
      <c r="I19" s="5"/>
      <c r="J19" s="5" t="s">
        <v>19</v>
      </c>
      <c r="K19" s="8"/>
      <c r="L19" s="5" t="s">
        <v>27</v>
      </c>
      <c r="M19" s="6" t="n">
        <v>274000</v>
      </c>
      <c r="N19" s="9"/>
      <c r="O19" s="0" t="n">
        <f aca="false">+IF(AND(C19="Specified",J19="Competitive"),1,0)</f>
        <v>0</v>
      </c>
      <c r="P19" s="0" t="n">
        <f aca="false">+IF(AND(C19="Specified",J19="Noncompetitive"),1,0)</f>
        <v>1</v>
      </c>
      <c r="Q19" s="0" t="n">
        <f aca="false">+IF(AND(C19="General",J19="Competitive"),1,0)</f>
        <v>0</v>
      </c>
      <c r="R19" s="0" t="n">
        <f aca="false">+IF(AND(C19="General",J19="Noncompetitive"),1,0)</f>
        <v>0</v>
      </c>
      <c r="S19" s="10" t="n">
        <v>40929.3126388889</v>
      </c>
      <c r="T19" s="11"/>
    </row>
    <row collapsed="false" customFormat="false" customHeight="false" hidden="false" ht="14" outlineLevel="0" r="20">
      <c r="A20" s="4" t="n">
        <v>1.34263888888889</v>
      </c>
      <c r="B20" s="0" t="n">
        <v>1104157</v>
      </c>
      <c r="C20" s="5" t="s">
        <v>18</v>
      </c>
      <c r="D20" s="6" t="n">
        <v>1000000</v>
      </c>
      <c r="E20" s="7" t="n">
        <v>0.3</v>
      </c>
      <c r="F20" s="7"/>
      <c r="G20" s="5"/>
      <c r="H20" s="5"/>
      <c r="I20" s="5"/>
      <c r="J20" s="5" t="s">
        <v>19</v>
      </c>
      <c r="K20" s="8"/>
      <c r="L20" s="5" t="s">
        <v>27</v>
      </c>
      <c r="M20" s="6" t="n">
        <v>629000</v>
      </c>
      <c r="N20" s="9"/>
      <c r="O20" s="0" t="n">
        <f aca="false">+IF(AND(C20="Specified",J20="Competitive"),1,0)</f>
        <v>0</v>
      </c>
      <c r="P20" s="0" t="n">
        <f aca="false">+IF(AND(C20="Specified",J20="Noncompetitive"),1,0)</f>
        <v>0</v>
      </c>
      <c r="Q20" s="0" t="n">
        <f aca="false">+IF(AND(C20="General",J20="Competitive"),1,0)</f>
        <v>0</v>
      </c>
      <c r="R20" s="0" t="n">
        <f aca="false">+IF(AND(C20="General",J20="Noncompetitive"),1,0)</f>
        <v>1</v>
      </c>
      <c r="S20" s="10" t="n">
        <v>40929.3426388889</v>
      </c>
      <c r="T20" s="11"/>
    </row>
    <row collapsed="false" customFormat="false" customHeight="false" hidden="false" ht="14" outlineLevel="0" r="21">
      <c r="A21" s="4" t="n">
        <v>1.37263888888889</v>
      </c>
      <c r="B21" s="0" t="n">
        <v>1104158</v>
      </c>
      <c r="C21" s="5" t="s">
        <v>21</v>
      </c>
      <c r="D21" s="6"/>
      <c r="E21" s="7"/>
      <c r="F21" s="7" t="n">
        <v>0.2</v>
      </c>
      <c r="G21" s="5" t="s">
        <v>26</v>
      </c>
      <c r="H21" s="5" t="n">
        <v>1</v>
      </c>
      <c r="I21" s="5"/>
      <c r="J21" s="5" t="s">
        <v>24</v>
      </c>
      <c r="K21" s="8" t="n">
        <v>0.0225</v>
      </c>
      <c r="L21" s="5" t="s">
        <v>27</v>
      </c>
      <c r="M21" s="6" t="n">
        <v>562000</v>
      </c>
      <c r="N21" s="9"/>
      <c r="O21" s="0" t="n">
        <f aca="false">+IF(AND(C21="Specified",J21="Competitive"),1,0)</f>
        <v>1</v>
      </c>
      <c r="P21" s="0" t="n">
        <f aca="false">+IF(AND(C21="Specified",J21="Noncompetitive"),1,0)</f>
        <v>0</v>
      </c>
      <c r="Q21" s="0" t="n">
        <f aca="false">+IF(AND(C21="General",J21="Competitive"),1,0)</f>
        <v>0</v>
      </c>
      <c r="R21" s="0" t="n">
        <f aca="false">+IF(AND(C21="General",J21="Noncompetitive"),1,0)</f>
        <v>0</v>
      </c>
      <c r="S21" s="10" t="n">
        <v>40929.3726388889</v>
      </c>
      <c r="T21" s="11"/>
    </row>
  </sheetData>
  <autoFilter ref="A1:N21"/>
  <dataValidations count="4">
    <dataValidation allowBlank="true" operator="equal" showDropDown="false" showErrorMessage="true" showInputMessage="true" sqref="C2:C21" type="list">
      <formula1>"General,Specified"</formula1>
      <formula2>0</formula2>
    </dataValidation>
    <dataValidation allowBlank="true" operator="equal" showDropDown="false" showErrorMessage="true" showInputMessage="true" sqref="G2:G21" type="list">
      <formula1>"Loan,MO"</formula1>
      <formula2>0</formula2>
    </dataValidation>
    <dataValidation allowBlank="true" operator="equal" showDropDown="false" showErrorMessage="true" showInputMessage="true" sqref="J2:J21" type="list">
      <formula1>"Competitive,Noncompetitive"</formula1>
      <formula2>0</formula2>
    </dataValidation>
    <dataValidation allowBlank="true" operator="equal" showDropDown="false" showErrorMessage="true" showInputMessage="true" sqref="L2:L21" type="list">
      <formula1>"Day Trade,Auto"</formula1>
      <formula2>0</formula2>
    </dataValidation>
  </dataValidations>
  <printOptions headings="false" gridLines="false" gridLinesSet="true" horizontalCentered="false" verticalCentered="false"/>
  <pageMargins left="0.7" right="0.7" top="0.75" bottom="0.75" header="0.511805555555555" footer="0.511805555555555"/>
  <pageSetup blackAndWhite="false" cellComments="none" copies="1" draft="false" firstPageNumber="0" fitToHeight="1" fitToWidth="1" horizontalDpi="300" orientation="portrait" pageOrder="downThenOver" paperSize="1" scale="100" useFirstPageNumber="false" usePrinterDefaults="false" verticalDpi="300"/>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sheetPr filterMode="false">
    <pageSetUpPr fitToPage="false"/>
  </sheetPr>
  <dimension ref="A1:U262"/>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2" activeCellId="0" pane="topLeft" sqref="A2"/>
    </sheetView>
  </sheetViews>
  <cols>
    <col collapsed="false" hidden="false" max="1" min="1" style="0" width="8.54117647058824"/>
    <col collapsed="false" hidden="false" max="2" min="2" style="0" width="13.0666666666667"/>
    <col collapsed="false" hidden="false" max="3" min="3" style="0" width="15.1098039215686"/>
    <col collapsed="false" hidden="false" max="4" min="4" style="0" width="16.2627450980392"/>
    <col collapsed="false" hidden="false" max="5" min="5" style="0" width="17.2901960784314"/>
    <col collapsed="false" hidden="false" max="6" min="6" style="0" width="18.3019607843137"/>
    <col collapsed="false" hidden="false" max="7" min="7" style="0" width="13.6549019607843"/>
    <col collapsed="false" hidden="false" max="9" min="8" style="0" width="15.2470588235294"/>
    <col collapsed="false" hidden="false" max="10" min="10" style="0" width="19.4627450980392"/>
    <col collapsed="false" hidden="false" max="11" min="11" style="0" width="15.1098039215686"/>
    <col collapsed="false" hidden="false" max="12" min="12" style="0" width="14.0823529411765"/>
    <col collapsed="false" hidden="false" max="13" min="13" style="0" width="14.521568627451"/>
    <col collapsed="false" hidden="false" max="14" min="14" style="0" width="8.54117647058824"/>
    <col collapsed="false" hidden="false" max="15" min="15" style="0" width="8.28235294117647"/>
    <col collapsed="false" hidden="false" max="16" min="16" style="0" width="17.7137254901961"/>
    <col collapsed="false" hidden="false" max="17" min="17" style="0" width="16.1137254901961"/>
    <col collapsed="false" hidden="false" max="18" min="18" style="0" width="12.3411764705882"/>
    <col collapsed="false" hidden="false" max="1025" min="19" style="0" width="8.54117647058824"/>
  </cols>
  <sheetData>
    <row collapsed="false" customFormat="false" customHeight="false" hidden="false" ht="14" outlineLevel="0" r="1">
      <c r="F1" s="0" t="s">
        <v>29</v>
      </c>
    </row>
    <row collapsed="false" customFormat="false" customHeight="false" hidden="false" ht="14" outlineLevel="0" r="2">
      <c r="E2" s="0" t="s">
        <v>30</v>
      </c>
      <c r="G2" s="0" t="n">
        <v>1</v>
      </c>
      <c r="H2" s="0" t="n">
        <v>2</v>
      </c>
      <c r="I2" s="0" t="n">
        <v>3</v>
      </c>
      <c r="J2" s="0" t="n">
        <v>4</v>
      </c>
      <c r="K2" s="0" t="n">
        <v>5</v>
      </c>
      <c r="L2" s="0" t="n">
        <v>6</v>
      </c>
      <c r="M2" s="0" t="s">
        <v>31</v>
      </c>
    </row>
    <row collapsed="false" customFormat="false" customHeight="false" hidden="false" ht="14" outlineLevel="0" r="3">
      <c r="D3" s="5"/>
      <c r="E3" s="0" t="s">
        <v>22</v>
      </c>
      <c r="G3" s="5" t="s">
        <v>23</v>
      </c>
      <c r="H3" s="5" t="s">
        <v>23</v>
      </c>
      <c r="I3" s="5" t="s">
        <v>25</v>
      </c>
      <c r="J3" s="5" t="s">
        <v>25</v>
      </c>
      <c r="K3" s="5" t="s">
        <v>28</v>
      </c>
      <c r="L3" s="5" t="s">
        <v>32</v>
      </c>
    </row>
    <row collapsed="false" customFormat="false" customHeight="false" hidden="false" ht="14" outlineLevel="0" r="4">
      <c r="D4" s="5"/>
      <c r="E4" s="0" t="s">
        <v>33</v>
      </c>
      <c r="G4" s="12" t="n">
        <v>318725</v>
      </c>
      <c r="H4" s="12" t="n">
        <v>375685</v>
      </c>
      <c r="I4" s="12" t="n">
        <v>479875</v>
      </c>
      <c r="J4" s="12" t="n">
        <v>525400</v>
      </c>
      <c r="K4" s="12" t="n">
        <v>515425</v>
      </c>
      <c r="L4" s="12" t="n">
        <v>485000</v>
      </c>
      <c r="M4" s="13" t="n">
        <f aca="false">SUM(G4:L4)</f>
        <v>2700110</v>
      </c>
    </row>
    <row collapsed="false" customFormat="false" customHeight="false" hidden="false" ht="14" outlineLevel="0" r="5">
      <c r="D5" s="5"/>
      <c r="E5" s="12"/>
      <c r="I5" s="13"/>
    </row>
    <row collapsed="false" customFormat="false" customHeight="false" hidden="false" ht="14" outlineLevel="0" r="6">
      <c r="A6" s="0" t="s">
        <v>34</v>
      </c>
      <c r="D6" s="5"/>
      <c r="E6" s="12"/>
      <c r="J6" s="13"/>
    </row>
    <row collapsed="false" customFormat="false" customHeight="false" hidden="true" ht="28.35" outlineLevel="1" r="7">
      <c r="B7" s="14" t="s">
        <v>35</v>
      </c>
      <c r="C7" s="14" t="s">
        <v>36</v>
      </c>
      <c r="D7" s="14" t="s">
        <v>22</v>
      </c>
      <c r="E7" s="15" t="s">
        <v>37</v>
      </c>
      <c r="F7" s="14" t="s">
        <v>38</v>
      </c>
      <c r="K7" s="13"/>
    </row>
    <row collapsed="false" customFormat="false" customHeight="false" hidden="true" ht="14" outlineLevel="1" r="8">
      <c r="B8" s="0" t="n">
        <f aca="false">+'bid input'!B2</f>
        <v>1104134</v>
      </c>
      <c r="C8" s="16" t="n">
        <f aca="false">+'bid input'!H2</f>
        <v>0</v>
      </c>
      <c r="D8" s="0" t="n">
        <f aca="false">+'bid input'!I2</f>
        <v>0</v>
      </c>
      <c r="E8" s="17" t="str">
        <f aca="false">+IF('bid input'!O2=1,"Y","N")</f>
        <v>N</v>
      </c>
      <c r="F8" s="18" t="inlineStr">
        <f aca="false">+'bid input'!K2</f>
        <is>
          <t/>
        </is>
      </c>
      <c r="G8" s="19" t="n">
        <f aca="false">+IF(AND(IsSC="Y",LoanN_SC=LoanNumber,LoanN_SC&gt;0),S_Percent,IF(AND(IsSC="Y",S_MO=MO,LoanN_SC=0),S_Percent,0))*LoanAmount</f>
        <v>0</v>
      </c>
      <c r="H8" s="19" t="n">
        <f aca="false">+IF(AND(IsSC="Y",LoanN_SC=LoanNumber,LoanN_SC&gt;0),S_Percent,IF(AND(IsSC="Y",S_MO=MO,LoanN_SC=0),S_Percent,0))*LoanAmount</f>
        <v>0</v>
      </c>
      <c r="I8" s="19" t="n">
        <f aca="false">+IF(AND(IsSC="Y",LoanN_SC=LoanNumber,LoanN_SC&gt;0),S_Percent,IF(AND(IsSC="Y",S_MO=MO,LoanN_SC=0),S_Percent,0))*LoanAmount</f>
        <v>0</v>
      </c>
      <c r="J8" s="19" t="n">
        <f aca="false">+IF(AND(IsSC="Y",LoanN_SC=LoanNumber,LoanN_SC&gt;0),S_Percent,IF(AND(IsSC="Y",S_MO=MO,LoanN_SC=0),S_Percent,0))*LoanAmount</f>
        <v>0</v>
      </c>
      <c r="K8" s="19" t="n">
        <f aca="false">+IF(AND(IsSC="Y",LoanN_SC=LoanNumber,LoanN_SC&gt;0),S_Percent,IF(AND(IsSC="Y",S_MO=MO,LoanN_SC=0),S_Percent,0))*LoanAmount</f>
        <v>0</v>
      </c>
      <c r="L8" s="19" t="n">
        <f aca="false">+IF(AND(IsSC="Y",LoanN_SC=LoanNumber,LoanN_SC&gt;0),S_Percent,IF(AND(IsSC="Y",S_MO=MO,LoanN_SC=0),S_Percent,0))*LoanAmount</f>
        <v>0</v>
      </c>
      <c r="M8" s="13" t="n">
        <f aca="false">SUM(G8:L8)</f>
        <v>0</v>
      </c>
      <c r="N8" s="20" t="inlineStr">
        <f aca="false">'bid input'!F2</f>
        <is>
          <t/>
        </is>
      </c>
    </row>
    <row collapsed="false" customFormat="false" customHeight="false" hidden="true" ht="14" outlineLevel="1" r="9">
      <c r="B9" s="0" t="n">
        <f aca="false">+'bid input'!B3</f>
        <v>1104143</v>
      </c>
      <c r="C9" s="16" t="n">
        <f aca="false">+'bid input'!H3</f>
        <v>0</v>
      </c>
      <c r="D9" s="0" t="str">
        <f aca="false">+'bid input'!I3</f>
        <v>ABC Mortgage</v>
      </c>
      <c r="E9" s="17" t="str">
        <f aca="false">+IF('bid input'!O3=1,"Y","N")</f>
        <v>N</v>
      </c>
      <c r="F9" s="18" t="inlineStr">
        <f aca="false">+'bid input'!K3</f>
        <is>
          <t/>
        </is>
      </c>
      <c r="G9" s="19" t="n">
        <f aca="false">+IF(AND(IsSC="Y",LoanN_SC=LoanNumber,LoanN_SC&gt;0),S_Percent,IF(AND(IsSC="Y",S_MO=MO,LoanN_SC=0),S_Percent,0))*LoanAmount</f>
        <v>0</v>
      </c>
      <c r="H9" s="19" t="n">
        <f aca="false">+IF(AND(IsSC="Y",LoanN_SC=LoanNumber,LoanN_SC&gt;0),S_Percent,IF(AND(IsSC="Y",S_MO=MO,LoanN_SC=0),S_Percent,0))*LoanAmount</f>
        <v>0</v>
      </c>
      <c r="I9" s="19" t="n">
        <f aca="false">+IF(AND(IsSC="Y",LoanN_SC=LoanNumber,LoanN_SC&gt;0),S_Percent,IF(AND(IsSC="Y",S_MO=MO,LoanN_SC=0),S_Percent,0))*LoanAmount</f>
        <v>0</v>
      </c>
      <c r="J9" s="19" t="n">
        <f aca="false">+IF(AND(IsSC="Y",LoanN_SC=LoanNumber,LoanN_SC&gt;0),S_Percent,IF(AND(IsSC="Y",S_MO=MO,LoanN_SC=0),S_Percent,0))*LoanAmount</f>
        <v>0</v>
      </c>
      <c r="K9" s="19" t="n">
        <f aca="false">+IF(AND(IsSC="Y",LoanN_SC=LoanNumber,LoanN_SC&gt;0),S_Percent,IF(AND(IsSC="Y",S_MO=MO,LoanN_SC=0),S_Percent,0))*LoanAmount</f>
        <v>0</v>
      </c>
      <c r="L9" s="19" t="n">
        <f aca="false">+IF(AND(IsSC="Y",LoanN_SC=LoanNumber,LoanN_SC&gt;0),S_Percent,IF(AND(IsSC="Y",S_MO=MO,LoanN_SC=0),S_Percent,0))*LoanAmount</f>
        <v>0</v>
      </c>
      <c r="M9" s="13" t="n">
        <f aca="false">SUM(G9:L9)</f>
        <v>0</v>
      </c>
      <c r="N9" s="20" t="inlineStr">
        <f aca="false">'bid input'!F3</f>
        <is>
          <t/>
        </is>
      </c>
    </row>
    <row collapsed="false" customFormat="false" customHeight="false" hidden="true" ht="14" outlineLevel="1" r="10">
      <c r="B10" s="0" t="n">
        <f aca="false">+'bid input'!B4</f>
        <v>1104154</v>
      </c>
      <c r="C10" s="16" t="n">
        <f aca="false">+'bid input'!H4</f>
        <v>0</v>
      </c>
      <c r="D10" s="0" t="n">
        <f aca="false">+'bid input'!I4</f>
        <v>0</v>
      </c>
      <c r="E10" s="17" t="str">
        <f aca="false">+IF('bid input'!O4=1,"Y","N")</f>
        <v>N</v>
      </c>
      <c r="F10" s="18" t="inlineStr">
        <f aca="false">+'bid input'!K4</f>
        <is>
          <t/>
        </is>
      </c>
      <c r="G10" s="19" t="n">
        <f aca="false">+IF(AND(IsSC="Y",LoanN_SC=LoanNumber,LoanN_SC&gt;0),S_Percent,IF(AND(IsSC="Y",S_MO=MO,LoanN_SC=0),S_Percent,0))*LoanAmount</f>
        <v>0</v>
      </c>
      <c r="H10" s="19" t="n">
        <f aca="false">+IF(AND(IsSC="Y",LoanN_SC=LoanNumber,LoanN_SC&gt;0),S_Percent,IF(AND(IsSC="Y",S_MO=MO,LoanN_SC=0),S_Percent,0))*LoanAmount</f>
        <v>0</v>
      </c>
      <c r="I10" s="19" t="n">
        <f aca="false">+IF(AND(IsSC="Y",LoanN_SC=LoanNumber,LoanN_SC&gt;0),S_Percent,IF(AND(IsSC="Y",S_MO=MO,LoanN_SC=0),S_Percent,0))*LoanAmount</f>
        <v>0</v>
      </c>
      <c r="J10" s="19" t="n">
        <f aca="false">+IF(AND(IsSC="Y",LoanN_SC=LoanNumber,LoanN_SC&gt;0),S_Percent,IF(AND(IsSC="Y",S_MO=MO,LoanN_SC=0),S_Percent,0))*LoanAmount</f>
        <v>0</v>
      </c>
      <c r="K10" s="19" t="n">
        <f aca="false">+IF(AND(IsSC="Y",LoanN_SC=LoanNumber,LoanN_SC&gt;0),S_Percent,IF(AND(IsSC="Y",S_MO=MO,LoanN_SC=0),S_Percent,0))*LoanAmount</f>
        <v>0</v>
      </c>
      <c r="L10" s="19" t="n">
        <f aca="false">+IF(AND(IsSC="Y",LoanN_SC=LoanNumber,LoanN_SC&gt;0),S_Percent,IF(AND(IsSC="Y",S_MO=MO,LoanN_SC=0),S_Percent,0))*LoanAmount</f>
        <v>0</v>
      </c>
      <c r="M10" s="13" t="n">
        <f aca="false">SUM(G10:L10)</f>
        <v>0</v>
      </c>
      <c r="N10" s="20" t="inlineStr">
        <f aca="false">'bid input'!F4</f>
        <is>
          <t/>
        </is>
      </c>
    </row>
    <row collapsed="false" customFormat="false" customHeight="false" hidden="true" ht="14" outlineLevel="1" r="11">
      <c r="B11" s="0" t="n">
        <f aca="false">+'bid input'!B5</f>
        <v>1104152</v>
      </c>
      <c r="C11" s="16" t="n">
        <f aca="false">+'bid input'!H5</f>
        <v>0</v>
      </c>
      <c r="D11" s="0" t="str">
        <f aca="false">+'bid input'!I5</f>
        <v>Prime Lending</v>
      </c>
      <c r="E11" s="17" t="str">
        <f aca="false">+IF('bid input'!O5=1,"Y","N")</f>
        <v>Y</v>
      </c>
      <c r="F11" s="18" t="inlineStr">
        <f aca="false">+'bid input'!K5</f>
        <is>
          <t/>
        </is>
      </c>
      <c r="G11" s="19" t="n">
        <f aca="false">+IF(AND(IsSC="Y",LoanN_SC=LoanNumber,LoanN_SC&gt;0),S_Percent,IF(AND(IsSC="Y",S_MO=MO,LoanN_SC=0),S_Percent,0))*LoanAmount</f>
        <v>0</v>
      </c>
      <c r="H11" s="19" t="n">
        <f aca="false">+IF(AND(IsSC="Y",LoanN_SC=LoanNumber,LoanN_SC&gt;0),S_Percent,IF(AND(IsSC="Y",S_MO=MO,LoanN_SC=0),S_Percent,0))*LoanAmount</f>
        <v>0</v>
      </c>
      <c r="I11" s="19" t="n">
        <f aca="false">+IF(AND(IsSC="Y",LoanN_SC=LoanNumber,LoanN_SC&gt;0),S_Percent,IF(AND(IsSC="Y",S_MO=MO,LoanN_SC=0),S_Percent,0))*LoanAmount</f>
        <v>95975</v>
      </c>
      <c r="J11" s="19" t="n">
        <f aca="false">+IF(AND(IsSC="Y",LoanN_SC=LoanNumber,LoanN_SC&gt;0),S_Percent,IF(AND(IsSC="Y",S_MO=MO,LoanN_SC=0),S_Percent,0))*LoanAmount</f>
        <v>105080</v>
      </c>
      <c r="K11" s="19" t="n">
        <f aca="false">+IF(AND(IsSC="Y",LoanN_SC=LoanNumber,LoanN_SC&gt;0),S_Percent,IF(AND(IsSC="Y",S_MO=MO,LoanN_SC=0),S_Percent,0))*LoanAmount</f>
        <v>0</v>
      </c>
      <c r="L11" s="19" t="n">
        <f aca="false">+IF(AND(IsSC="Y",LoanN_SC=LoanNumber,LoanN_SC&gt;0),S_Percent,IF(AND(IsSC="Y",S_MO=MO,LoanN_SC=0),S_Percent,0))*LoanAmount</f>
        <v>0</v>
      </c>
      <c r="M11" s="13" t="n">
        <f aca="false">SUM(G11:L11)</f>
        <v>201055</v>
      </c>
      <c r="N11" s="20" t="inlineStr">
        <f aca="false">'bid input'!F5</f>
        <is>
          <t/>
        </is>
      </c>
    </row>
    <row collapsed="false" customFormat="false" customHeight="false" hidden="true" ht="14" outlineLevel="1" r="12">
      <c r="B12" s="0" t="n">
        <f aca="false">+'bid input'!B6</f>
        <v>1104136</v>
      </c>
      <c r="C12" s="16" t="n">
        <f aca="false">+'bid input'!H6</f>
        <v>4</v>
      </c>
      <c r="D12" s="0" t="n">
        <f aca="false">+'bid input'!I6</f>
        <v>0</v>
      </c>
      <c r="E12" s="17" t="str">
        <f aca="false">+IF('bid input'!O6=1,"Y","N")</f>
        <v>Y</v>
      </c>
      <c r="F12" s="18" t="inlineStr">
        <f aca="false">+'bid input'!K6</f>
        <is>
          <t/>
        </is>
      </c>
      <c r="G12" s="19" t="n">
        <f aca="false">+IF(AND(IsSC="Y",LoanN_SC=LoanNumber,LoanN_SC&gt;0),S_Percent,IF(AND(IsSC="Y",S_MO=MO,LoanN_SC=0),S_Percent,0))*LoanAmount</f>
        <v>0</v>
      </c>
      <c r="H12" s="19" t="n">
        <f aca="false">+IF(AND(IsSC="Y",LoanN_SC=LoanNumber,LoanN_SC&gt;0),S_Percent,IF(AND(IsSC="Y",S_MO=MO,LoanN_SC=0),S_Percent,0))*LoanAmount</f>
        <v>0</v>
      </c>
      <c r="I12" s="19" t="n">
        <f aca="false">+IF(AND(IsSC="Y",LoanN_SC=LoanNumber,LoanN_SC&gt;0),S_Percent,IF(AND(IsSC="Y",S_MO=MO,LoanN_SC=0),S_Percent,0))*LoanAmount</f>
        <v>0</v>
      </c>
      <c r="J12" s="19" t="n">
        <f aca="false">+IF(AND(IsSC="Y",LoanN_SC=LoanNumber,LoanN_SC&gt;0),S_Percent,IF(AND(IsSC="Y",S_MO=MO,LoanN_SC=0),S_Percent,0))*LoanAmount</f>
        <v>105080</v>
      </c>
      <c r="K12" s="19" t="n">
        <f aca="false">+IF(AND(IsSC="Y",LoanN_SC=LoanNumber,LoanN_SC&gt;0),S_Percent,IF(AND(IsSC="Y",S_MO=MO,LoanN_SC=0),S_Percent,0))*LoanAmount</f>
        <v>0</v>
      </c>
      <c r="L12" s="19" t="n">
        <f aca="false">+IF(AND(IsSC="Y",LoanN_SC=LoanNumber,LoanN_SC&gt;0),S_Percent,IF(AND(IsSC="Y",S_MO=MO,LoanN_SC=0),S_Percent,0))*LoanAmount</f>
        <v>0</v>
      </c>
      <c r="M12" s="13" t="n">
        <f aca="false">SUM(G12:L12)</f>
        <v>105080</v>
      </c>
      <c r="N12" s="20" t="inlineStr">
        <f aca="false">'bid input'!F6</f>
        <is>
          <t/>
        </is>
      </c>
    </row>
    <row collapsed="false" customFormat="false" customHeight="false" hidden="true" ht="14" outlineLevel="1" r="13">
      <c r="B13" s="0" t="n">
        <f aca="false">+'bid input'!B7</f>
        <v>1104138</v>
      </c>
      <c r="C13" s="16" t="n">
        <f aca="false">+'bid input'!H7</f>
        <v>0</v>
      </c>
      <c r="D13" s="0" t="n">
        <f aca="false">+'bid input'!I7</f>
        <v>0</v>
      </c>
      <c r="E13" s="17" t="str">
        <f aca="false">+IF('bid input'!O7=1,"Y","N")</f>
        <v>N</v>
      </c>
      <c r="F13" s="18" t="inlineStr">
        <f aca="false">+'bid input'!K7</f>
        <is>
          <t/>
        </is>
      </c>
      <c r="G13" s="19" t="n">
        <f aca="false">+IF(AND(IsSC="Y",LoanN_SC=LoanNumber,LoanN_SC&gt;0),S_Percent,IF(AND(IsSC="Y",S_MO=MO,LoanN_SC=0),S_Percent,0))*LoanAmount</f>
        <v>0</v>
      </c>
      <c r="H13" s="19" t="n">
        <f aca="false">+IF(AND(IsSC="Y",LoanN_SC=LoanNumber,LoanN_SC&gt;0),S_Percent,IF(AND(IsSC="Y",S_MO=MO,LoanN_SC=0),S_Percent,0))*LoanAmount</f>
        <v>0</v>
      </c>
      <c r="I13" s="19" t="n">
        <f aca="false">+IF(AND(IsSC="Y",LoanN_SC=LoanNumber,LoanN_SC&gt;0),S_Percent,IF(AND(IsSC="Y",S_MO=MO,LoanN_SC=0),S_Percent,0))*LoanAmount</f>
        <v>0</v>
      </c>
      <c r="J13" s="19" t="n">
        <f aca="false">+IF(AND(IsSC="Y",LoanN_SC=LoanNumber,LoanN_SC&gt;0),S_Percent,IF(AND(IsSC="Y",S_MO=MO,LoanN_SC=0),S_Percent,0))*LoanAmount</f>
        <v>0</v>
      </c>
      <c r="K13" s="19" t="n">
        <f aca="false">+IF(AND(IsSC="Y",LoanN_SC=LoanNumber,LoanN_SC&gt;0),S_Percent,IF(AND(IsSC="Y",S_MO=MO,LoanN_SC=0),S_Percent,0))*LoanAmount</f>
        <v>0</v>
      </c>
      <c r="L13" s="19" t="n">
        <f aca="false">+IF(AND(IsSC="Y",LoanN_SC=LoanNumber,LoanN_SC&gt;0),S_Percent,IF(AND(IsSC="Y",S_MO=MO,LoanN_SC=0),S_Percent,0))*LoanAmount</f>
        <v>0</v>
      </c>
      <c r="M13" s="13" t="n">
        <f aca="false">SUM(G13:L13)</f>
        <v>0</v>
      </c>
      <c r="N13" s="20" t="inlineStr">
        <f aca="false">'bid input'!F7</f>
        <is>
          <t/>
        </is>
      </c>
    </row>
    <row collapsed="false" customFormat="false" customHeight="false" hidden="true" ht="14" outlineLevel="1" r="14">
      <c r="B14" s="0" t="n">
        <f aca="false">+'bid input'!B8</f>
        <v>1104139</v>
      </c>
      <c r="C14" s="16" t="n">
        <f aca="false">+'bid input'!H8</f>
        <v>0</v>
      </c>
      <c r="D14" s="0" t="n">
        <f aca="false">+'bid input'!I8</f>
        <v>0</v>
      </c>
      <c r="E14" s="17" t="str">
        <f aca="false">+IF('bid input'!O8=1,"Y","N")</f>
        <v>N</v>
      </c>
      <c r="F14" s="18" t="inlineStr">
        <f aca="false">+'bid input'!K8</f>
        <is>
          <t/>
        </is>
      </c>
      <c r="G14" s="19" t="n">
        <f aca="false">+IF(AND(IsSC="Y",LoanN_SC=LoanNumber,LoanN_SC&gt;0),S_Percent,IF(AND(IsSC="Y",S_MO=MO,LoanN_SC=0),S_Percent,0))*LoanAmount</f>
        <v>0</v>
      </c>
      <c r="H14" s="19" t="n">
        <f aca="false">+IF(AND(IsSC="Y",LoanN_SC=LoanNumber,LoanN_SC&gt;0),S_Percent,IF(AND(IsSC="Y",S_MO=MO,LoanN_SC=0),S_Percent,0))*LoanAmount</f>
        <v>0</v>
      </c>
      <c r="I14" s="19" t="n">
        <f aca="false">+IF(AND(IsSC="Y",LoanN_SC=LoanNumber,LoanN_SC&gt;0),S_Percent,IF(AND(IsSC="Y",S_MO=MO,LoanN_SC=0),S_Percent,0))*LoanAmount</f>
        <v>0</v>
      </c>
      <c r="J14" s="19" t="n">
        <f aca="false">+IF(AND(IsSC="Y",LoanN_SC=LoanNumber,LoanN_SC&gt;0),S_Percent,IF(AND(IsSC="Y",S_MO=MO,LoanN_SC=0),S_Percent,0))*LoanAmount</f>
        <v>0</v>
      </c>
      <c r="K14" s="19" t="n">
        <f aca="false">+IF(AND(IsSC="Y",LoanN_SC=LoanNumber,LoanN_SC&gt;0),S_Percent,IF(AND(IsSC="Y",S_MO=MO,LoanN_SC=0),S_Percent,0))*LoanAmount</f>
        <v>0</v>
      </c>
      <c r="L14" s="19" t="n">
        <f aca="false">+IF(AND(IsSC="Y",LoanN_SC=LoanNumber,LoanN_SC&gt;0),S_Percent,IF(AND(IsSC="Y",S_MO=MO,LoanN_SC=0),S_Percent,0))*LoanAmount</f>
        <v>0</v>
      </c>
      <c r="M14" s="13" t="n">
        <f aca="false">SUM(G14:L14)</f>
        <v>0</v>
      </c>
      <c r="N14" s="20" t="inlineStr">
        <f aca="false">'bid input'!F8</f>
        <is>
          <t/>
        </is>
      </c>
    </row>
    <row collapsed="false" customFormat="false" customHeight="false" hidden="true" ht="14" outlineLevel="1" r="15">
      <c r="B15" s="0" t="n">
        <f aca="false">+'bid input'!B9</f>
        <v>1104140</v>
      </c>
      <c r="C15" s="16" t="n">
        <f aca="false">+'bid input'!H9</f>
        <v>5</v>
      </c>
      <c r="D15" s="0" t="n">
        <f aca="false">+'bid input'!I9</f>
        <v>0</v>
      </c>
      <c r="E15" s="17" t="str">
        <f aca="false">+IF('bid input'!O9=1,"Y","N")</f>
        <v>Y</v>
      </c>
      <c r="F15" s="18" t="inlineStr">
        <f aca="false">+'bid input'!K9</f>
        <is>
          <t/>
        </is>
      </c>
      <c r="G15" s="19" t="n">
        <f aca="false">+IF(AND(IsSC="Y",LoanN_SC=LoanNumber,LoanN_SC&gt;0),S_Percent,IF(AND(IsSC="Y",S_MO=MO,LoanN_SC=0),S_Percent,0))*LoanAmount</f>
        <v>0</v>
      </c>
      <c r="H15" s="19" t="n">
        <f aca="false">+IF(AND(IsSC="Y",LoanN_SC=LoanNumber,LoanN_SC&gt;0),S_Percent,IF(AND(IsSC="Y",S_MO=MO,LoanN_SC=0),S_Percent,0))*LoanAmount</f>
        <v>0</v>
      </c>
      <c r="I15" s="19" t="n">
        <f aca="false">+IF(AND(IsSC="Y",LoanN_SC=LoanNumber,LoanN_SC&gt;0),S_Percent,IF(AND(IsSC="Y",S_MO=MO,LoanN_SC=0),S_Percent,0))*LoanAmount</f>
        <v>0</v>
      </c>
      <c r="J15" s="19" t="n">
        <f aca="false">+IF(AND(IsSC="Y",LoanN_SC=LoanNumber,LoanN_SC&gt;0),S_Percent,IF(AND(IsSC="Y",S_MO=MO,LoanN_SC=0),S_Percent,0))*LoanAmount</f>
        <v>0</v>
      </c>
      <c r="K15" s="19" t="n">
        <f aca="false">+IF(AND(IsSC="Y",LoanN_SC=LoanNumber,LoanN_SC&gt;0),S_Percent,IF(AND(IsSC="Y",S_MO=MO,LoanN_SC=0),S_Percent,0))*LoanAmount</f>
        <v>103085</v>
      </c>
      <c r="L15" s="19" t="n">
        <f aca="false">+IF(AND(IsSC="Y",LoanN_SC=LoanNumber,LoanN_SC&gt;0),S_Percent,IF(AND(IsSC="Y",S_MO=MO,LoanN_SC=0),S_Percent,0))*LoanAmount</f>
        <v>0</v>
      </c>
      <c r="M15" s="13" t="n">
        <f aca="false">SUM(G15:L15)</f>
        <v>103085</v>
      </c>
      <c r="N15" s="20" t="inlineStr">
        <f aca="false">'bid input'!F9</f>
        <is>
          <t/>
        </is>
      </c>
    </row>
    <row collapsed="false" customFormat="false" customHeight="false" hidden="true" ht="14" outlineLevel="1" r="16">
      <c r="B16" s="0" t="n">
        <f aca="false">+'bid input'!B10</f>
        <v>1104141</v>
      </c>
      <c r="C16" s="16" t="n">
        <f aca="false">+'bid input'!H10</f>
        <v>0</v>
      </c>
      <c r="D16" s="0" t="n">
        <f aca="false">+'bid input'!I10</f>
        <v>0</v>
      </c>
      <c r="E16" s="17" t="str">
        <f aca="false">+IF('bid input'!O10=1,"Y","N")</f>
        <v>N</v>
      </c>
      <c r="F16" s="18" t="inlineStr">
        <f aca="false">+'bid input'!K10</f>
        <is>
          <t/>
        </is>
      </c>
      <c r="G16" s="19" t="n">
        <f aca="false">+IF(AND(IsSC="Y",LoanN_SC=LoanNumber,LoanN_SC&gt;0),S_Percent,IF(AND(IsSC="Y",S_MO=MO,LoanN_SC=0),S_Percent,0))*LoanAmount</f>
        <v>0</v>
      </c>
      <c r="H16" s="19" t="n">
        <f aca="false">+IF(AND(IsSC="Y",LoanN_SC=LoanNumber,LoanN_SC&gt;0),S_Percent,IF(AND(IsSC="Y",S_MO=MO,LoanN_SC=0),S_Percent,0))*LoanAmount</f>
        <v>0</v>
      </c>
      <c r="I16" s="19" t="n">
        <f aca="false">+IF(AND(IsSC="Y",LoanN_SC=LoanNumber,LoanN_SC&gt;0),S_Percent,IF(AND(IsSC="Y",S_MO=MO,LoanN_SC=0),S_Percent,0))*LoanAmount</f>
        <v>0</v>
      </c>
      <c r="J16" s="19" t="n">
        <f aca="false">+IF(AND(IsSC="Y",LoanN_SC=LoanNumber,LoanN_SC&gt;0),S_Percent,IF(AND(IsSC="Y",S_MO=MO,LoanN_SC=0),S_Percent,0))*LoanAmount</f>
        <v>0</v>
      </c>
      <c r="K16" s="19" t="n">
        <f aca="false">+IF(AND(IsSC="Y",LoanN_SC=LoanNumber,LoanN_SC&gt;0),S_Percent,IF(AND(IsSC="Y",S_MO=MO,LoanN_SC=0),S_Percent,0))*LoanAmount</f>
        <v>0</v>
      </c>
      <c r="L16" s="19" t="n">
        <f aca="false">+IF(AND(IsSC="Y",LoanN_SC=LoanNumber,LoanN_SC&gt;0),S_Percent,IF(AND(IsSC="Y",S_MO=MO,LoanN_SC=0),S_Percent,0))*LoanAmount</f>
        <v>0</v>
      </c>
      <c r="M16" s="13" t="n">
        <f aca="false">SUM(G16:L16)</f>
        <v>0</v>
      </c>
      <c r="N16" s="20" t="inlineStr">
        <f aca="false">'bid input'!F10</f>
        <is>
          <t/>
        </is>
      </c>
    </row>
    <row collapsed="false" customFormat="false" customHeight="false" hidden="true" ht="14" outlineLevel="1" r="17">
      <c r="B17" s="0" t="n">
        <f aca="false">+'bid input'!B11</f>
        <v>1104159</v>
      </c>
      <c r="C17" s="16" t="n">
        <f aca="false">+'bid input'!H11</f>
        <v>1</v>
      </c>
      <c r="D17" s="0" t="n">
        <f aca="false">+'bid input'!I11</f>
        <v>0</v>
      </c>
      <c r="E17" s="17" t="str">
        <f aca="false">+IF('bid input'!O11=1,"Y","N")</f>
        <v>N</v>
      </c>
      <c r="F17" s="18" t="inlineStr">
        <f aca="false">+'bid input'!K11</f>
        <is>
          <t/>
        </is>
      </c>
      <c r="G17" s="19" t="n">
        <f aca="false">+IF(AND(IsSC="Y",LoanN_SC=LoanNumber,LoanN_SC&gt;0),S_Percent,IF(AND(IsSC="Y",S_MO=MO,LoanN_SC=0),S_Percent,0))*LoanAmount</f>
        <v>0</v>
      </c>
      <c r="H17" s="19" t="n">
        <f aca="false">+IF(AND(IsSC="Y",LoanN_SC=LoanNumber,LoanN_SC&gt;0),S_Percent,IF(AND(IsSC="Y",S_MO=MO,LoanN_SC=0),S_Percent,0))*LoanAmount</f>
        <v>0</v>
      </c>
      <c r="I17" s="19" t="n">
        <f aca="false">+IF(AND(IsSC="Y",LoanN_SC=LoanNumber,LoanN_SC&gt;0),S_Percent,IF(AND(IsSC="Y",S_MO=MO,LoanN_SC=0),S_Percent,0))*LoanAmount</f>
        <v>0</v>
      </c>
      <c r="J17" s="19" t="n">
        <f aca="false">+IF(AND(IsSC="Y",LoanN_SC=LoanNumber,LoanN_SC&gt;0),S_Percent,IF(AND(IsSC="Y",S_MO=MO,LoanN_SC=0),S_Percent,0))*LoanAmount</f>
        <v>0</v>
      </c>
      <c r="K17" s="19" t="n">
        <f aca="false">+IF(AND(IsSC="Y",LoanN_SC=LoanNumber,LoanN_SC&gt;0),S_Percent,IF(AND(IsSC="Y",S_MO=MO,LoanN_SC=0),S_Percent,0))*LoanAmount</f>
        <v>0</v>
      </c>
      <c r="L17" s="19" t="n">
        <f aca="false">+IF(AND(IsSC="Y",LoanN_SC=LoanNumber,LoanN_SC&gt;0),S_Percent,IF(AND(IsSC="Y",S_MO=MO,LoanN_SC=0),S_Percent,0))*LoanAmount</f>
        <v>0</v>
      </c>
      <c r="M17" s="13" t="n">
        <f aca="false">SUM(G17:L17)</f>
        <v>0</v>
      </c>
      <c r="N17" s="20" t="inlineStr">
        <f aca="false">'bid input'!F11</f>
        <is>
          <t/>
        </is>
      </c>
    </row>
    <row collapsed="false" customFormat="false" customHeight="false" hidden="true" ht="14" outlineLevel="1" r="18">
      <c r="B18" s="0" t="n">
        <f aca="false">+'bid input'!B12</f>
        <v>1104161</v>
      </c>
      <c r="C18" s="16" t="n">
        <f aca="false">+'bid input'!H12</f>
        <v>4</v>
      </c>
      <c r="D18" s="0" t="n">
        <f aca="false">+'bid input'!I12</f>
        <v>0</v>
      </c>
      <c r="E18" s="17" t="str">
        <f aca="false">+IF('bid input'!O12=1,"Y","N")</f>
        <v>N</v>
      </c>
      <c r="F18" s="18" t="inlineStr">
        <f aca="false">+'bid input'!K12</f>
        <is>
          <t/>
        </is>
      </c>
      <c r="G18" s="19" t="n">
        <f aca="false">+IF(AND(IsSC="Y",LoanN_SC=LoanNumber,LoanN_SC&gt;0),S_Percent,IF(AND(IsSC="Y",S_MO=MO,LoanN_SC=0),S_Percent,0))*LoanAmount</f>
        <v>0</v>
      </c>
      <c r="H18" s="19" t="n">
        <f aca="false">+IF(AND(IsSC="Y",LoanN_SC=LoanNumber,LoanN_SC&gt;0),S_Percent,IF(AND(IsSC="Y",S_MO=MO,LoanN_SC=0),S_Percent,0))*LoanAmount</f>
        <v>0</v>
      </c>
      <c r="I18" s="19" t="n">
        <f aca="false">+IF(AND(IsSC="Y",LoanN_SC=LoanNumber,LoanN_SC&gt;0),S_Percent,IF(AND(IsSC="Y",S_MO=MO,LoanN_SC=0),S_Percent,0))*LoanAmount</f>
        <v>0</v>
      </c>
      <c r="J18" s="19" t="n">
        <f aca="false">+IF(AND(IsSC="Y",LoanN_SC=LoanNumber,LoanN_SC&gt;0),S_Percent,IF(AND(IsSC="Y",S_MO=MO,LoanN_SC=0),S_Percent,0))*LoanAmount</f>
        <v>0</v>
      </c>
      <c r="K18" s="19" t="n">
        <f aca="false">+IF(AND(IsSC="Y",LoanN_SC=LoanNumber,LoanN_SC&gt;0),S_Percent,IF(AND(IsSC="Y",S_MO=MO,LoanN_SC=0),S_Percent,0))*LoanAmount</f>
        <v>0</v>
      </c>
      <c r="L18" s="19" t="n">
        <f aca="false">+IF(AND(IsSC="Y",LoanN_SC=LoanNumber,LoanN_SC&gt;0),S_Percent,IF(AND(IsSC="Y",S_MO=MO,LoanN_SC=0),S_Percent,0))*LoanAmount</f>
        <v>0</v>
      </c>
      <c r="M18" s="13" t="n">
        <f aca="false">SUM(G18:L18)</f>
        <v>0</v>
      </c>
      <c r="N18" s="20" t="inlineStr">
        <f aca="false">'bid input'!F12</f>
        <is>
          <t/>
        </is>
      </c>
    </row>
    <row collapsed="false" customFormat="false" customHeight="false" hidden="true" ht="14" outlineLevel="1" r="19">
      <c r="B19" s="0" t="n">
        <f aca="false">+'bid input'!B13</f>
        <v>1104145</v>
      </c>
      <c r="C19" s="16" t="n">
        <f aca="false">+'bid input'!H13</f>
        <v>1</v>
      </c>
      <c r="D19" s="0" t="n">
        <f aca="false">+'bid input'!I13</f>
        <v>0</v>
      </c>
      <c r="E19" s="17" t="str">
        <f aca="false">+IF('bid input'!O13=1,"Y","N")</f>
        <v>Y</v>
      </c>
      <c r="F19" s="18" t="inlineStr">
        <f aca="false">+'bid input'!K13</f>
        <is>
          <t/>
        </is>
      </c>
      <c r="G19" s="19" t="n">
        <f aca="false">+IF(AND(IsSC="Y",LoanN_SC=LoanNumber,LoanN_SC&gt;0),S_Percent,IF(AND(IsSC="Y",S_MO=MO,LoanN_SC=0),S_Percent,0))*LoanAmount</f>
        <v>31872.5</v>
      </c>
      <c r="H19" s="19" t="n">
        <f aca="false">+IF(AND(IsSC="Y",LoanN_SC=LoanNumber,LoanN_SC&gt;0),S_Percent,IF(AND(IsSC="Y",S_MO=MO,LoanN_SC=0),S_Percent,0))*LoanAmount</f>
        <v>0</v>
      </c>
      <c r="I19" s="19" t="n">
        <f aca="false">+IF(AND(IsSC="Y",LoanN_SC=LoanNumber,LoanN_SC&gt;0),S_Percent,IF(AND(IsSC="Y",S_MO=MO,LoanN_SC=0),S_Percent,0))*LoanAmount</f>
        <v>0</v>
      </c>
      <c r="J19" s="19" t="n">
        <f aca="false">+IF(AND(IsSC="Y",LoanN_SC=LoanNumber,LoanN_SC&gt;0),S_Percent,IF(AND(IsSC="Y",S_MO=MO,LoanN_SC=0),S_Percent,0))*LoanAmount</f>
        <v>0</v>
      </c>
      <c r="K19" s="19" t="n">
        <f aca="false">+IF(AND(IsSC="Y",LoanN_SC=LoanNumber,LoanN_SC&gt;0),S_Percent,IF(AND(IsSC="Y",S_MO=MO,LoanN_SC=0),S_Percent,0))*LoanAmount</f>
        <v>0</v>
      </c>
      <c r="L19" s="19" t="n">
        <f aca="false">+IF(AND(IsSC="Y",LoanN_SC=LoanNumber,LoanN_SC&gt;0),S_Percent,IF(AND(IsSC="Y",S_MO=MO,LoanN_SC=0),S_Percent,0))*LoanAmount</f>
        <v>0</v>
      </c>
      <c r="M19" s="13" t="n">
        <f aca="false">SUM(G19:L19)</f>
        <v>31872.5</v>
      </c>
      <c r="N19" s="20" t="inlineStr">
        <f aca="false">'bid input'!F13</f>
        <is>
          <t/>
        </is>
      </c>
    </row>
    <row collapsed="false" customFormat="false" customHeight="false" hidden="true" ht="14" outlineLevel="1" r="20">
      <c r="B20" s="0" t="n">
        <f aca="false">+'bid input'!B14</f>
        <v>1104133</v>
      </c>
      <c r="C20" s="16" t="n">
        <f aca="false">+'bid input'!H14</f>
        <v>4</v>
      </c>
      <c r="D20" s="0" t="n">
        <f aca="false">+'bid input'!I14</f>
        <v>0</v>
      </c>
      <c r="E20" s="17" t="str">
        <f aca="false">+IF('bid input'!O14=1,"Y","N")</f>
        <v>Y</v>
      </c>
      <c r="F20" s="18" t="inlineStr">
        <f aca="false">+'bid input'!K14</f>
        <is>
          <t/>
        </is>
      </c>
      <c r="G20" s="19" t="n">
        <f aca="false">+IF(AND(IsSC="Y",LoanN_SC=LoanNumber,LoanN_SC&gt;0),S_Percent,IF(AND(IsSC="Y",S_MO=MO,LoanN_SC=0),S_Percent,0))*LoanAmount</f>
        <v>0</v>
      </c>
      <c r="H20" s="19" t="n">
        <f aca="false">+IF(AND(IsSC="Y",LoanN_SC=LoanNumber,LoanN_SC&gt;0),S_Percent,IF(AND(IsSC="Y",S_MO=MO,LoanN_SC=0),S_Percent,0))*LoanAmount</f>
        <v>0</v>
      </c>
      <c r="I20" s="19" t="n">
        <f aca="false">+IF(AND(IsSC="Y",LoanN_SC=LoanNumber,LoanN_SC&gt;0),S_Percent,IF(AND(IsSC="Y",S_MO=MO,LoanN_SC=0),S_Percent,0))*LoanAmount</f>
        <v>0</v>
      </c>
      <c r="J20" s="19" t="n">
        <f aca="false">+IF(AND(IsSC="Y",LoanN_SC=LoanNumber,LoanN_SC&gt;0),S_Percent,IF(AND(IsSC="Y",S_MO=MO,LoanN_SC=0),S_Percent,0))*LoanAmount</f>
        <v>105080</v>
      </c>
      <c r="K20" s="19" t="n">
        <f aca="false">+IF(AND(IsSC="Y",LoanN_SC=LoanNumber,LoanN_SC&gt;0),S_Percent,IF(AND(IsSC="Y",S_MO=MO,LoanN_SC=0),S_Percent,0))*LoanAmount</f>
        <v>0</v>
      </c>
      <c r="L20" s="19" t="n">
        <f aca="false">+IF(AND(IsSC="Y",LoanN_SC=LoanNumber,LoanN_SC&gt;0),S_Percent,IF(AND(IsSC="Y",S_MO=MO,LoanN_SC=0),S_Percent,0))*LoanAmount</f>
        <v>0</v>
      </c>
      <c r="M20" s="13" t="n">
        <f aca="false">SUM(G20:L20)</f>
        <v>105080</v>
      </c>
      <c r="N20" s="20" t="inlineStr">
        <f aca="false">'bid input'!F14</f>
        <is>
          <t/>
        </is>
      </c>
    </row>
    <row collapsed="false" customFormat="false" customHeight="false" hidden="true" ht="14" outlineLevel="1" r="21">
      <c r="B21" s="0" t="n">
        <f aca="false">+'bid input'!B15</f>
        <v>1104149</v>
      </c>
      <c r="C21" s="16" t="n">
        <f aca="false">+'bid input'!H15</f>
        <v>5</v>
      </c>
      <c r="D21" s="0" t="n">
        <f aca="false">+'bid input'!I15</f>
        <v>0</v>
      </c>
      <c r="E21" s="17" t="str">
        <f aca="false">+IF('bid input'!O15=1,"Y","N")</f>
        <v>N</v>
      </c>
      <c r="F21" s="18" t="inlineStr">
        <f aca="false">+'bid input'!K15</f>
        <is>
          <t/>
        </is>
      </c>
      <c r="G21" s="19" t="n">
        <f aca="false">+IF(AND(IsSC="Y",LoanN_SC=LoanNumber,LoanN_SC&gt;0),S_Percent,IF(AND(IsSC="Y",S_MO=MO,LoanN_SC=0),S_Percent,0))*LoanAmount</f>
        <v>0</v>
      </c>
      <c r="H21" s="19" t="n">
        <f aca="false">+IF(AND(IsSC="Y",LoanN_SC=LoanNumber,LoanN_SC&gt;0),S_Percent,IF(AND(IsSC="Y",S_MO=MO,LoanN_SC=0),S_Percent,0))*LoanAmount</f>
        <v>0</v>
      </c>
      <c r="I21" s="19" t="n">
        <f aca="false">+IF(AND(IsSC="Y",LoanN_SC=LoanNumber,LoanN_SC&gt;0),S_Percent,IF(AND(IsSC="Y",S_MO=MO,LoanN_SC=0),S_Percent,0))*LoanAmount</f>
        <v>0</v>
      </c>
      <c r="J21" s="19" t="n">
        <f aca="false">+IF(AND(IsSC="Y",LoanN_SC=LoanNumber,LoanN_SC&gt;0),S_Percent,IF(AND(IsSC="Y",S_MO=MO,LoanN_SC=0),S_Percent,0))*LoanAmount</f>
        <v>0</v>
      </c>
      <c r="K21" s="19" t="n">
        <f aca="false">+IF(AND(IsSC="Y",LoanN_SC=LoanNumber,LoanN_SC&gt;0),S_Percent,IF(AND(IsSC="Y",S_MO=MO,LoanN_SC=0),S_Percent,0))*LoanAmount</f>
        <v>0</v>
      </c>
      <c r="L21" s="19" t="n">
        <f aca="false">+IF(AND(IsSC="Y",LoanN_SC=LoanNumber,LoanN_SC&gt;0),S_Percent,IF(AND(IsSC="Y",S_MO=MO,LoanN_SC=0),S_Percent,0))*LoanAmount</f>
        <v>0</v>
      </c>
      <c r="M21" s="13" t="n">
        <f aca="false">SUM(G21:L21)</f>
        <v>0</v>
      </c>
      <c r="N21" s="20" t="inlineStr">
        <f aca="false">'bid input'!F15</f>
        <is>
          <t/>
        </is>
      </c>
    </row>
    <row collapsed="false" customFormat="false" customHeight="false" hidden="true" ht="14" outlineLevel="1" r="22">
      <c r="B22" s="0" t="n">
        <f aca="false">+'bid input'!B16</f>
        <v>1104151</v>
      </c>
      <c r="C22" s="16" t="n">
        <f aca="false">+'bid input'!H16</f>
        <v>1</v>
      </c>
      <c r="D22" s="0" t="n">
        <f aca="false">+'bid input'!I16</f>
        <v>0</v>
      </c>
      <c r="E22" s="17" t="str">
        <f aca="false">+IF('bid input'!O16=1,"Y","N")</f>
        <v>N</v>
      </c>
      <c r="F22" s="18" t="inlineStr">
        <f aca="false">+'bid input'!K16</f>
        <is>
          <t/>
        </is>
      </c>
      <c r="G22" s="19" t="n">
        <f aca="false">+IF(AND(IsSC="Y",LoanN_SC=LoanNumber,LoanN_SC&gt;0),S_Percent,IF(AND(IsSC="Y",S_MO=MO,LoanN_SC=0),S_Percent,0))*LoanAmount</f>
        <v>0</v>
      </c>
      <c r="H22" s="19" t="n">
        <f aca="false">+IF(AND(IsSC="Y",LoanN_SC=LoanNumber,LoanN_SC&gt;0),S_Percent,IF(AND(IsSC="Y",S_MO=MO,LoanN_SC=0),S_Percent,0))*LoanAmount</f>
        <v>0</v>
      </c>
      <c r="I22" s="19" t="n">
        <f aca="false">+IF(AND(IsSC="Y",LoanN_SC=LoanNumber,LoanN_SC&gt;0),S_Percent,IF(AND(IsSC="Y",S_MO=MO,LoanN_SC=0),S_Percent,0))*LoanAmount</f>
        <v>0</v>
      </c>
      <c r="J22" s="19" t="n">
        <f aca="false">+IF(AND(IsSC="Y",LoanN_SC=LoanNumber,LoanN_SC&gt;0),S_Percent,IF(AND(IsSC="Y",S_MO=MO,LoanN_SC=0),S_Percent,0))*LoanAmount</f>
        <v>0</v>
      </c>
      <c r="K22" s="19" t="n">
        <f aca="false">+IF(AND(IsSC="Y",LoanN_SC=LoanNumber,LoanN_SC&gt;0),S_Percent,IF(AND(IsSC="Y",S_MO=MO,LoanN_SC=0),S_Percent,0))*LoanAmount</f>
        <v>0</v>
      </c>
      <c r="L22" s="19" t="n">
        <f aca="false">+IF(AND(IsSC="Y",LoanN_SC=LoanNumber,LoanN_SC&gt;0),S_Percent,IF(AND(IsSC="Y",S_MO=MO,LoanN_SC=0),S_Percent,0))*LoanAmount</f>
        <v>0</v>
      </c>
      <c r="M22" s="13" t="n">
        <f aca="false">SUM(G22:L22)</f>
        <v>0</v>
      </c>
      <c r="N22" s="20" t="inlineStr">
        <f aca="false">'bid input'!F16</f>
        <is>
          <t/>
        </is>
      </c>
    </row>
    <row collapsed="false" customFormat="false" customHeight="false" hidden="true" ht="14" outlineLevel="1" r="23">
      <c r="B23" s="0" t="n">
        <f aca="false">+'bid input'!B17</f>
        <v>1104131</v>
      </c>
      <c r="C23" s="16" t="n">
        <f aca="false">+'bid input'!H17</f>
        <v>0</v>
      </c>
      <c r="D23" s="0" t="n">
        <f aca="false">+'bid input'!I17</f>
        <v>0</v>
      </c>
      <c r="E23" s="17" t="str">
        <f aca="false">+IF('bid input'!O17=1,"Y","N")</f>
        <v>N</v>
      </c>
      <c r="F23" s="18" t="inlineStr">
        <f aca="false">+'bid input'!K17</f>
        <is>
          <t/>
        </is>
      </c>
      <c r="G23" s="19" t="n">
        <f aca="false">+IF(AND(IsSC="Y",LoanN_SC=LoanNumber,LoanN_SC&gt;0),S_Percent,IF(AND(IsSC="Y",S_MO=MO,LoanN_SC=0),S_Percent,0))*LoanAmount</f>
        <v>0</v>
      </c>
      <c r="H23" s="19" t="n">
        <f aca="false">+IF(AND(IsSC="Y",LoanN_SC=LoanNumber,LoanN_SC&gt;0),S_Percent,IF(AND(IsSC="Y",S_MO=MO,LoanN_SC=0),S_Percent,0))*LoanAmount</f>
        <v>0</v>
      </c>
      <c r="I23" s="19" t="n">
        <f aca="false">+IF(AND(IsSC="Y",LoanN_SC=LoanNumber,LoanN_SC&gt;0),S_Percent,IF(AND(IsSC="Y",S_MO=MO,LoanN_SC=0),S_Percent,0))*LoanAmount</f>
        <v>0</v>
      </c>
      <c r="J23" s="19" t="n">
        <f aca="false">+IF(AND(IsSC="Y",LoanN_SC=LoanNumber,LoanN_SC&gt;0),S_Percent,IF(AND(IsSC="Y",S_MO=MO,LoanN_SC=0),S_Percent,0))*LoanAmount</f>
        <v>0</v>
      </c>
      <c r="K23" s="19" t="n">
        <f aca="false">+IF(AND(IsSC="Y",LoanN_SC=LoanNumber,LoanN_SC&gt;0),S_Percent,IF(AND(IsSC="Y",S_MO=MO,LoanN_SC=0),S_Percent,0))*LoanAmount</f>
        <v>0</v>
      </c>
      <c r="L23" s="19" t="n">
        <f aca="false">+IF(AND(IsSC="Y",LoanN_SC=LoanNumber,LoanN_SC&gt;0),S_Percent,IF(AND(IsSC="Y",S_MO=MO,LoanN_SC=0),S_Percent,0))*LoanAmount</f>
        <v>0</v>
      </c>
      <c r="M23" s="13" t="n">
        <f aca="false">SUM(G23:L23)</f>
        <v>0</v>
      </c>
      <c r="N23" s="20" t="inlineStr">
        <f aca="false">'bid input'!F17</f>
        <is>
          <t/>
        </is>
      </c>
    </row>
    <row collapsed="false" customFormat="false" customHeight="false" hidden="true" ht="14" outlineLevel="1" r="24">
      <c r="B24" s="0" t="n">
        <f aca="false">+'bid input'!B18</f>
        <v>1104155</v>
      </c>
      <c r="C24" s="16" t="n">
        <f aca="false">+'bid input'!H18</f>
        <v>0</v>
      </c>
      <c r="D24" s="0" t="str">
        <f aca="false">+'bid input'!I18</f>
        <v>Best Loans Inc</v>
      </c>
      <c r="E24" s="17" t="str">
        <f aca="false">+IF('bid input'!O18=1,"Y","N")</f>
        <v>Y</v>
      </c>
      <c r="F24" s="18" t="inlineStr">
        <f aca="false">+'bid input'!K18</f>
        <is>
          <t/>
        </is>
      </c>
      <c r="G24" s="19" t="n">
        <f aca="false">+IF(AND(IsSC="Y",LoanN_SC=LoanNumber,LoanN_SC&gt;0),S_Percent,IF(AND(IsSC="Y",S_MO=MO,LoanN_SC=0),S_Percent,0))*LoanAmount</f>
        <v>0</v>
      </c>
      <c r="H24" s="19" t="n">
        <f aca="false">+IF(AND(IsSC="Y",LoanN_SC=LoanNumber,LoanN_SC&gt;0),S_Percent,IF(AND(IsSC="Y",S_MO=MO,LoanN_SC=0),S_Percent,0))*LoanAmount</f>
        <v>0</v>
      </c>
      <c r="I24" s="19" t="n">
        <f aca="false">+IF(AND(IsSC="Y",LoanN_SC=LoanNumber,LoanN_SC&gt;0),S_Percent,IF(AND(IsSC="Y",S_MO=MO,LoanN_SC=0),S_Percent,0))*LoanAmount</f>
        <v>0</v>
      </c>
      <c r="J24" s="19" t="n">
        <f aca="false">+IF(AND(IsSC="Y",LoanN_SC=LoanNumber,LoanN_SC&gt;0),S_Percent,IF(AND(IsSC="Y",S_MO=MO,LoanN_SC=0),S_Percent,0))*LoanAmount</f>
        <v>0</v>
      </c>
      <c r="K24" s="19" t="n">
        <f aca="false">+IF(AND(IsSC="Y",LoanN_SC=LoanNumber,LoanN_SC&gt;0),S_Percent,IF(AND(IsSC="Y",S_MO=MO,LoanN_SC=0),S_Percent,0))*LoanAmount</f>
        <v>103085</v>
      </c>
      <c r="L24" s="19" t="n">
        <f aca="false">+IF(AND(IsSC="Y",LoanN_SC=LoanNumber,LoanN_SC&gt;0),S_Percent,IF(AND(IsSC="Y",S_MO=MO,LoanN_SC=0),S_Percent,0))*LoanAmount</f>
        <v>0</v>
      </c>
      <c r="M24" s="13" t="n">
        <f aca="false">SUM(G24:L24)</f>
        <v>103085</v>
      </c>
      <c r="N24" s="20" t="inlineStr">
        <f aca="false">'bid input'!F18</f>
        <is>
          <t/>
        </is>
      </c>
    </row>
    <row collapsed="false" customFormat="false" customHeight="false" hidden="true" ht="14" outlineLevel="1" r="25">
      <c r="B25" s="0" t="n">
        <f aca="false">+'bid input'!B19</f>
        <v>1104156</v>
      </c>
      <c r="C25" s="16" t="n">
        <f aca="false">+'bid input'!H19</f>
        <v>2</v>
      </c>
      <c r="D25" s="0" t="n">
        <f aca="false">+'bid input'!I19</f>
        <v>0</v>
      </c>
      <c r="E25" s="17" t="str">
        <f aca="false">+IF('bid input'!O19=1,"Y","N")</f>
        <v>N</v>
      </c>
      <c r="F25" s="18" t="inlineStr">
        <f aca="false">+'bid input'!K19</f>
        <is>
          <t/>
        </is>
      </c>
      <c r="G25" s="19" t="n">
        <f aca="false">+IF(AND(IsSC="Y",LoanN_SC=LoanNumber,LoanN_SC&gt;0),S_Percent,IF(AND(IsSC="Y",S_MO=MO,LoanN_SC=0),S_Percent,0))*LoanAmount</f>
        <v>0</v>
      </c>
      <c r="H25" s="19" t="n">
        <f aca="false">+IF(AND(IsSC="Y",LoanN_SC=LoanNumber,LoanN_SC&gt;0),S_Percent,IF(AND(IsSC="Y",S_MO=MO,LoanN_SC=0),S_Percent,0))*LoanAmount</f>
        <v>0</v>
      </c>
      <c r="I25" s="19" t="n">
        <f aca="false">+IF(AND(IsSC="Y",LoanN_SC=LoanNumber,LoanN_SC&gt;0),S_Percent,IF(AND(IsSC="Y",S_MO=MO,LoanN_SC=0),S_Percent,0))*LoanAmount</f>
        <v>0</v>
      </c>
      <c r="J25" s="19" t="n">
        <f aca="false">+IF(AND(IsSC="Y",LoanN_SC=LoanNumber,LoanN_SC&gt;0),S_Percent,IF(AND(IsSC="Y",S_MO=MO,LoanN_SC=0),S_Percent,0))*LoanAmount</f>
        <v>0</v>
      </c>
      <c r="K25" s="19" t="n">
        <f aca="false">+IF(AND(IsSC="Y",LoanN_SC=LoanNumber,LoanN_SC&gt;0),S_Percent,IF(AND(IsSC="Y",S_MO=MO,LoanN_SC=0),S_Percent,0))*LoanAmount</f>
        <v>0</v>
      </c>
      <c r="L25" s="19" t="n">
        <f aca="false">+IF(AND(IsSC="Y",LoanN_SC=LoanNumber,LoanN_SC&gt;0),S_Percent,IF(AND(IsSC="Y",S_MO=MO,LoanN_SC=0),S_Percent,0))*LoanAmount</f>
        <v>0</v>
      </c>
      <c r="M25" s="13" t="n">
        <f aca="false">SUM(G25:L25)</f>
        <v>0</v>
      </c>
      <c r="N25" s="20" t="inlineStr">
        <f aca="false">'bid input'!F19</f>
        <is>
          <t/>
        </is>
      </c>
    </row>
    <row collapsed="false" customFormat="false" customHeight="false" hidden="true" ht="14" outlineLevel="1" r="26">
      <c r="B26" s="0" t="n">
        <f aca="false">+'bid input'!B20</f>
        <v>1104157</v>
      </c>
      <c r="C26" s="16" t="n">
        <f aca="false">+'bid input'!H20</f>
        <v>0</v>
      </c>
      <c r="D26" s="0" t="n">
        <f aca="false">+'bid input'!I20</f>
        <v>0</v>
      </c>
      <c r="E26" s="17" t="str">
        <f aca="false">+IF('bid input'!O20=1,"Y","N")</f>
        <v>N</v>
      </c>
      <c r="F26" s="18" t="inlineStr">
        <f aca="false">+'bid input'!K20</f>
        <is>
          <t/>
        </is>
      </c>
      <c r="G26" s="19" t="n">
        <f aca="false">+IF(AND(IsSC="Y",LoanN_SC=LoanNumber,LoanN_SC&gt;0),S_Percent,IF(AND(IsSC="Y",S_MO=MO,LoanN_SC=0),S_Percent,0))*LoanAmount</f>
        <v>0</v>
      </c>
      <c r="H26" s="19" t="n">
        <f aca="false">+IF(AND(IsSC="Y",LoanN_SC=LoanNumber,LoanN_SC&gt;0),S_Percent,IF(AND(IsSC="Y",S_MO=MO,LoanN_SC=0),S_Percent,0))*LoanAmount</f>
        <v>0</v>
      </c>
      <c r="I26" s="19" t="n">
        <f aca="false">+IF(AND(IsSC="Y",LoanN_SC=LoanNumber,LoanN_SC&gt;0),S_Percent,IF(AND(IsSC="Y",S_MO=MO,LoanN_SC=0),S_Percent,0))*LoanAmount</f>
        <v>0</v>
      </c>
      <c r="J26" s="19" t="n">
        <f aca="false">+IF(AND(IsSC="Y",LoanN_SC=LoanNumber,LoanN_SC&gt;0),S_Percent,IF(AND(IsSC="Y",S_MO=MO,LoanN_SC=0),S_Percent,0))*LoanAmount</f>
        <v>0</v>
      </c>
      <c r="K26" s="19" t="n">
        <f aca="false">+IF(AND(IsSC="Y",LoanN_SC=LoanNumber,LoanN_SC&gt;0),S_Percent,IF(AND(IsSC="Y",S_MO=MO,LoanN_SC=0),S_Percent,0))*LoanAmount</f>
        <v>0</v>
      </c>
      <c r="L26" s="19" t="n">
        <f aca="false">+IF(AND(IsSC="Y",LoanN_SC=LoanNumber,LoanN_SC&gt;0),S_Percent,IF(AND(IsSC="Y",S_MO=MO,LoanN_SC=0),S_Percent,0))*LoanAmount</f>
        <v>0</v>
      </c>
      <c r="M26" s="13" t="n">
        <f aca="false">SUM(G26:L26)</f>
        <v>0</v>
      </c>
      <c r="N26" s="20" t="inlineStr">
        <f aca="false">'bid input'!F20</f>
        <is>
          <t/>
        </is>
      </c>
    </row>
    <row collapsed="false" customFormat="false" customHeight="false" hidden="true" ht="14" outlineLevel="1" r="27">
      <c r="B27" s="0" t="n">
        <f aca="false">+'bid input'!B21</f>
        <v>1104158</v>
      </c>
      <c r="C27" s="16" t="n">
        <f aca="false">+'bid input'!H21</f>
        <v>1</v>
      </c>
      <c r="D27" s="0" t="n">
        <f aca="false">+'bid input'!I21</f>
        <v>0</v>
      </c>
      <c r="E27" s="17" t="str">
        <f aca="false">+IF('bid input'!O21=1,"Y","N")</f>
        <v>Y</v>
      </c>
      <c r="F27" s="18" t="inlineStr">
        <f aca="false">+'bid input'!K21</f>
        <is>
          <t/>
        </is>
      </c>
      <c r="G27" s="19" t="n">
        <f aca="false">+IF(AND(IsSC="Y",LoanN_SC=LoanNumber,LoanN_SC&gt;0),S_Percent,IF(AND(IsSC="Y",S_MO=MO,LoanN_SC=0),S_Percent,0))*LoanAmount</f>
        <v>63745</v>
      </c>
      <c r="H27" s="19" t="n">
        <f aca="false">+IF(AND(IsSC="Y",LoanN_SC=LoanNumber,LoanN_SC&gt;0),S_Percent,IF(AND(IsSC="Y",S_MO=MO,LoanN_SC=0),S_Percent,0))*LoanAmount</f>
        <v>0</v>
      </c>
      <c r="I27" s="19" t="n">
        <f aca="false">+IF(AND(IsSC="Y",LoanN_SC=LoanNumber,LoanN_SC&gt;0),S_Percent,IF(AND(IsSC="Y",S_MO=MO,LoanN_SC=0),S_Percent,0))*LoanAmount</f>
        <v>0</v>
      </c>
      <c r="J27" s="19" t="n">
        <f aca="false">+IF(AND(IsSC="Y",LoanN_SC=LoanNumber,LoanN_SC&gt;0),S_Percent,IF(AND(IsSC="Y",S_MO=MO,LoanN_SC=0),S_Percent,0))*LoanAmount</f>
        <v>0</v>
      </c>
      <c r="K27" s="19" t="n">
        <f aca="false">+IF(AND(IsSC="Y",LoanN_SC=LoanNumber,LoanN_SC&gt;0),S_Percent,IF(AND(IsSC="Y",S_MO=MO,LoanN_SC=0),S_Percent,0))*LoanAmount</f>
        <v>0</v>
      </c>
      <c r="L27" s="19" t="n">
        <f aca="false">+IF(AND(IsSC="Y",LoanN_SC=LoanNumber,LoanN_SC&gt;0),S_Percent,IF(AND(IsSC="Y",S_MO=MO,LoanN_SC=0),S_Percent,0))*LoanAmount</f>
        <v>0</v>
      </c>
      <c r="M27" s="13" t="n">
        <f aca="false">SUM(G27:L27)</f>
        <v>63745</v>
      </c>
      <c r="N27" s="20" t="inlineStr">
        <f aca="false">'bid input'!F21</f>
        <is>
          <t/>
        </is>
      </c>
    </row>
    <row collapsed="false" customFormat="false" customHeight="false" hidden="true" ht="14" outlineLevel="1" r="28">
      <c r="B28" s="14"/>
      <c r="C28" s="14"/>
      <c r="D28" s="14"/>
      <c r="E28" s="15"/>
      <c r="F28" s="14"/>
      <c r="K28" s="13"/>
    </row>
    <row collapsed="false" customFormat="false" customHeight="false" hidden="true" ht="14" outlineLevel="1" r="29">
      <c r="B29" s="0" t="n">
        <f aca="false">+'bid input'!B2</f>
        <v>1104134</v>
      </c>
      <c r="C29" s="16"/>
      <c r="E29" s="17"/>
      <c r="F29" s="18" t="inlineStr">
        <f aca="false">+'bid input'!K2</f>
        <is>
          <t/>
        </is>
      </c>
      <c r="G29" s="13" t="n">
        <f aca="false">IF($M8&lt;'bid input'!$M2,G8, 'bid input'!$M2*G8/$M8)</f>
        <v>0</v>
      </c>
      <c r="H29" s="13" t="n">
        <f aca="false">IF($M8&lt;'bid input'!$M2,H8, 'bid input'!$M2*H8/$M8)</f>
        <v>0</v>
      </c>
      <c r="I29" s="13" t="n">
        <f aca="false">IF($M8&lt;'bid input'!$M2,I8, 'bid input'!$M2*I8/$M8)</f>
        <v>0</v>
      </c>
      <c r="J29" s="13" t="n">
        <f aca="false">IF($M8&lt;'bid input'!$M2,J8, 'bid input'!$M2*J8/$M8)</f>
        <v>0</v>
      </c>
      <c r="K29" s="13" t="n">
        <f aca="false">IF($M8&lt;'bid input'!$M2,K8, 'bid input'!$M2*K8/$M8)</f>
        <v>0</v>
      </c>
      <c r="L29" s="13" t="n">
        <f aca="false">IF($M8&lt;'bid input'!$M2,L8, 'bid input'!$M2*L8/$M8)</f>
        <v>0</v>
      </c>
      <c r="M29" s="13" t="n">
        <f aca="false">SUM(G29:L29)</f>
        <v>0</v>
      </c>
    </row>
    <row collapsed="false" customFormat="false" customHeight="false" hidden="true" ht="14" outlineLevel="1" r="30">
      <c r="B30" s="0" t="n">
        <f aca="false">+'bid input'!B3</f>
        <v>1104143</v>
      </c>
      <c r="C30" s="16"/>
      <c r="E30" s="17"/>
      <c r="F30" s="18" t="inlineStr">
        <f aca="false">+'bid input'!K3</f>
        <is>
          <t/>
        </is>
      </c>
      <c r="G30" s="13" t="n">
        <f aca="false">IF($M9&lt;'bid input'!$M3,G9, 'bid input'!$M3*G9/$M9)</f>
        <v>0</v>
      </c>
      <c r="H30" s="13" t="n">
        <f aca="false">IF($M9&lt;'bid input'!$M3,H9, 'bid input'!$M3*H9/$M9)</f>
        <v>0</v>
      </c>
      <c r="I30" s="13" t="n">
        <f aca="false">IF($M9&lt;'bid input'!$M3,I9, 'bid input'!$M3*I9/$M9)</f>
        <v>0</v>
      </c>
      <c r="J30" s="13" t="n">
        <f aca="false">IF($M9&lt;'bid input'!$M3,J9, 'bid input'!$M3*J9/$M9)</f>
        <v>0</v>
      </c>
      <c r="K30" s="13" t="n">
        <f aca="false">IF($M9&lt;'bid input'!$M3,K9, 'bid input'!$M3*K9/$M9)</f>
        <v>0</v>
      </c>
      <c r="L30" s="13" t="n">
        <f aca="false">IF($M9&lt;'bid input'!$M3,L9, 'bid input'!$M3*L9/$M9)</f>
        <v>0</v>
      </c>
      <c r="M30" s="13" t="n">
        <f aca="false">SUM(G30:L30)</f>
        <v>0</v>
      </c>
    </row>
    <row collapsed="false" customFormat="false" customHeight="false" hidden="true" ht="14" outlineLevel="1" r="31">
      <c r="B31" s="0" t="n">
        <f aca="false">+'bid input'!B4</f>
        <v>1104154</v>
      </c>
      <c r="C31" s="16"/>
      <c r="E31" s="17"/>
      <c r="F31" s="18" t="inlineStr">
        <f aca="false">+'bid input'!K4</f>
        <is>
          <t/>
        </is>
      </c>
      <c r="G31" s="13" t="n">
        <f aca="false">IF($M10&lt;'bid input'!$M4,G10, 'bid input'!$M4*G10/$M10)</f>
        <v>0</v>
      </c>
      <c r="H31" s="13" t="n">
        <f aca="false">IF($M10&lt;'bid input'!$M4,H10, 'bid input'!$M4*H10/$M10)</f>
        <v>0</v>
      </c>
      <c r="I31" s="13" t="n">
        <f aca="false">IF($M10&lt;'bid input'!$M4,I10, 'bid input'!$M4*I10/$M10)</f>
        <v>0</v>
      </c>
      <c r="J31" s="13" t="n">
        <f aca="false">IF($M10&lt;'bid input'!$M4,J10, 'bid input'!$M4*J10/$M10)</f>
        <v>0</v>
      </c>
      <c r="K31" s="13" t="n">
        <f aca="false">IF($M10&lt;'bid input'!$M4,K10, 'bid input'!$M4*K10/$M10)</f>
        <v>0</v>
      </c>
      <c r="L31" s="13" t="n">
        <f aca="false">IF($M10&lt;'bid input'!$M4,L10, 'bid input'!$M4*L10/$M10)</f>
        <v>0</v>
      </c>
      <c r="M31" s="13" t="n">
        <f aca="false">SUM(G31:L31)</f>
        <v>0</v>
      </c>
    </row>
    <row collapsed="false" customFormat="false" customHeight="false" hidden="true" ht="14" outlineLevel="1" r="32">
      <c r="B32" s="0" t="n">
        <f aca="false">+'bid input'!B5</f>
        <v>1104152</v>
      </c>
      <c r="C32" s="16"/>
      <c r="E32" s="17"/>
      <c r="F32" s="18" t="inlineStr">
        <f aca="false">+'bid input'!K5</f>
        <is>
          <t/>
        </is>
      </c>
      <c r="G32" s="13" t="n">
        <f aca="false">IF($M11&lt;'bid input'!$M5,G11, 'bid input'!$M5*G11/$M11)</f>
        <v>0</v>
      </c>
      <c r="H32" s="13" t="n">
        <f aca="false">IF($M11&lt;'bid input'!$M5,H11, 'bid input'!$M5*H11/$M11)</f>
        <v>0</v>
      </c>
      <c r="I32" s="13" t="n">
        <f aca="false">IF($M11&lt;'bid input'!$M5,I11, 'bid input'!$M5*I11/$M11)</f>
        <v>95975</v>
      </c>
      <c r="J32" s="13" t="n">
        <f aca="false">IF($M11&lt;'bid input'!$M5,J11, 'bid input'!$M5*J11/$M11)</f>
        <v>105080</v>
      </c>
      <c r="K32" s="13" t="n">
        <f aca="false">IF($M11&lt;'bid input'!$M5,K11, 'bid input'!$M5*K11/$M11)</f>
        <v>0</v>
      </c>
      <c r="L32" s="13" t="n">
        <f aca="false">IF($M11&lt;'bid input'!$M5,L11, 'bid input'!$M5*L11/$M11)</f>
        <v>0</v>
      </c>
      <c r="M32" s="13" t="n">
        <f aca="false">SUM(G32:L32)</f>
        <v>201055</v>
      </c>
    </row>
    <row collapsed="false" customFormat="false" customHeight="false" hidden="true" ht="14" outlineLevel="1" r="33">
      <c r="B33" s="0" t="n">
        <f aca="false">+'bid input'!B6</f>
        <v>1104136</v>
      </c>
      <c r="C33" s="16"/>
      <c r="E33" s="17"/>
      <c r="F33" s="18" t="inlineStr">
        <f aca="false">+'bid input'!K6</f>
        <is>
          <t/>
        </is>
      </c>
      <c r="G33" s="13" t="n">
        <f aca="false">IF($M12&lt;'bid input'!$M6,G12, 'bid input'!$M6*G12/$M12)</f>
        <v>0</v>
      </c>
      <c r="H33" s="13" t="n">
        <f aca="false">IF($M12&lt;'bid input'!$M6,H12, 'bid input'!$M6*H12/$M12)</f>
        <v>0</v>
      </c>
      <c r="I33" s="13" t="n">
        <f aca="false">IF($M12&lt;'bid input'!$M6,I12, 'bid input'!$M6*I12/$M12)</f>
        <v>0</v>
      </c>
      <c r="J33" s="13" t="n">
        <f aca="false">IF($M12&lt;'bid input'!$M6,J12, 'bid input'!$M6*J12/$M12)</f>
        <v>105080</v>
      </c>
      <c r="K33" s="13" t="n">
        <f aca="false">IF($M12&lt;'bid input'!$M6,K12, 'bid input'!$M6*K12/$M12)</f>
        <v>0</v>
      </c>
      <c r="L33" s="13" t="n">
        <f aca="false">IF($M12&lt;'bid input'!$M6,L12, 'bid input'!$M6*L12/$M12)</f>
        <v>0</v>
      </c>
      <c r="M33" s="13" t="n">
        <f aca="false">SUM(G33:L33)</f>
        <v>105080</v>
      </c>
    </row>
    <row collapsed="false" customFormat="false" customHeight="false" hidden="true" ht="14" outlineLevel="1" r="34">
      <c r="B34" s="0" t="n">
        <f aca="false">+'bid input'!B7</f>
        <v>1104138</v>
      </c>
      <c r="C34" s="16"/>
      <c r="E34" s="17"/>
      <c r="F34" s="18" t="inlineStr">
        <f aca="false">+'bid input'!K7</f>
        <is>
          <t/>
        </is>
      </c>
      <c r="G34" s="13" t="n">
        <f aca="false">IF($M13&lt;'bid input'!$M7,G13, 'bid input'!$M7*G13/$M13)</f>
        <v>0</v>
      </c>
      <c r="H34" s="13" t="n">
        <f aca="false">IF($M13&lt;'bid input'!$M7,H13, 'bid input'!$M7*H13/$M13)</f>
        <v>0</v>
      </c>
      <c r="I34" s="13" t="n">
        <f aca="false">IF($M13&lt;'bid input'!$M7,I13, 'bid input'!$M7*I13/$M13)</f>
        <v>0</v>
      </c>
      <c r="J34" s="13" t="n">
        <f aca="false">IF($M13&lt;'bid input'!$M7,J13, 'bid input'!$M7*J13/$M13)</f>
        <v>0</v>
      </c>
      <c r="K34" s="13" t="n">
        <f aca="false">IF($M13&lt;'bid input'!$M7,K13, 'bid input'!$M7*K13/$M13)</f>
        <v>0</v>
      </c>
      <c r="L34" s="13" t="n">
        <f aca="false">IF($M13&lt;'bid input'!$M7,L13, 'bid input'!$M7*L13/$M13)</f>
        <v>0</v>
      </c>
      <c r="M34" s="13" t="n">
        <f aca="false">SUM(G34:L34)</f>
        <v>0</v>
      </c>
    </row>
    <row collapsed="false" customFormat="false" customHeight="false" hidden="true" ht="14" outlineLevel="1" r="35">
      <c r="B35" s="0" t="n">
        <f aca="false">+'bid input'!B8</f>
        <v>1104139</v>
      </c>
      <c r="C35" s="16"/>
      <c r="E35" s="17"/>
      <c r="F35" s="18" t="inlineStr">
        <f aca="false">+'bid input'!K8</f>
        <is>
          <t/>
        </is>
      </c>
      <c r="G35" s="13" t="n">
        <f aca="false">IF($M14&lt;'bid input'!$M8,G14, 'bid input'!$M8*G14/$M14)</f>
        <v>0</v>
      </c>
      <c r="H35" s="13" t="n">
        <f aca="false">IF($M14&lt;'bid input'!$M8,H14, 'bid input'!$M8*H14/$M14)</f>
        <v>0</v>
      </c>
      <c r="I35" s="13" t="n">
        <f aca="false">IF($M14&lt;'bid input'!$M8,I14, 'bid input'!$M8*I14/$M14)</f>
        <v>0</v>
      </c>
      <c r="J35" s="13" t="n">
        <f aca="false">IF($M14&lt;'bid input'!$M8,J14, 'bid input'!$M8*J14/$M14)</f>
        <v>0</v>
      </c>
      <c r="K35" s="13" t="n">
        <f aca="false">IF($M14&lt;'bid input'!$M8,K14, 'bid input'!$M8*K14/$M14)</f>
        <v>0</v>
      </c>
      <c r="L35" s="13" t="n">
        <f aca="false">IF($M14&lt;'bid input'!$M8,L14, 'bid input'!$M8*L14/$M14)</f>
        <v>0</v>
      </c>
      <c r="M35" s="13" t="n">
        <f aca="false">SUM(G35:L35)</f>
        <v>0</v>
      </c>
    </row>
    <row collapsed="false" customFormat="false" customHeight="false" hidden="true" ht="14" outlineLevel="1" r="36">
      <c r="B36" s="0" t="n">
        <f aca="false">+'bid input'!B9</f>
        <v>1104140</v>
      </c>
      <c r="C36" s="16"/>
      <c r="E36" s="17"/>
      <c r="F36" s="18" t="inlineStr">
        <f aca="false">+'bid input'!K9</f>
        <is>
          <t/>
        </is>
      </c>
      <c r="G36" s="13" t="n">
        <f aca="false">IF($M15&lt;'bid input'!$M9,G15, 'bid input'!$M9*G15/$M15)</f>
        <v>0</v>
      </c>
      <c r="H36" s="13" t="n">
        <f aca="false">IF($M15&lt;'bid input'!$M9,H15, 'bid input'!$M9*H15/$M15)</f>
        <v>0</v>
      </c>
      <c r="I36" s="13" t="n">
        <f aca="false">IF($M15&lt;'bid input'!$M9,I15, 'bid input'!$M9*I15/$M15)</f>
        <v>0</v>
      </c>
      <c r="J36" s="13" t="n">
        <f aca="false">IF($M15&lt;'bid input'!$M9,J15, 'bid input'!$M9*J15/$M15)</f>
        <v>0</v>
      </c>
      <c r="K36" s="13" t="n">
        <f aca="false">IF($M15&lt;'bid input'!$M9,K15, 'bid input'!$M9*K15/$M15)</f>
        <v>74000</v>
      </c>
      <c r="L36" s="13" t="n">
        <f aca="false">IF($M15&lt;'bid input'!$M9,L15, 'bid input'!$M9*L15/$M15)</f>
        <v>0</v>
      </c>
      <c r="M36" s="13" t="n">
        <f aca="false">SUM(G36:L36)</f>
        <v>74000</v>
      </c>
    </row>
    <row collapsed="false" customFormat="false" customHeight="false" hidden="true" ht="14" outlineLevel="1" r="37">
      <c r="B37" s="0" t="n">
        <f aca="false">+'bid input'!B10</f>
        <v>1104141</v>
      </c>
      <c r="C37" s="16"/>
      <c r="E37" s="17"/>
      <c r="F37" s="18" t="inlineStr">
        <f aca="false">+'bid input'!K10</f>
        <is>
          <t/>
        </is>
      </c>
      <c r="G37" s="13" t="n">
        <f aca="false">IF($M16&lt;'bid input'!$M10,G16, 'bid input'!$M10*G16/$M16)</f>
        <v>0</v>
      </c>
      <c r="H37" s="13" t="n">
        <f aca="false">IF($M16&lt;'bid input'!$M10,H16, 'bid input'!$M10*H16/$M16)</f>
        <v>0</v>
      </c>
      <c r="I37" s="13" t="n">
        <f aca="false">IF($M16&lt;'bid input'!$M10,I16, 'bid input'!$M10*I16/$M16)</f>
        <v>0</v>
      </c>
      <c r="J37" s="13" t="n">
        <f aca="false">IF($M16&lt;'bid input'!$M10,J16, 'bid input'!$M10*J16/$M16)</f>
        <v>0</v>
      </c>
      <c r="K37" s="13" t="n">
        <f aca="false">IF($M16&lt;'bid input'!$M10,K16, 'bid input'!$M10*K16/$M16)</f>
        <v>0</v>
      </c>
      <c r="L37" s="13" t="n">
        <f aca="false">IF($M16&lt;'bid input'!$M10,L16, 'bid input'!$M10*L16/$M16)</f>
        <v>0</v>
      </c>
      <c r="M37" s="13" t="n">
        <f aca="false">SUM(G37:L37)</f>
        <v>0</v>
      </c>
    </row>
    <row collapsed="false" customFormat="false" customHeight="false" hidden="true" ht="14" outlineLevel="1" r="38">
      <c r="B38" s="0" t="n">
        <f aca="false">+'bid input'!B11</f>
        <v>1104159</v>
      </c>
      <c r="C38" s="16"/>
      <c r="E38" s="17"/>
      <c r="F38" s="18" t="inlineStr">
        <f aca="false">+'bid input'!K11</f>
        <is>
          <t/>
        </is>
      </c>
      <c r="G38" s="13" t="n">
        <f aca="false">IF($M17&lt;'bid input'!$M11,G17, 'bid input'!$M11*G17/$M17)</f>
        <v>0</v>
      </c>
      <c r="H38" s="13" t="n">
        <f aca="false">IF($M17&lt;'bid input'!$M11,H17, 'bid input'!$M11*H17/$M17)</f>
        <v>0</v>
      </c>
      <c r="I38" s="13" t="n">
        <f aca="false">IF($M17&lt;'bid input'!$M11,I17, 'bid input'!$M11*I17/$M17)</f>
        <v>0</v>
      </c>
      <c r="J38" s="13" t="n">
        <f aca="false">IF($M17&lt;'bid input'!$M11,J17, 'bid input'!$M11*J17/$M17)</f>
        <v>0</v>
      </c>
      <c r="K38" s="13" t="n">
        <f aca="false">IF($M17&lt;'bid input'!$M11,K17, 'bid input'!$M11*K17/$M17)</f>
        <v>0</v>
      </c>
      <c r="L38" s="13" t="n">
        <f aca="false">IF($M17&lt;'bid input'!$M11,L17, 'bid input'!$M11*L17/$M17)</f>
        <v>0</v>
      </c>
      <c r="M38" s="13" t="n">
        <f aca="false">SUM(G38:L38)</f>
        <v>0</v>
      </c>
    </row>
    <row collapsed="false" customFormat="false" customHeight="false" hidden="true" ht="14" outlineLevel="1" r="39">
      <c r="B39" s="0" t="n">
        <f aca="false">+'bid input'!B12</f>
        <v>1104161</v>
      </c>
      <c r="C39" s="16"/>
      <c r="E39" s="17"/>
      <c r="F39" s="18" t="inlineStr">
        <f aca="false">+'bid input'!K12</f>
        <is>
          <t/>
        </is>
      </c>
      <c r="G39" s="13" t="n">
        <f aca="false">IF($M18&lt;'bid input'!$M12,G18, 'bid input'!$M12*G18/$M18)</f>
        <v>0</v>
      </c>
      <c r="H39" s="13" t="n">
        <f aca="false">IF($M18&lt;'bid input'!$M12,H18, 'bid input'!$M12*H18/$M18)</f>
        <v>0</v>
      </c>
      <c r="I39" s="13" t="n">
        <f aca="false">IF($M18&lt;'bid input'!$M12,I18, 'bid input'!$M12*I18/$M18)</f>
        <v>0</v>
      </c>
      <c r="J39" s="13" t="n">
        <f aca="false">IF($M18&lt;'bid input'!$M12,J18, 'bid input'!$M12*J18/$M18)</f>
        <v>0</v>
      </c>
      <c r="K39" s="13" t="n">
        <f aca="false">IF($M18&lt;'bid input'!$M12,K18, 'bid input'!$M12*K18/$M18)</f>
        <v>0</v>
      </c>
      <c r="L39" s="13" t="n">
        <f aca="false">IF($M18&lt;'bid input'!$M12,L18, 'bid input'!$M12*L18/$M18)</f>
        <v>0</v>
      </c>
      <c r="M39" s="13" t="n">
        <f aca="false">SUM(G39:L39)</f>
        <v>0</v>
      </c>
    </row>
    <row collapsed="false" customFormat="false" customHeight="false" hidden="true" ht="14" outlineLevel="1" r="40">
      <c r="B40" s="0" t="n">
        <f aca="false">+'bid input'!B13</f>
        <v>1104145</v>
      </c>
      <c r="C40" s="16"/>
      <c r="E40" s="17"/>
      <c r="F40" s="18" t="inlineStr">
        <f aca="false">+'bid input'!K13</f>
        <is>
          <t/>
        </is>
      </c>
      <c r="G40" s="13" t="n">
        <f aca="false">IF($M19&lt;'bid input'!$M13,G19, 'bid input'!$M13*G19/$M19)</f>
        <v>31872.5</v>
      </c>
      <c r="H40" s="13" t="n">
        <f aca="false">IF($M19&lt;'bid input'!$M13,H19, 'bid input'!$M13*H19/$M19)</f>
        <v>0</v>
      </c>
      <c r="I40" s="13" t="n">
        <f aca="false">IF($M19&lt;'bid input'!$M13,I19, 'bid input'!$M13*I19/$M19)</f>
        <v>0</v>
      </c>
      <c r="J40" s="13" t="n">
        <f aca="false">IF($M19&lt;'bid input'!$M13,J19, 'bid input'!$M13*J19/$M19)</f>
        <v>0</v>
      </c>
      <c r="K40" s="13" t="n">
        <f aca="false">IF($M19&lt;'bid input'!$M13,K19, 'bid input'!$M13*K19/$M19)</f>
        <v>0</v>
      </c>
      <c r="L40" s="13" t="n">
        <f aca="false">IF($M19&lt;'bid input'!$M13,L19, 'bid input'!$M13*L19/$M19)</f>
        <v>0</v>
      </c>
      <c r="M40" s="13" t="n">
        <f aca="false">SUM(G40:L40)</f>
        <v>31872.5</v>
      </c>
    </row>
    <row collapsed="false" customFormat="false" customHeight="false" hidden="true" ht="14" outlineLevel="1" r="41">
      <c r="B41" s="0" t="n">
        <f aca="false">+'bid input'!B14</f>
        <v>1104133</v>
      </c>
      <c r="C41" s="16"/>
      <c r="E41" s="17"/>
      <c r="F41" s="18" t="inlineStr">
        <f aca="false">+'bid input'!K14</f>
        <is>
          <t/>
        </is>
      </c>
      <c r="G41" s="13" t="n">
        <f aca="false">IF($M20&lt;'bid input'!$M14,G20, 'bid input'!$M14*G20/$M20)</f>
        <v>0</v>
      </c>
      <c r="H41" s="13" t="n">
        <f aca="false">IF($M20&lt;'bid input'!$M14,H20, 'bid input'!$M14*H20/$M20)</f>
        <v>0</v>
      </c>
      <c r="I41" s="13" t="n">
        <f aca="false">IF($M20&lt;'bid input'!$M14,I20, 'bid input'!$M14*I20/$M20)</f>
        <v>0</v>
      </c>
      <c r="J41" s="13" t="n">
        <f aca="false">IF($M20&lt;'bid input'!$M14,J20, 'bid input'!$M14*J20/$M20)</f>
        <v>105080</v>
      </c>
      <c r="K41" s="13" t="n">
        <f aca="false">IF($M20&lt;'bid input'!$M14,K20, 'bid input'!$M14*K20/$M20)</f>
        <v>0</v>
      </c>
      <c r="L41" s="13" t="n">
        <f aca="false">IF($M20&lt;'bid input'!$M14,L20, 'bid input'!$M14*L20/$M20)</f>
        <v>0</v>
      </c>
      <c r="M41" s="13" t="n">
        <f aca="false">SUM(G41:L41)</f>
        <v>105080</v>
      </c>
    </row>
    <row collapsed="false" customFormat="false" customHeight="false" hidden="true" ht="14" outlineLevel="1" r="42">
      <c r="B42" s="0" t="n">
        <f aca="false">+'bid input'!B15</f>
        <v>1104149</v>
      </c>
      <c r="C42" s="16"/>
      <c r="E42" s="17"/>
      <c r="F42" s="18" t="inlineStr">
        <f aca="false">+'bid input'!K15</f>
        <is>
          <t/>
        </is>
      </c>
      <c r="G42" s="13" t="n">
        <f aca="false">IF($M21&lt;'bid input'!$M15,G21, 'bid input'!$M15*G21/$M21)</f>
        <v>0</v>
      </c>
      <c r="H42" s="13" t="n">
        <f aca="false">IF($M21&lt;'bid input'!$M15,H21, 'bid input'!$M15*H21/$M21)</f>
        <v>0</v>
      </c>
      <c r="I42" s="13" t="n">
        <f aca="false">IF($M21&lt;'bid input'!$M15,I21, 'bid input'!$M15*I21/$M21)</f>
        <v>0</v>
      </c>
      <c r="J42" s="13" t="n">
        <f aca="false">IF($M21&lt;'bid input'!$M15,J21, 'bid input'!$M15*J21/$M21)</f>
        <v>0</v>
      </c>
      <c r="K42" s="13" t="n">
        <f aca="false">IF($M21&lt;'bid input'!$M15,K21, 'bid input'!$M15*K21/$M21)</f>
        <v>0</v>
      </c>
      <c r="L42" s="13" t="n">
        <f aca="false">IF($M21&lt;'bid input'!$M15,L21, 'bid input'!$M15*L21/$M21)</f>
        <v>0</v>
      </c>
      <c r="M42" s="13" t="n">
        <f aca="false">SUM(G42:L42)</f>
        <v>0</v>
      </c>
    </row>
    <row collapsed="false" customFormat="false" customHeight="false" hidden="true" ht="14" outlineLevel="1" r="43">
      <c r="B43" s="0" t="n">
        <f aca="false">+'bid input'!B16</f>
        <v>1104151</v>
      </c>
      <c r="C43" s="16"/>
      <c r="E43" s="17"/>
      <c r="F43" s="18" t="inlineStr">
        <f aca="false">+'bid input'!K16</f>
        <is>
          <t/>
        </is>
      </c>
      <c r="G43" s="13" t="n">
        <f aca="false">IF($M22&lt;'bid input'!$M16,G22, 'bid input'!$M16*G22/$M22)</f>
        <v>0</v>
      </c>
      <c r="H43" s="13" t="n">
        <f aca="false">IF($M22&lt;'bid input'!$M16,H22, 'bid input'!$M16*H22/$M22)</f>
        <v>0</v>
      </c>
      <c r="I43" s="13" t="n">
        <f aca="false">IF($M22&lt;'bid input'!$M16,I22, 'bid input'!$M16*I22/$M22)</f>
        <v>0</v>
      </c>
      <c r="J43" s="13" t="n">
        <f aca="false">IF($M22&lt;'bid input'!$M16,J22, 'bid input'!$M16*J22/$M22)</f>
        <v>0</v>
      </c>
      <c r="K43" s="13" t="n">
        <f aca="false">IF($M22&lt;'bid input'!$M16,K22, 'bid input'!$M16*K22/$M22)</f>
        <v>0</v>
      </c>
      <c r="L43" s="13" t="n">
        <f aca="false">IF($M22&lt;'bid input'!$M16,L22, 'bid input'!$M16*L22/$M22)</f>
        <v>0</v>
      </c>
      <c r="M43" s="13" t="n">
        <f aca="false">SUM(G43:L43)</f>
        <v>0</v>
      </c>
    </row>
    <row collapsed="false" customFormat="false" customHeight="false" hidden="true" ht="14" outlineLevel="1" r="44">
      <c r="B44" s="0" t="n">
        <f aca="false">+'bid input'!B17</f>
        <v>1104131</v>
      </c>
      <c r="C44" s="16"/>
      <c r="E44" s="17"/>
      <c r="F44" s="18" t="inlineStr">
        <f aca="false">+'bid input'!K17</f>
        <is>
          <t/>
        </is>
      </c>
      <c r="G44" s="13" t="n">
        <f aca="false">IF($M23&lt;'bid input'!$M17,G23, 'bid input'!$M17*G23/$M23)</f>
        <v>0</v>
      </c>
      <c r="H44" s="13" t="n">
        <f aca="false">IF($M23&lt;'bid input'!$M17,H23, 'bid input'!$M17*H23/$M23)</f>
        <v>0</v>
      </c>
      <c r="I44" s="13" t="n">
        <f aca="false">IF($M23&lt;'bid input'!$M17,I23, 'bid input'!$M17*I23/$M23)</f>
        <v>0</v>
      </c>
      <c r="J44" s="13" t="n">
        <f aca="false">IF($M23&lt;'bid input'!$M17,J23, 'bid input'!$M17*J23/$M23)</f>
        <v>0</v>
      </c>
      <c r="K44" s="13" t="n">
        <f aca="false">IF($M23&lt;'bid input'!$M17,K23, 'bid input'!$M17*K23/$M23)</f>
        <v>0</v>
      </c>
      <c r="L44" s="13" t="n">
        <f aca="false">IF($M23&lt;'bid input'!$M17,L23, 'bid input'!$M17*L23/$M23)</f>
        <v>0</v>
      </c>
      <c r="M44" s="13" t="n">
        <f aca="false">SUM(G44:L44)</f>
        <v>0</v>
      </c>
    </row>
    <row collapsed="false" customFormat="false" customHeight="false" hidden="true" ht="14" outlineLevel="1" r="45">
      <c r="B45" s="0" t="n">
        <f aca="false">+'bid input'!B18</f>
        <v>1104155</v>
      </c>
      <c r="C45" s="16"/>
      <c r="E45" s="17"/>
      <c r="F45" s="18" t="inlineStr">
        <f aca="false">+'bid input'!K18</f>
        <is>
          <t/>
        </is>
      </c>
      <c r="G45" s="13" t="n">
        <f aca="false">IF($M24&lt;'bid input'!$M18,G24, 'bid input'!$M18*G24/$M24)</f>
        <v>0</v>
      </c>
      <c r="H45" s="13" t="n">
        <f aca="false">IF($M24&lt;'bid input'!$M18,H24, 'bid input'!$M18*H24/$M24)</f>
        <v>0</v>
      </c>
      <c r="I45" s="13" t="n">
        <f aca="false">IF($M24&lt;'bid input'!$M18,I24, 'bid input'!$M18*I24/$M24)</f>
        <v>0</v>
      </c>
      <c r="J45" s="13" t="n">
        <f aca="false">IF($M24&lt;'bid input'!$M18,J24, 'bid input'!$M18*J24/$M24)</f>
        <v>0</v>
      </c>
      <c r="K45" s="13" t="n">
        <f aca="false">IF($M24&lt;'bid input'!$M18,K24, 'bid input'!$M18*K24/$M24)</f>
        <v>103085</v>
      </c>
      <c r="L45" s="13" t="n">
        <f aca="false">IF($M24&lt;'bid input'!$M18,L24, 'bid input'!$M18*L24/$M24)</f>
        <v>0</v>
      </c>
      <c r="M45" s="13" t="n">
        <f aca="false">SUM(G45:L45)</f>
        <v>103085</v>
      </c>
    </row>
    <row collapsed="false" customFormat="false" customHeight="false" hidden="true" ht="14" outlineLevel="1" r="46">
      <c r="B46" s="0" t="n">
        <f aca="false">+'bid input'!B19</f>
        <v>1104156</v>
      </c>
      <c r="C46" s="16"/>
      <c r="E46" s="17"/>
      <c r="F46" s="18" t="inlineStr">
        <f aca="false">+'bid input'!K19</f>
        <is>
          <t/>
        </is>
      </c>
      <c r="G46" s="13" t="n">
        <f aca="false">IF($M25&lt;'bid input'!$M19,G25, 'bid input'!$M19*G25/$M25)</f>
        <v>0</v>
      </c>
      <c r="H46" s="13" t="n">
        <f aca="false">IF($M25&lt;'bid input'!$M19,H25, 'bid input'!$M19*H25/$M25)</f>
        <v>0</v>
      </c>
      <c r="I46" s="13" t="n">
        <f aca="false">IF($M25&lt;'bid input'!$M19,I25, 'bid input'!$M19*I25/$M25)</f>
        <v>0</v>
      </c>
      <c r="J46" s="13" t="n">
        <f aca="false">IF($M25&lt;'bid input'!$M19,J25, 'bid input'!$M19*J25/$M25)</f>
        <v>0</v>
      </c>
      <c r="K46" s="13" t="n">
        <f aca="false">IF($M25&lt;'bid input'!$M19,K25, 'bid input'!$M19*K25/$M25)</f>
        <v>0</v>
      </c>
      <c r="L46" s="13" t="n">
        <f aca="false">IF($M25&lt;'bid input'!$M19,L25, 'bid input'!$M19*L25/$M25)</f>
        <v>0</v>
      </c>
      <c r="M46" s="13" t="n">
        <f aca="false">SUM(G46:L46)</f>
        <v>0</v>
      </c>
    </row>
    <row collapsed="false" customFormat="false" customHeight="false" hidden="true" ht="14" outlineLevel="1" r="47">
      <c r="B47" s="0" t="n">
        <f aca="false">+'bid input'!B20</f>
        <v>1104157</v>
      </c>
      <c r="C47" s="16"/>
      <c r="E47" s="17"/>
      <c r="F47" s="18" t="inlineStr">
        <f aca="false">+'bid input'!K20</f>
        <is>
          <t/>
        </is>
      </c>
      <c r="G47" s="13" t="n">
        <f aca="false">IF($M26&lt;'bid input'!$M20,G26, 'bid input'!$M20*G26/$M26)</f>
        <v>0</v>
      </c>
      <c r="H47" s="13" t="n">
        <f aca="false">IF($M26&lt;'bid input'!$M20,H26, 'bid input'!$M20*H26/$M26)</f>
        <v>0</v>
      </c>
      <c r="I47" s="13" t="n">
        <f aca="false">IF($M26&lt;'bid input'!$M20,I26, 'bid input'!$M20*I26/$M26)</f>
        <v>0</v>
      </c>
      <c r="J47" s="13" t="n">
        <f aca="false">IF($M26&lt;'bid input'!$M20,J26, 'bid input'!$M20*J26/$M26)</f>
        <v>0</v>
      </c>
      <c r="K47" s="13" t="n">
        <f aca="false">IF($M26&lt;'bid input'!$M20,K26, 'bid input'!$M20*K26/$M26)</f>
        <v>0</v>
      </c>
      <c r="L47" s="13" t="n">
        <f aca="false">IF($M26&lt;'bid input'!$M20,L26, 'bid input'!$M20*L26/$M26)</f>
        <v>0</v>
      </c>
      <c r="M47" s="13" t="n">
        <f aca="false">SUM(G47:L47)</f>
        <v>0</v>
      </c>
    </row>
    <row collapsed="false" customFormat="false" customHeight="false" hidden="true" ht="14" outlineLevel="1" r="48">
      <c r="B48" s="0" t="n">
        <f aca="false">+'bid input'!B21</f>
        <v>1104158</v>
      </c>
      <c r="C48" s="16"/>
      <c r="E48" s="17"/>
      <c r="F48" s="18" t="inlineStr">
        <f aca="false">+'bid input'!K21</f>
        <is>
          <t/>
        </is>
      </c>
      <c r="G48" s="13" t="n">
        <f aca="false">IF($M27&lt;'bid input'!$M21,G27, 'bid input'!$M21*G27/$M27)</f>
        <v>63745</v>
      </c>
      <c r="H48" s="13" t="n">
        <f aca="false">IF($M27&lt;'bid input'!$M21,H27, 'bid input'!$M21*H27/$M27)</f>
        <v>0</v>
      </c>
      <c r="I48" s="13" t="n">
        <f aca="false">IF($M27&lt;'bid input'!$M21,I27, 'bid input'!$M21*I27/$M27)</f>
        <v>0</v>
      </c>
      <c r="J48" s="13" t="n">
        <f aca="false">IF($M27&lt;'bid input'!$M21,J27, 'bid input'!$M21*J27/$M27)</f>
        <v>0</v>
      </c>
      <c r="K48" s="13" t="n">
        <f aca="false">IF($M27&lt;'bid input'!$M21,K27, 'bid input'!$M21*K27/$M27)</f>
        <v>0</v>
      </c>
      <c r="L48" s="13" t="n">
        <f aca="false">IF($M27&lt;'bid input'!$M21,L27, 'bid input'!$M21*L27/$M27)</f>
        <v>0</v>
      </c>
      <c r="M48" s="13" t="n">
        <f aca="false">SUM(G48:L48)</f>
        <v>63745</v>
      </c>
    </row>
    <row collapsed="false" customFormat="false" customHeight="false" hidden="true" ht="14" outlineLevel="1" r="49">
      <c r="D49" s="16"/>
      <c r="E49" s="17"/>
      <c r="F49" s="18"/>
      <c r="G49" s="13"/>
      <c r="H49" s="13"/>
      <c r="I49" s="13"/>
      <c r="J49" s="13"/>
      <c r="K49" s="13"/>
      <c r="L49" s="13"/>
    </row>
    <row collapsed="false" customFormat="false" customHeight="false" hidden="false" ht="14" outlineLevel="0" r="50">
      <c r="D50" s="21" t="s">
        <v>39</v>
      </c>
      <c r="E50" s="22"/>
      <c r="F50" s="22"/>
      <c r="G50" s="23" t="n">
        <f aca="false">SUM(G29:G49)</f>
        <v>95617.5</v>
      </c>
      <c r="H50" s="23" t="n">
        <f aca="false">SUM(H29:H49)</f>
        <v>0</v>
      </c>
      <c r="I50" s="23" t="n">
        <f aca="false">SUM(I29:I49)</f>
        <v>95975</v>
      </c>
      <c r="J50" s="23" t="n">
        <f aca="false">SUM(J29:J49)</f>
        <v>315240</v>
      </c>
      <c r="K50" s="23" t="n">
        <f aca="false">SUM(K29:K49)</f>
        <v>177085</v>
      </c>
      <c r="L50" s="23" t="n">
        <f aca="false">SUM(L29:L49)</f>
        <v>0</v>
      </c>
      <c r="M50" s="24" t="n">
        <f aca="false">SUM(G50:L50)</f>
        <v>683917.5</v>
      </c>
    </row>
    <row collapsed="false" customFormat="false" customHeight="false" hidden="false" ht="14" outlineLevel="0" r="51">
      <c r="D51" s="25" t="s">
        <v>40</v>
      </c>
      <c r="E51" s="26"/>
      <c r="F51" s="26"/>
      <c r="G51" s="27" t="n">
        <f aca="false">+IF(G50&gt;0,SUMPRODUCT($F$29:$F$48,G$29:G$48)/G$50,"")</f>
        <v>0.02</v>
      </c>
      <c r="H51" s="27" t="str">
        <f aca="false">+IF(H50&gt;0,SUMPRODUCT($F$29:$F$48,H$29:H$48)/H$50,"")</f>
        <v/>
      </c>
      <c r="I51" s="27" t="n">
        <f aca="false">+IF(I50&gt;0,SUMPRODUCT($F$29:$F$48,I$29:I$48)/I$50,"")</f>
        <v>0.03</v>
      </c>
      <c r="J51" s="27" t="n">
        <f aca="false">+IF(J50&gt;0,SUMPRODUCT($F$29:$F$48,J$29:J$48)/J$50,"")</f>
        <v>0.0433333333333333</v>
      </c>
      <c r="K51" s="27" t="n">
        <f aca="false">+IF(K50&gt;0,SUMPRODUCT($F$29:$F$48,K$29:K$48)/K$50,"")</f>
        <v>0.0228170440748793</v>
      </c>
      <c r="L51" s="27" t="str">
        <f aca="false">+IF(L50&gt;0,SUMPRODUCT($F$29:$F$48,L$29:L$48)/L$50,"")</f>
        <v/>
      </c>
      <c r="M51" s="28" t="n">
        <f aca="false">+SUMPRODUCT(G50:L50,G51:L51)/M50</f>
        <v>0.0328878208994506</v>
      </c>
    </row>
    <row collapsed="false" customFormat="false" customHeight="false" hidden="false" ht="14" outlineLevel="0" r="53">
      <c r="D53" s="0" t="s">
        <v>41</v>
      </c>
      <c r="G53" s="13" t="n">
        <f aca="false">+G4-G50</f>
        <v>223107.5</v>
      </c>
      <c r="H53" s="13" t="n">
        <f aca="false">+H4-H50</f>
        <v>375685</v>
      </c>
      <c r="I53" s="13" t="n">
        <f aca="false">+I4-I50</f>
        <v>383900</v>
      </c>
      <c r="J53" s="13" t="n">
        <f aca="false">+J4-J50</f>
        <v>210160</v>
      </c>
      <c r="K53" s="13" t="n">
        <f aca="false">+K4-K50</f>
        <v>338340</v>
      </c>
      <c r="L53" s="13" t="n">
        <f aca="false">+L4-L50</f>
        <v>485000</v>
      </c>
      <c r="M53" s="13" t="n">
        <f aca="false">SUM(G53:L53)</f>
        <v>2016192.5</v>
      </c>
    </row>
    <row collapsed="false" customFormat="false" customHeight="false" hidden="false" ht="14" outlineLevel="0" r="54">
      <c r="D54" s="0" t="s">
        <v>42</v>
      </c>
      <c r="G54" s="29" t="str">
        <f aca="false">+IF(G53=0,"NA",IF(G53&lt;0,"OVER","UNDER"))</f>
        <v>UNDER</v>
      </c>
      <c r="H54" s="29" t="str">
        <f aca="false">+IF(H53=0,"NA",IF(H53&lt;0,"OVER","UNDER"))</f>
        <v>UNDER</v>
      </c>
      <c r="I54" s="29" t="str">
        <f aca="false">+IF(I53=0,"NA",IF(I53&lt;0,"OVER","UNDER"))</f>
        <v>UNDER</v>
      </c>
      <c r="J54" s="29" t="str">
        <f aca="false">+IF(J53=0,"NA",IF(J53&lt;0,"OVER","UNDER"))</f>
        <v>UNDER</v>
      </c>
      <c r="K54" s="29" t="str">
        <f aca="false">+IF(K53=0,"NA",IF(K53&lt;0,"OVER","UNDER"))</f>
        <v>UNDER</v>
      </c>
      <c r="L54" s="29" t="str">
        <f aca="false">+IF(L53=0,"NA",IF(L53&lt;0,"OVER","UNDER"))</f>
        <v>UNDER</v>
      </c>
      <c r="M54" s="29" t="str">
        <f aca="false">+IF(M53=0,"NA",IF(M53&lt;0,"OVER","UNDER"))</f>
        <v>UNDER</v>
      </c>
    </row>
    <row collapsed="false" customFormat="false" customHeight="false" hidden="false" ht="14" outlineLevel="0" r="56">
      <c r="A56" s="0" t="s">
        <v>43</v>
      </c>
    </row>
    <row collapsed="false" customFormat="false" customHeight="true" hidden="true" ht="27.95" outlineLevel="1" r="57">
      <c r="B57" s="14" t="s">
        <v>35</v>
      </c>
      <c r="C57" s="14" t="s">
        <v>36</v>
      </c>
      <c r="D57" s="14" t="s">
        <v>22</v>
      </c>
      <c r="E57" s="15" t="s">
        <v>44</v>
      </c>
      <c r="F57" s="14" t="s">
        <v>45</v>
      </c>
      <c r="G57" s="30" t="n">
        <v>0.035</v>
      </c>
      <c r="H57" s="30" t="inlineStr">
        <f aca="false">+G57</f>
        <is>
          <t/>
        </is>
      </c>
      <c r="I57" s="30" t="inlineStr">
        <f aca="false">+H57</f>
        <is>
          <t/>
        </is>
      </c>
      <c r="J57" s="30" t="inlineStr">
        <f aca="false">+I57</f>
        <is>
          <t/>
        </is>
      </c>
      <c r="K57" s="30" t="inlineStr">
        <f aca="false">+J57</f>
        <is>
          <t/>
        </is>
      </c>
      <c r="L57" s="30" t="inlineStr">
        <f aca="false">+K57</f>
        <is>
          <t/>
        </is>
      </c>
    </row>
    <row collapsed="false" customFormat="false" customHeight="false" hidden="true" ht="14" outlineLevel="1" r="58">
      <c r="B58" s="0" t="n">
        <f aca="false">+B8</f>
        <v>1104134</v>
      </c>
      <c r="C58" s="0" t="n">
        <f aca="false">+C8</f>
        <v>0</v>
      </c>
      <c r="D58" s="0" t="n">
        <f aca="false">+D8</f>
        <v>0</v>
      </c>
      <c r="E58" s="17" t="str">
        <f aca="false">+IF('bid input'!P2=1,"Y","N")</f>
        <v>N</v>
      </c>
      <c r="F58" s="14"/>
      <c r="G58" s="13" t="n">
        <f aca="false">+IF(AND(IsSNC="Y",LoanN_SNC=LoanNumber,LoanN_SNC&gt;0),SN_Percent,IF(AND(IsSNC="Y",SN_MO=MO,LoanN_SNC=0),SN_Percent,0))*LoanAmount</f>
        <v>0</v>
      </c>
      <c r="H58" s="13" t="n">
        <f aca="false">+IF(AND(IsSNC="Y",LoanN_SNC=LoanNumber,LoanN_SNC&gt;0),SN_Percent,IF(AND(IsSNC="Y",SN_MO=MO,LoanN_SNC=0),SN_Percent,0))*LoanAmount</f>
        <v>0</v>
      </c>
      <c r="I58" s="13" t="n">
        <f aca="false">+IF(AND(IsSNC="Y",LoanN_SNC=LoanNumber,LoanN_SNC&gt;0),SN_Percent,IF(AND(IsSNC="Y",SN_MO=MO,LoanN_SNC=0),SN_Percent,0))*LoanAmount</f>
        <v>0</v>
      </c>
      <c r="J58" s="13" t="n">
        <f aca="false">+IF(AND(IsSNC="Y",LoanN_SNC=LoanNumber,LoanN_SNC&gt;0),SN_Percent,IF(AND(IsSNC="Y",SN_MO=MO,LoanN_SNC=0),SN_Percent,0))*LoanAmount</f>
        <v>0</v>
      </c>
      <c r="K58" s="13" t="n">
        <f aca="false">+IF(AND(IsSNC="Y",LoanN_SNC=LoanNumber,LoanN_SNC&gt;0),SN_Percent,IF(AND(IsSNC="Y",SN_MO=MO,LoanN_SNC=0),SN_Percent,0))*LoanAmount</f>
        <v>0</v>
      </c>
      <c r="L58" s="13" t="n">
        <f aca="false">+IF(AND(IsSNC="Y",LoanN_SNC=LoanNumber,LoanN_SNC&gt;0),SN_Percent,IF(AND(IsSNC="Y",SN_MO=MO,LoanN_SNC=0),SN_Percent,0))*LoanAmount</f>
        <v>0</v>
      </c>
      <c r="M58" s="13" t="n">
        <f aca="false">SUM(G58:L58)</f>
        <v>0</v>
      </c>
      <c r="N58" s="20" t="inlineStr">
        <f aca="false">N8</f>
        <is>
          <t/>
        </is>
      </c>
    </row>
    <row collapsed="false" customFormat="false" customHeight="false" hidden="true" ht="14" outlineLevel="1" r="59">
      <c r="B59" s="0" t="n">
        <f aca="false">+B9</f>
        <v>1104143</v>
      </c>
      <c r="C59" s="0" t="n">
        <f aca="false">+C9</f>
        <v>0</v>
      </c>
      <c r="D59" s="0" t="str">
        <f aca="false">+D9</f>
        <v>ABC Mortgage</v>
      </c>
      <c r="E59" s="17" t="str">
        <f aca="false">+IF('bid input'!P3=1,"Y","N")</f>
        <v>Y</v>
      </c>
      <c r="F59" s="14"/>
      <c r="G59" s="13" t="n">
        <f aca="false">+IF(AND(IsSNC="Y",LoanN_SNC=LoanNumber,LoanN_SNC&gt;0),SN_Percent,IF(AND(IsSNC="Y",SN_MO=MO,LoanN_SNC=0),SN_Percent,0))*LoanAmount</f>
        <v>63745</v>
      </c>
      <c r="H59" s="13" t="n">
        <f aca="false">+IF(AND(IsSNC="Y",LoanN_SNC=LoanNumber,LoanN_SNC&gt;0),SN_Percent,IF(AND(IsSNC="Y",SN_MO=MO,LoanN_SNC=0),SN_Percent,0))*LoanAmount</f>
        <v>75137</v>
      </c>
      <c r="I59" s="13" t="n">
        <f aca="false">+IF(AND(IsSNC="Y",LoanN_SNC=LoanNumber,LoanN_SNC&gt;0),SN_Percent,IF(AND(IsSNC="Y",SN_MO=MO,LoanN_SNC=0),SN_Percent,0))*LoanAmount</f>
        <v>0</v>
      </c>
      <c r="J59" s="13" t="n">
        <f aca="false">+IF(AND(IsSNC="Y",LoanN_SNC=LoanNumber,LoanN_SNC&gt;0),SN_Percent,IF(AND(IsSNC="Y",SN_MO=MO,LoanN_SNC=0),SN_Percent,0))*LoanAmount</f>
        <v>0</v>
      </c>
      <c r="K59" s="13" t="n">
        <f aca="false">+IF(AND(IsSNC="Y",LoanN_SNC=LoanNumber,LoanN_SNC&gt;0),SN_Percent,IF(AND(IsSNC="Y",SN_MO=MO,LoanN_SNC=0),SN_Percent,0))*LoanAmount</f>
        <v>0</v>
      </c>
      <c r="L59" s="13" t="n">
        <f aca="false">+IF(AND(IsSNC="Y",LoanN_SNC=LoanNumber,LoanN_SNC&gt;0),SN_Percent,IF(AND(IsSNC="Y",SN_MO=MO,LoanN_SNC=0),SN_Percent,0))*LoanAmount</f>
        <v>0</v>
      </c>
      <c r="M59" s="13" t="n">
        <f aca="false">SUM(G59:L59)</f>
        <v>138882</v>
      </c>
      <c r="N59" s="20" t="inlineStr">
        <f aca="false">N9</f>
        <is>
          <t/>
        </is>
      </c>
    </row>
    <row collapsed="false" customFormat="false" customHeight="false" hidden="true" ht="14" outlineLevel="1" r="60">
      <c r="B60" s="0" t="n">
        <f aca="false">+B10</f>
        <v>1104154</v>
      </c>
      <c r="C60" s="0" t="n">
        <f aca="false">+C10</f>
        <v>0</v>
      </c>
      <c r="D60" s="0" t="n">
        <f aca="false">+D10</f>
        <v>0</v>
      </c>
      <c r="E60" s="17" t="str">
        <f aca="false">+IF('bid input'!P4=1,"Y","N")</f>
        <v>N</v>
      </c>
      <c r="F60" s="14"/>
      <c r="G60" s="13" t="n">
        <f aca="false">+IF(AND(IsSNC="Y",LoanN_SNC=LoanNumber,LoanN_SNC&gt;0),SN_Percent,IF(AND(IsSNC="Y",SN_MO=MO,LoanN_SNC=0),SN_Percent,0))*LoanAmount</f>
        <v>0</v>
      </c>
      <c r="H60" s="13" t="n">
        <f aca="false">+IF(AND(IsSNC="Y",LoanN_SNC=LoanNumber,LoanN_SNC&gt;0),SN_Percent,IF(AND(IsSNC="Y",SN_MO=MO,LoanN_SNC=0),SN_Percent,0))*LoanAmount</f>
        <v>0</v>
      </c>
      <c r="I60" s="13" t="n">
        <f aca="false">+IF(AND(IsSNC="Y",LoanN_SNC=LoanNumber,LoanN_SNC&gt;0),SN_Percent,IF(AND(IsSNC="Y",SN_MO=MO,LoanN_SNC=0),SN_Percent,0))*LoanAmount</f>
        <v>0</v>
      </c>
      <c r="J60" s="13" t="n">
        <f aca="false">+IF(AND(IsSNC="Y",LoanN_SNC=LoanNumber,LoanN_SNC&gt;0),SN_Percent,IF(AND(IsSNC="Y",SN_MO=MO,LoanN_SNC=0),SN_Percent,0))*LoanAmount</f>
        <v>0</v>
      </c>
      <c r="K60" s="13" t="n">
        <f aca="false">+IF(AND(IsSNC="Y",LoanN_SNC=LoanNumber,LoanN_SNC&gt;0),SN_Percent,IF(AND(IsSNC="Y",SN_MO=MO,LoanN_SNC=0),SN_Percent,0))*LoanAmount</f>
        <v>0</v>
      </c>
      <c r="L60" s="13" t="n">
        <f aca="false">+IF(AND(IsSNC="Y",LoanN_SNC=LoanNumber,LoanN_SNC&gt;0),SN_Percent,IF(AND(IsSNC="Y",SN_MO=MO,LoanN_SNC=0),SN_Percent,0))*LoanAmount</f>
        <v>0</v>
      </c>
      <c r="M60" s="13" t="n">
        <f aca="false">SUM(G60:L60)</f>
        <v>0</v>
      </c>
      <c r="N60" s="20" t="inlineStr">
        <f aca="false">N10</f>
        <is>
          <t/>
        </is>
      </c>
    </row>
    <row collapsed="false" customFormat="false" customHeight="false" hidden="true" ht="14" outlineLevel="1" r="61">
      <c r="B61" s="0" t="n">
        <f aca="false">+B11</f>
        <v>1104152</v>
      </c>
      <c r="C61" s="0" t="n">
        <f aca="false">+C11</f>
        <v>0</v>
      </c>
      <c r="D61" s="0" t="str">
        <f aca="false">+D11</f>
        <v>Prime Lending</v>
      </c>
      <c r="E61" s="17" t="str">
        <f aca="false">+IF('bid input'!P5=1,"Y","N")</f>
        <v>N</v>
      </c>
      <c r="F61" s="14"/>
      <c r="G61" s="13" t="n">
        <f aca="false">+IF(AND(IsSNC="Y",LoanN_SNC=LoanNumber,LoanN_SNC&gt;0),SN_Percent,IF(AND(IsSNC="Y",SN_MO=MO,LoanN_SNC=0),SN_Percent,0))*LoanAmount</f>
        <v>0</v>
      </c>
      <c r="H61" s="13" t="n">
        <f aca="false">+IF(AND(IsSNC="Y",LoanN_SNC=LoanNumber,LoanN_SNC&gt;0),SN_Percent,IF(AND(IsSNC="Y",SN_MO=MO,LoanN_SNC=0),SN_Percent,0))*LoanAmount</f>
        <v>0</v>
      </c>
      <c r="I61" s="13" t="n">
        <f aca="false">+IF(AND(IsSNC="Y",LoanN_SNC=LoanNumber,LoanN_SNC&gt;0),SN_Percent,IF(AND(IsSNC="Y",SN_MO=MO,LoanN_SNC=0),SN_Percent,0))*LoanAmount</f>
        <v>0</v>
      </c>
      <c r="J61" s="13" t="n">
        <f aca="false">+IF(AND(IsSNC="Y",LoanN_SNC=LoanNumber,LoanN_SNC&gt;0),SN_Percent,IF(AND(IsSNC="Y",SN_MO=MO,LoanN_SNC=0),SN_Percent,0))*LoanAmount</f>
        <v>0</v>
      </c>
      <c r="K61" s="13" t="n">
        <f aca="false">+IF(AND(IsSNC="Y",LoanN_SNC=LoanNumber,LoanN_SNC&gt;0),SN_Percent,IF(AND(IsSNC="Y",SN_MO=MO,LoanN_SNC=0),SN_Percent,0))*LoanAmount</f>
        <v>0</v>
      </c>
      <c r="L61" s="13" t="n">
        <f aca="false">+IF(AND(IsSNC="Y",LoanN_SNC=LoanNumber,LoanN_SNC&gt;0),SN_Percent,IF(AND(IsSNC="Y",SN_MO=MO,LoanN_SNC=0),SN_Percent,0))*LoanAmount</f>
        <v>0</v>
      </c>
      <c r="M61" s="13" t="n">
        <f aca="false">SUM(G61:L61)</f>
        <v>0</v>
      </c>
      <c r="N61" s="20" t="inlineStr">
        <f aca="false">N11</f>
        <is>
          <t/>
        </is>
      </c>
    </row>
    <row collapsed="false" customFormat="false" customHeight="false" hidden="true" ht="14" outlineLevel="1" r="62">
      <c r="B62" s="0" t="n">
        <f aca="false">+B12</f>
        <v>1104136</v>
      </c>
      <c r="C62" s="0" t="n">
        <f aca="false">+C12</f>
        <v>4</v>
      </c>
      <c r="D62" s="0" t="n">
        <f aca="false">+D12</f>
        <v>0</v>
      </c>
      <c r="E62" s="17" t="str">
        <f aca="false">+IF('bid input'!P6=1,"Y","N")</f>
        <v>N</v>
      </c>
      <c r="F62" s="14"/>
      <c r="G62" s="13" t="n">
        <f aca="false">+IF(AND(IsSNC="Y",LoanN_SNC=LoanNumber,LoanN_SNC&gt;0),SN_Percent,IF(AND(IsSNC="Y",SN_MO=MO,LoanN_SNC=0),SN_Percent,0))*LoanAmount</f>
        <v>0</v>
      </c>
      <c r="H62" s="13" t="n">
        <f aca="false">+IF(AND(IsSNC="Y",LoanN_SNC=LoanNumber,LoanN_SNC&gt;0),SN_Percent,IF(AND(IsSNC="Y",SN_MO=MO,LoanN_SNC=0),SN_Percent,0))*LoanAmount</f>
        <v>0</v>
      </c>
      <c r="I62" s="13" t="n">
        <f aca="false">+IF(AND(IsSNC="Y",LoanN_SNC=LoanNumber,LoanN_SNC&gt;0),SN_Percent,IF(AND(IsSNC="Y",SN_MO=MO,LoanN_SNC=0),SN_Percent,0))*LoanAmount</f>
        <v>0</v>
      </c>
      <c r="J62" s="13" t="n">
        <f aca="false">+IF(AND(IsSNC="Y",LoanN_SNC=LoanNumber,LoanN_SNC&gt;0),SN_Percent,IF(AND(IsSNC="Y",SN_MO=MO,LoanN_SNC=0),SN_Percent,0))*LoanAmount</f>
        <v>0</v>
      </c>
      <c r="K62" s="13" t="n">
        <f aca="false">+IF(AND(IsSNC="Y",LoanN_SNC=LoanNumber,LoanN_SNC&gt;0),SN_Percent,IF(AND(IsSNC="Y",SN_MO=MO,LoanN_SNC=0),SN_Percent,0))*LoanAmount</f>
        <v>0</v>
      </c>
      <c r="L62" s="13" t="n">
        <f aca="false">+IF(AND(IsSNC="Y",LoanN_SNC=LoanNumber,LoanN_SNC&gt;0),SN_Percent,IF(AND(IsSNC="Y",SN_MO=MO,LoanN_SNC=0),SN_Percent,0))*LoanAmount</f>
        <v>0</v>
      </c>
      <c r="M62" s="13" t="n">
        <f aca="false">SUM(G62:L62)</f>
        <v>0</v>
      </c>
      <c r="N62" s="20" t="inlineStr">
        <f aca="false">N12</f>
        <is>
          <t/>
        </is>
      </c>
    </row>
    <row collapsed="false" customFormat="false" customHeight="false" hidden="true" ht="14" outlineLevel="1" r="63">
      <c r="B63" s="0" t="n">
        <f aca="false">+B13</f>
        <v>1104138</v>
      </c>
      <c r="C63" s="0" t="n">
        <f aca="false">+C13</f>
        <v>0</v>
      </c>
      <c r="D63" s="0" t="n">
        <f aca="false">+D13</f>
        <v>0</v>
      </c>
      <c r="E63" s="17" t="str">
        <f aca="false">+IF('bid input'!P7=1,"Y","N")</f>
        <v>N</v>
      </c>
      <c r="F63" s="14"/>
      <c r="G63" s="13" t="n">
        <f aca="false">+IF(AND(IsSNC="Y",LoanN_SNC=LoanNumber,LoanN_SNC&gt;0),SN_Percent,IF(AND(IsSNC="Y",SN_MO=MO,LoanN_SNC=0),SN_Percent,0))*LoanAmount</f>
        <v>0</v>
      </c>
      <c r="H63" s="13" t="n">
        <f aca="false">+IF(AND(IsSNC="Y",LoanN_SNC=LoanNumber,LoanN_SNC&gt;0),SN_Percent,IF(AND(IsSNC="Y",SN_MO=MO,LoanN_SNC=0),SN_Percent,0))*LoanAmount</f>
        <v>0</v>
      </c>
      <c r="I63" s="13" t="n">
        <f aca="false">+IF(AND(IsSNC="Y",LoanN_SNC=LoanNumber,LoanN_SNC&gt;0),SN_Percent,IF(AND(IsSNC="Y",SN_MO=MO,LoanN_SNC=0),SN_Percent,0))*LoanAmount</f>
        <v>0</v>
      </c>
      <c r="J63" s="13" t="n">
        <f aca="false">+IF(AND(IsSNC="Y",LoanN_SNC=LoanNumber,LoanN_SNC&gt;0),SN_Percent,IF(AND(IsSNC="Y",SN_MO=MO,LoanN_SNC=0),SN_Percent,0))*LoanAmount</f>
        <v>0</v>
      </c>
      <c r="K63" s="13" t="n">
        <f aca="false">+IF(AND(IsSNC="Y",LoanN_SNC=LoanNumber,LoanN_SNC&gt;0),SN_Percent,IF(AND(IsSNC="Y",SN_MO=MO,LoanN_SNC=0),SN_Percent,0))*LoanAmount</f>
        <v>0</v>
      </c>
      <c r="L63" s="13" t="n">
        <f aca="false">+IF(AND(IsSNC="Y",LoanN_SNC=LoanNumber,LoanN_SNC&gt;0),SN_Percent,IF(AND(IsSNC="Y",SN_MO=MO,LoanN_SNC=0),SN_Percent,0))*LoanAmount</f>
        <v>0</v>
      </c>
      <c r="M63" s="13" t="n">
        <f aca="false">SUM(G63:L63)</f>
        <v>0</v>
      </c>
      <c r="N63" s="20" t="inlineStr">
        <f aca="false">N13</f>
        <is>
          <t/>
        </is>
      </c>
    </row>
    <row collapsed="false" customFormat="false" customHeight="false" hidden="true" ht="14" outlineLevel="1" r="64">
      <c r="B64" s="0" t="n">
        <f aca="false">+B14</f>
        <v>1104139</v>
      </c>
      <c r="C64" s="0" t="n">
        <f aca="false">+C14</f>
        <v>0</v>
      </c>
      <c r="D64" s="0" t="n">
        <f aca="false">+D14</f>
        <v>0</v>
      </c>
      <c r="E64" s="17" t="str">
        <f aca="false">+IF('bid input'!P8=1,"Y","N")</f>
        <v>N</v>
      </c>
      <c r="F64" s="14"/>
      <c r="G64" s="13" t="n">
        <f aca="false">+IF(AND(IsSNC="Y",LoanN_SNC=LoanNumber,LoanN_SNC&gt;0),SN_Percent,IF(AND(IsSNC="Y",SN_MO=MO,LoanN_SNC=0),SN_Percent,0))*LoanAmount</f>
        <v>0</v>
      </c>
      <c r="H64" s="13" t="n">
        <f aca="false">+IF(AND(IsSNC="Y",LoanN_SNC=LoanNumber,LoanN_SNC&gt;0),SN_Percent,IF(AND(IsSNC="Y",SN_MO=MO,LoanN_SNC=0),SN_Percent,0))*LoanAmount</f>
        <v>0</v>
      </c>
      <c r="I64" s="13" t="n">
        <f aca="false">+IF(AND(IsSNC="Y",LoanN_SNC=LoanNumber,LoanN_SNC&gt;0),SN_Percent,IF(AND(IsSNC="Y",SN_MO=MO,LoanN_SNC=0),SN_Percent,0))*LoanAmount</f>
        <v>0</v>
      </c>
      <c r="J64" s="13" t="n">
        <f aca="false">+IF(AND(IsSNC="Y",LoanN_SNC=LoanNumber,LoanN_SNC&gt;0),SN_Percent,IF(AND(IsSNC="Y",SN_MO=MO,LoanN_SNC=0),SN_Percent,0))*LoanAmount</f>
        <v>0</v>
      </c>
      <c r="K64" s="13" t="n">
        <f aca="false">+IF(AND(IsSNC="Y",LoanN_SNC=LoanNumber,LoanN_SNC&gt;0),SN_Percent,IF(AND(IsSNC="Y",SN_MO=MO,LoanN_SNC=0),SN_Percent,0))*LoanAmount</f>
        <v>0</v>
      </c>
      <c r="L64" s="13" t="n">
        <f aca="false">+IF(AND(IsSNC="Y",LoanN_SNC=LoanNumber,LoanN_SNC&gt;0),SN_Percent,IF(AND(IsSNC="Y",SN_MO=MO,LoanN_SNC=0),SN_Percent,0))*LoanAmount</f>
        <v>0</v>
      </c>
      <c r="M64" s="13" t="n">
        <f aca="false">SUM(G64:L64)</f>
        <v>0</v>
      </c>
      <c r="N64" s="20" t="inlineStr">
        <f aca="false">N14</f>
        <is>
          <t/>
        </is>
      </c>
    </row>
    <row collapsed="false" customFormat="false" customHeight="false" hidden="true" ht="14" outlineLevel="1" r="65">
      <c r="B65" s="0" t="n">
        <f aca="false">+B15</f>
        <v>1104140</v>
      </c>
      <c r="C65" s="0" t="n">
        <f aca="false">+C15</f>
        <v>5</v>
      </c>
      <c r="D65" s="0" t="n">
        <f aca="false">+D15</f>
        <v>0</v>
      </c>
      <c r="E65" s="17" t="str">
        <f aca="false">+IF('bid input'!P9=1,"Y","N")</f>
        <v>N</v>
      </c>
      <c r="F65" s="14"/>
      <c r="G65" s="13" t="n">
        <f aca="false">+IF(AND(IsSNC="Y",LoanN_SNC=LoanNumber,LoanN_SNC&gt;0),SN_Percent,IF(AND(IsSNC="Y",SN_MO=MO,LoanN_SNC=0),SN_Percent,0))*LoanAmount</f>
        <v>0</v>
      </c>
      <c r="H65" s="13" t="n">
        <f aca="false">+IF(AND(IsSNC="Y",LoanN_SNC=LoanNumber,LoanN_SNC&gt;0),SN_Percent,IF(AND(IsSNC="Y",SN_MO=MO,LoanN_SNC=0),SN_Percent,0))*LoanAmount</f>
        <v>0</v>
      </c>
      <c r="I65" s="13" t="n">
        <f aca="false">+IF(AND(IsSNC="Y",LoanN_SNC=LoanNumber,LoanN_SNC&gt;0),SN_Percent,IF(AND(IsSNC="Y",SN_MO=MO,LoanN_SNC=0),SN_Percent,0))*LoanAmount</f>
        <v>0</v>
      </c>
      <c r="J65" s="13" t="n">
        <f aca="false">+IF(AND(IsSNC="Y",LoanN_SNC=LoanNumber,LoanN_SNC&gt;0),SN_Percent,IF(AND(IsSNC="Y",SN_MO=MO,LoanN_SNC=0),SN_Percent,0))*LoanAmount</f>
        <v>0</v>
      </c>
      <c r="K65" s="13" t="n">
        <f aca="false">+IF(AND(IsSNC="Y",LoanN_SNC=LoanNumber,LoanN_SNC&gt;0),SN_Percent,IF(AND(IsSNC="Y",SN_MO=MO,LoanN_SNC=0),SN_Percent,0))*LoanAmount</f>
        <v>0</v>
      </c>
      <c r="L65" s="13" t="n">
        <f aca="false">+IF(AND(IsSNC="Y",LoanN_SNC=LoanNumber,LoanN_SNC&gt;0),SN_Percent,IF(AND(IsSNC="Y",SN_MO=MO,LoanN_SNC=0),SN_Percent,0))*LoanAmount</f>
        <v>0</v>
      </c>
      <c r="M65" s="13" t="n">
        <f aca="false">SUM(G65:L65)</f>
        <v>0</v>
      </c>
      <c r="N65" s="20" t="inlineStr">
        <f aca="false">N15</f>
        <is>
          <t/>
        </is>
      </c>
    </row>
    <row collapsed="false" customFormat="false" customHeight="false" hidden="true" ht="14" outlineLevel="1" r="66">
      <c r="B66" s="0" t="n">
        <f aca="false">+B16</f>
        <v>1104141</v>
      </c>
      <c r="C66" s="0" t="n">
        <f aca="false">+C16</f>
        <v>0</v>
      </c>
      <c r="D66" s="0" t="n">
        <f aca="false">+D16</f>
        <v>0</v>
      </c>
      <c r="E66" s="17" t="str">
        <f aca="false">+IF('bid input'!P10=1,"Y","N")</f>
        <v>N</v>
      </c>
      <c r="F66" s="14"/>
      <c r="G66" s="13" t="n">
        <f aca="false">+IF(AND(IsSNC="Y",LoanN_SNC=LoanNumber,LoanN_SNC&gt;0),SN_Percent,IF(AND(IsSNC="Y",SN_MO=MO,LoanN_SNC=0),SN_Percent,0))*LoanAmount</f>
        <v>0</v>
      </c>
      <c r="H66" s="13" t="n">
        <f aca="false">+IF(AND(IsSNC="Y",LoanN_SNC=LoanNumber,LoanN_SNC&gt;0),SN_Percent,IF(AND(IsSNC="Y",SN_MO=MO,LoanN_SNC=0),SN_Percent,0))*LoanAmount</f>
        <v>0</v>
      </c>
      <c r="I66" s="13" t="n">
        <f aca="false">+IF(AND(IsSNC="Y",LoanN_SNC=LoanNumber,LoanN_SNC&gt;0),SN_Percent,IF(AND(IsSNC="Y",SN_MO=MO,LoanN_SNC=0),SN_Percent,0))*LoanAmount</f>
        <v>0</v>
      </c>
      <c r="J66" s="13" t="n">
        <f aca="false">+IF(AND(IsSNC="Y",LoanN_SNC=LoanNumber,LoanN_SNC&gt;0),SN_Percent,IF(AND(IsSNC="Y",SN_MO=MO,LoanN_SNC=0),SN_Percent,0))*LoanAmount</f>
        <v>0</v>
      </c>
      <c r="K66" s="13" t="n">
        <f aca="false">+IF(AND(IsSNC="Y",LoanN_SNC=LoanNumber,LoanN_SNC&gt;0),SN_Percent,IF(AND(IsSNC="Y",SN_MO=MO,LoanN_SNC=0),SN_Percent,0))*LoanAmount</f>
        <v>0</v>
      </c>
      <c r="L66" s="13" t="n">
        <f aca="false">+IF(AND(IsSNC="Y",LoanN_SNC=LoanNumber,LoanN_SNC&gt;0),SN_Percent,IF(AND(IsSNC="Y",SN_MO=MO,LoanN_SNC=0),SN_Percent,0))*LoanAmount</f>
        <v>0</v>
      </c>
      <c r="M66" s="13" t="n">
        <f aca="false">SUM(G66:L66)</f>
        <v>0</v>
      </c>
      <c r="N66" s="20" t="inlineStr">
        <f aca="false">N16</f>
        <is>
          <t/>
        </is>
      </c>
    </row>
    <row collapsed="false" customFormat="false" customHeight="false" hidden="true" ht="14" outlineLevel="1" r="67">
      <c r="B67" s="0" t="n">
        <f aca="false">+B17</f>
        <v>1104159</v>
      </c>
      <c r="C67" s="0" t="n">
        <f aca="false">+C17</f>
        <v>1</v>
      </c>
      <c r="D67" s="0" t="n">
        <f aca="false">+D17</f>
        <v>0</v>
      </c>
      <c r="E67" s="17" t="str">
        <f aca="false">+IF('bid input'!P11=1,"Y","N")</f>
        <v>Y</v>
      </c>
      <c r="F67" s="14"/>
      <c r="G67" s="13" t="n">
        <f aca="false">+IF(AND(IsSNC="Y",LoanN_SNC=LoanNumber,LoanN_SNC&gt;0),SN_Percent,IF(AND(IsSNC="Y",SN_MO=MO,LoanN_SNC=0),SN_Percent,0))*LoanAmount</f>
        <v>63745</v>
      </c>
      <c r="H67" s="13" t="n">
        <f aca="false">+IF(AND(IsSNC="Y",LoanN_SNC=LoanNumber,LoanN_SNC&gt;0),SN_Percent,IF(AND(IsSNC="Y",SN_MO=MO,LoanN_SNC=0),SN_Percent,0))*LoanAmount</f>
        <v>0</v>
      </c>
      <c r="I67" s="13" t="n">
        <f aca="false">+IF(AND(IsSNC="Y",LoanN_SNC=LoanNumber,LoanN_SNC&gt;0),SN_Percent,IF(AND(IsSNC="Y",SN_MO=MO,LoanN_SNC=0),SN_Percent,0))*LoanAmount</f>
        <v>0</v>
      </c>
      <c r="J67" s="13" t="n">
        <f aca="false">+IF(AND(IsSNC="Y",LoanN_SNC=LoanNumber,LoanN_SNC&gt;0),SN_Percent,IF(AND(IsSNC="Y",SN_MO=MO,LoanN_SNC=0),SN_Percent,0))*LoanAmount</f>
        <v>0</v>
      </c>
      <c r="K67" s="13" t="n">
        <f aca="false">+IF(AND(IsSNC="Y",LoanN_SNC=LoanNumber,LoanN_SNC&gt;0),SN_Percent,IF(AND(IsSNC="Y",SN_MO=MO,LoanN_SNC=0),SN_Percent,0))*LoanAmount</f>
        <v>0</v>
      </c>
      <c r="L67" s="13" t="n">
        <f aca="false">+IF(AND(IsSNC="Y",LoanN_SNC=LoanNumber,LoanN_SNC&gt;0),SN_Percent,IF(AND(IsSNC="Y",SN_MO=MO,LoanN_SNC=0),SN_Percent,0))*LoanAmount</f>
        <v>0</v>
      </c>
      <c r="M67" s="13" t="n">
        <f aca="false">SUM(G67:L67)</f>
        <v>63745</v>
      </c>
      <c r="N67" s="20" t="inlineStr">
        <f aca="false">N17</f>
        <is>
          <t/>
        </is>
      </c>
    </row>
    <row collapsed="false" customFormat="false" customHeight="false" hidden="true" ht="14" outlineLevel="1" r="68">
      <c r="B68" s="0" t="n">
        <f aca="false">+B18</f>
        <v>1104161</v>
      </c>
      <c r="C68" s="0" t="n">
        <f aca="false">+C18</f>
        <v>4</v>
      </c>
      <c r="D68" s="0" t="n">
        <f aca="false">+D18</f>
        <v>0</v>
      </c>
      <c r="E68" s="17" t="str">
        <f aca="false">+IF('bid input'!P12=1,"Y","N")</f>
        <v>Y</v>
      </c>
      <c r="F68" s="14"/>
      <c r="G68" s="13" t="n">
        <f aca="false">+IF(AND(IsSNC="Y",LoanN_SNC=LoanNumber,LoanN_SNC&gt;0),SN_Percent,IF(AND(IsSNC="Y",SN_MO=MO,LoanN_SNC=0),SN_Percent,0))*LoanAmount</f>
        <v>0</v>
      </c>
      <c r="H68" s="13" t="n">
        <f aca="false">+IF(AND(IsSNC="Y",LoanN_SNC=LoanNumber,LoanN_SNC&gt;0),SN_Percent,IF(AND(IsSNC="Y",SN_MO=MO,LoanN_SNC=0),SN_Percent,0))*LoanAmount</f>
        <v>0</v>
      </c>
      <c r="I68" s="13" t="n">
        <f aca="false">+IF(AND(IsSNC="Y",LoanN_SNC=LoanNumber,LoanN_SNC&gt;0),SN_Percent,IF(AND(IsSNC="Y",SN_MO=MO,LoanN_SNC=0),SN_Percent,0))*LoanAmount</f>
        <v>0</v>
      </c>
      <c r="J68" s="13" t="n">
        <f aca="false">+IF(AND(IsSNC="Y",LoanN_SNC=LoanNumber,LoanN_SNC&gt;0),SN_Percent,IF(AND(IsSNC="Y",SN_MO=MO,LoanN_SNC=0),SN_Percent,0))*LoanAmount</f>
        <v>105080</v>
      </c>
      <c r="K68" s="13" t="n">
        <f aca="false">+IF(AND(IsSNC="Y",LoanN_SNC=LoanNumber,LoanN_SNC&gt;0),SN_Percent,IF(AND(IsSNC="Y",SN_MO=MO,LoanN_SNC=0),SN_Percent,0))*LoanAmount</f>
        <v>0</v>
      </c>
      <c r="L68" s="13" t="n">
        <f aca="false">+IF(AND(IsSNC="Y",LoanN_SNC=LoanNumber,LoanN_SNC&gt;0),SN_Percent,IF(AND(IsSNC="Y",SN_MO=MO,LoanN_SNC=0),SN_Percent,0))*LoanAmount</f>
        <v>0</v>
      </c>
      <c r="M68" s="13" t="n">
        <f aca="false">SUM(G68:L68)</f>
        <v>105080</v>
      </c>
      <c r="N68" s="20" t="inlineStr">
        <f aca="false">N18</f>
        <is>
          <t/>
        </is>
      </c>
    </row>
    <row collapsed="false" customFormat="false" customHeight="false" hidden="true" ht="14" outlineLevel="1" r="69">
      <c r="B69" s="0" t="n">
        <f aca="false">+B19</f>
        <v>1104145</v>
      </c>
      <c r="C69" s="0" t="n">
        <f aca="false">+C19</f>
        <v>1</v>
      </c>
      <c r="D69" s="0" t="n">
        <f aca="false">+D19</f>
        <v>0</v>
      </c>
      <c r="E69" s="17" t="str">
        <f aca="false">+IF('bid input'!P13=1,"Y","N")</f>
        <v>N</v>
      </c>
      <c r="F69" s="14"/>
      <c r="G69" s="13" t="n">
        <f aca="false">+IF(AND(IsSNC="Y",LoanN_SNC=LoanNumber,LoanN_SNC&gt;0),SN_Percent,IF(AND(IsSNC="Y",SN_MO=MO,LoanN_SNC=0),SN_Percent,0))*LoanAmount</f>
        <v>0</v>
      </c>
      <c r="H69" s="13" t="n">
        <f aca="false">+IF(AND(IsSNC="Y",LoanN_SNC=LoanNumber,LoanN_SNC&gt;0),SN_Percent,IF(AND(IsSNC="Y",SN_MO=MO,LoanN_SNC=0),SN_Percent,0))*LoanAmount</f>
        <v>0</v>
      </c>
      <c r="I69" s="13" t="n">
        <f aca="false">+IF(AND(IsSNC="Y",LoanN_SNC=LoanNumber,LoanN_SNC&gt;0),SN_Percent,IF(AND(IsSNC="Y",SN_MO=MO,LoanN_SNC=0),SN_Percent,0))*LoanAmount</f>
        <v>0</v>
      </c>
      <c r="J69" s="13" t="n">
        <f aca="false">+IF(AND(IsSNC="Y",LoanN_SNC=LoanNumber,LoanN_SNC&gt;0),SN_Percent,IF(AND(IsSNC="Y",SN_MO=MO,LoanN_SNC=0),SN_Percent,0))*LoanAmount</f>
        <v>0</v>
      </c>
      <c r="K69" s="13" t="n">
        <f aca="false">+IF(AND(IsSNC="Y",LoanN_SNC=LoanNumber,LoanN_SNC&gt;0),SN_Percent,IF(AND(IsSNC="Y",SN_MO=MO,LoanN_SNC=0),SN_Percent,0))*LoanAmount</f>
        <v>0</v>
      </c>
      <c r="L69" s="13" t="n">
        <f aca="false">+IF(AND(IsSNC="Y",LoanN_SNC=LoanNumber,LoanN_SNC&gt;0),SN_Percent,IF(AND(IsSNC="Y",SN_MO=MO,LoanN_SNC=0),SN_Percent,0))*LoanAmount</f>
        <v>0</v>
      </c>
      <c r="M69" s="13" t="n">
        <f aca="false">SUM(G69:L69)</f>
        <v>0</v>
      </c>
      <c r="N69" s="20" t="inlineStr">
        <f aca="false">N19</f>
        <is>
          <t/>
        </is>
      </c>
    </row>
    <row collapsed="false" customFormat="false" customHeight="false" hidden="true" ht="14" outlineLevel="1" r="70">
      <c r="B70" s="0" t="n">
        <f aca="false">+B20</f>
        <v>1104133</v>
      </c>
      <c r="C70" s="0" t="n">
        <f aca="false">+C20</f>
        <v>4</v>
      </c>
      <c r="D70" s="0" t="n">
        <f aca="false">+D20</f>
        <v>0</v>
      </c>
      <c r="E70" s="17" t="str">
        <f aca="false">+IF('bid input'!P14=1,"Y","N")</f>
        <v>N</v>
      </c>
      <c r="F70" s="14"/>
      <c r="G70" s="13" t="n">
        <f aca="false">+IF(AND(IsSNC="Y",LoanN_SNC=LoanNumber,LoanN_SNC&gt;0),SN_Percent,IF(AND(IsSNC="Y",SN_MO=MO,LoanN_SNC=0),SN_Percent,0))*LoanAmount</f>
        <v>0</v>
      </c>
      <c r="H70" s="13" t="n">
        <f aca="false">+IF(AND(IsSNC="Y",LoanN_SNC=LoanNumber,LoanN_SNC&gt;0),SN_Percent,IF(AND(IsSNC="Y",SN_MO=MO,LoanN_SNC=0),SN_Percent,0))*LoanAmount</f>
        <v>0</v>
      </c>
      <c r="I70" s="13" t="n">
        <f aca="false">+IF(AND(IsSNC="Y",LoanN_SNC=LoanNumber,LoanN_SNC&gt;0),SN_Percent,IF(AND(IsSNC="Y",SN_MO=MO,LoanN_SNC=0),SN_Percent,0))*LoanAmount</f>
        <v>0</v>
      </c>
      <c r="J70" s="13" t="n">
        <f aca="false">+IF(AND(IsSNC="Y",LoanN_SNC=LoanNumber,LoanN_SNC&gt;0),SN_Percent,IF(AND(IsSNC="Y",SN_MO=MO,LoanN_SNC=0),SN_Percent,0))*LoanAmount</f>
        <v>0</v>
      </c>
      <c r="K70" s="13" t="n">
        <f aca="false">+IF(AND(IsSNC="Y",LoanN_SNC=LoanNumber,LoanN_SNC&gt;0),SN_Percent,IF(AND(IsSNC="Y",SN_MO=MO,LoanN_SNC=0),SN_Percent,0))*LoanAmount</f>
        <v>0</v>
      </c>
      <c r="L70" s="13" t="n">
        <f aca="false">+IF(AND(IsSNC="Y",LoanN_SNC=LoanNumber,LoanN_SNC&gt;0),SN_Percent,IF(AND(IsSNC="Y",SN_MO=MO,LoanN_SNC=0),SN_Percent,0))*LoanAmount</f>
        <v>0</v>
      </c>
      <c r="M70" s="13" t="n">
        <f aca="false">SUM(G70:L70)</f>
        <v>0</v>
      </c>
      <c r="N70" s="20" t="inlineStr">
        <f aca="false">N20</f>
        <is>
          <t/>
        </is>
      </c>
    </row>
    <row collapsed="false" customFormat="false" customHeight="false" hidden="true" ht="14" outlineLevel="1" r="71">
      <c r="B71" s="0" t="n">
        <f aca="false">+B21</f>
        <v>1104149</v>
      </c>
      <c r="C71" s="0" t="n">
        <f aca="false">+C21</f>
        <v>5</v>
      </c>
      <c r="D71" s="0" t="n">
        <f aca="false">+D21</f>
        <v>0</v>
      </c>
      <c r="E71" s="17" t="str">
        <f aca="false">+IF('bid input'!P15=1,"Y","N")</f>
        <v>Y</v>
      </c>
      <c r="F71" s="14"/>
      <c r="G71" s="13" t="n">
        <f aca="false">+IF(AND(IsSNC="Y",LoanN_SNC=LoanNumber,LoanN_SNC&gt;0),SN_Percent,IF(AND(IsSNC="Y",SN_MO=MO,LoanN_SNC=0),SN_Percent,0))*LoanAmount</f>
        <v>0</v>
      </c>
      <c r="H71" s="13" t="n">
        <f aca="false">+IF(AND(IsSNC="Y",LoanN_SNC=LoanNumber,LoanN_SNC&gt;0),SN_Percent,IF(AND(IsSNC="Y",SN_MO=MO,LoanN_SNC=0),SN_Percent,0))*LoanAmount</f>
        <v>0</v>
      </c>
      <c r="I71" s="13" t="n">
        <f aca="false">+IF(AND(IsSNC="Y",LoanN_SNC=LoanNumber,LoanN_SNC&gt;0),SN_Percent,IF(AND(IsSNC="Y",SN_MO=MO,LoanN_SNC=0),SN_Percent,0))*LoanAmount</f>
        <v>0</v>
      </c>
      <c r="J71" s="13" t="n">
        <f aca="false">+IF(AND(IsSNC="Y",LoanN_SNC=LoanNumber,LoanN_SNC&gt;0),SN_Percent,IF(AND(IsSNC="Y",SN_MO=MO,LoanN_SNC=0),SN_Percent,0))*LoanAmount</f>
        <v>0</v>
      </c>
      <c r="K71" s="13" t="n">
        <f aca="false">+IF(AND(IsSNC="Y",LoanN_SNC=LoanNumber,LoanN_SNC&gt;0),SN_Percent,IF(AND(IsSNC="Y",SN_MO=MO,LoanN_SNC=0),SN_Percent,0))*LoanAmount</f>
        <v>103085</v>
      </c>
      <c r="L71" s="13" t="n">
        <f aca="false">+IF(AND(IsSNC="Y",LoanN_SNC=LoanNumber,LoanN_SNC&gt;0),SN_Percent,IF(AND(IsSNC="Y",SN_MO=MO,LoanN_SNC=0),SN_Percent,0))*LoanAmount</f>
        <v>0</v>
      </c>
      <c r="M71" s="13" t="n">
        <f aca="false">SUM(G71:L71)</f>
        <v>103085</v>
      </c>
      <c r="N71" s="20" t="inlineStr">
        <f aca="false">N21</f>
        <is>
          <t/>
        </is>
      </c>
    </row>
    <row collapsed="false" customFormat="false" customHeight="false" hidden="true" ht="14" outlineLevel="1" r="72">
      <c r="B72" s="0" t="n">
        <f aca="false">+B22</f>
        <v>1104151</v>
      </c>
      <c r="C72" s="0" t="n">
        <f aca="false">+C22</f>
        <v>1</v>
      </c>
      <c r="D72" s="0" t="n">
        <f aca="false">+D22</f>
        <v>0</v>
      </c>
      <c r="E72" s="17" t="str">
        <f aca="false">+IF('bid input'!P16=1,"Y","N")</f>
        <v>Y</v>
      </c>
      <c r="F72" s="14"/>
      <c r="G72" s="13" t="n">
        <f aca="false">+IF(AND(IsSNC="Y",LoanN_SNC=LoanNumber,LoanN_SNC&gt;0),SN_Percent,IF(AND(IsSNC="Y",SN_MO=MO,LoanN_SNC=0),SN_Percent,0))*LoanAmount</f>
        <v>63745</v>
      </c>
      <c r="H72" s="13" t="n">
        <f aca="false">+IF(AND(IsSNC="Y",LoanN_SNC=LoanNumber,LoanN_SNC&gt;0),SN_Percent,IF(AND(IsSNC="Y",SN_MO=MO,LoanN_SNC=0),SN_Percent,0))*LoanAmount</f>
        <v>0</v>
      </c>
      <c r="I72" s="13" t="n">
        <f aca="false">+IF(AND(IsSNC="Y",LoanN_SNC=LoanNumber,LoanN_SNC&gt;0),SN_Percent,IF(AND(IsSNC="Y",SN_MO=MO,LoanN_SNC=0),SN_Percent,0))*LoanAmount</f>
        <v>0</v>
      </c>
      <c r="J72" s="13" t="n">
        <f aca="false">+IF(AND(IsSNC="Y",LoanN_SNC=LoanNumber,LoanN_SNC&gt;0),SN_Percent,IF(AND(IsSNC="Y",SN_MO=MO,LoanN_SNC=0),SN_Percent,0))*LoanAmount</f>
        <v>0</v>
      </c>
      <c r="K72" s="13" t="n">
        <f aca="false">+IF(AND(IsSNC="Y",LoanN_SNC=LoanNumber,LoanN_SNC&gt;0),SN_Percent,IF(AND(IsSNC="Y",SN_MO=MO,LoanN_SNC=0),SN_Percent,0))*LoanAmount</f>
        <v>0</v>
      </c>
      <c r="L72" s="13" t="n">
        <f aca="false">+IF(AND(IsSNC="Y",LoanN_SNC=LoanNumber,LoanN_SNC&gt;0),SN_Percent,IF(AND(IsSNC="Y",SN_MO=MO,LoanN_SNC=0),SN_Percent,0))*LoanAmount</f>
        <v>0</v>
      </c>
      <c r="M72" s="13" t="n">
        <f aca="false">SUM(G72:L72)</f>
        <v>63745</v>
      </c>
      <c r="N72" s="20" t="inlineStr">
        <f aca="false">N22</f>
        <is>
          <t/>
        </is>
      </c>
    </row>
    <row collapsed="false" customFormat="false" customHeight="false" hidden="true" ht="14" outlineLevel="1" r="73">
      <c r="B73" s="0" t="n">
        <f aca="false">+B23</f>
        <v>1104131</v>
      </c>
      <c r="C73" s="0" t="n">
        <f aca="false">+C23</f>
        <v>0</v>
      </c>
      <c r="D73" s="0" t="n">
        <f aca="false">+D23</f>
        <v>0</v>
      </c>
      <c r="E73" s="17" t="str">
        <f aca="false">+IF('bid input'!P17=1,"Y","N")</f>
        <v>N</v>
      </c>
      <c r="F73" s="14"/>
      <c r="G73" s="13" t="n">
        <f aca="false">+IF(AND(IsSNC="Y",LoanN_SNC=LoanNumber,LoanN_SNC&gt;0),SN_Percent,IF(AND(IsSNC="Y",SN_MO=MO,LoanN_SNC=0),SN_Percent,0))*LoanAmount</f>
        <v>0</v>
      </c>
      <c r="H73" s="13" t="n">
        <f aca="false">+IF(AND(IsSNC="Y",LoanN_SNC=LoanNumber,LoanN_SNC&gt;0),SN_Percent,IF(AND(IsSNC="Y",SN_MO=MO,LoanN_SNC=0),SN_Percent,0))*LoanAmount</f>
        <v>0</v>
      </c>
      <c r="I73" s="13" t="n">
        <f aca="false">+IF(AND(IsSNC="Y",LoanN_SNC=LoanNumber,LoanN_SNC&gt;0),SN_Percent,IF(AND(IsSNC="Y",SN_MO=MO,LoanN_SNC=0),SN_Percent,0))*LoanAmount</f>
        <v>0</v>
      </c>
      <c r="J73" s="13" t="n">
        <f aca="false">+IF(AND(IsSNC="Y",LoanN_SNC=LoanNumber,LoanN_SNC&gt;0),SN_Percent,IF(AND(IsSNC="Y",SN_MO=MO,LoanN_SNC=0),SN_Percent,0))*LoanAmount</f>
        <v>0</v>
      </c>
      <c r="K73" s="13" t="n">
        <f aca="false">+IF(AND(IsSNC="Y",LoanN_SNC=LoanNumber,LoanN_SNC&gt;0),SN_Percent,IF(AND(IsSNC="Y",SN_MO=MO,LoanN_SNC=0),SN_Percent,0))*LoanAmount</f>
        <v>0</v>
      </c>
      <c r="L73" s="13" t="n">
        <f aca="false">+IF(AND(IsSNC="Y",LoanN_SNC=LoanNumber,LoanN_SNC&gt;0),SN_Percent,IF(AND(IsSNC="Y",SN_MO=MO,LoanN_SNC=0),SN_Percent,0))*LoanAmount</f>
        <v>0</v>
      </c>
      <c r="M73" s="13" t="n">
        <f aca="false">SUM(G73:L73)</f>
        <v>0</v>
      </c>
      <c r="N73" s="20" t="inlineStr">
        <f aca="false">N23</f>
        <is>
          <t/>
        </is>
      </c>
    </row>
    <row collapsed="false" customFormat="false" customHeight="false" hidden="true" ht="14" outlineLevel="1" r="74">
      <c r="B74" s="0" t="n">
        <f aca="false">+B24</f>
        <v>1104155</v>
      </c>
      <c r="C74" s="0" t="n">
        <f aca="false">+C24</f>
        <v>0</v>
      </c>
      <c r="D74" s="0" t="str">
        <f aca="false">+D24</f>
        <v>Best Loans Inc</v>
      </c>
      <c r="E74" s="17" t="str">
        <f aca="false">+IF('bid input'!P18=1,"Y","N")</f>
        <v>N</v>
      </c>
      <c r="F74" s="14"/>
      <c r="G74" s="13" t="n">
        <f aca="false">+IF(AND(IsSNC="Y",LoanN_SNC=LoanNumber,LoanN_SNC&gt;0),SN_Percent,IF(AND(IsSNC="Y",SN_MO=MO,LoanN_SNC=0),SN_Percent,0))*LoanAmount</f>
        <v>0</v>
      </c>
      <c r="H74" s="13" t="n">
        <f aca="false">+IF(AND(IsSNC="Y",LoanN_SNC=LoanNumber,LoanN_SNC&gt;0),SN_Percent,IF(AND(IsSNC="Y",SN_MO=MO,LoanN_SNC=0),SN_Percent,0))*LoanAmount</f>
        <v>0</v>
      </c>
      <c r="I74" s="13" t="n">
        <f aca="false">+IF(AND(IsSNC="Y",LoanN_SNC=LoanNumber,LoanN_SNC&gt;0),SN_Percent,IF(AND(IsSNC="Y",SN_MO=MO,LoanN_SNC=0),SN_Percent,0))*LoanAmount</f>
        <v>0</v>
      </c>
      <c r="J74" s="13" t="n">
        <f aca="false">+IF(AND(IsSNC="Y",LoanN_SNC=LoanNumber,LoanN_SNC&gt;0),SN_Percent,IF(AND(IsSNC="Y",SN_MO=MO,LoanN_SNC=0),SN_Percent,0))*LoanAmount</f>
        <v>0</v>
      </c>
      <c r="K74" s="13" t="n">
        <f aca="false">+IF(AND(IsSNC="Y",LoanN_SNC=LoanNumber,LoanN_SNC&gt;0),SN_Percent,IF(AND(IsSNC="Y",SN_MO=MO,LoanN_SNC=0),SN_Percent,0))*LoanAmount</f>
        <v>0</v>
      </c>
      <c r="L74" s="13" t="n">
        <f aca="false">+IF(AND(IsSNC="Y",LoanN_SNC=LoanNumber,LoanN_SNC&gt;0),SN_Percent,IF(AND(IsSNC="Y",SN_MO=MO,LoanN_SNC=0),SN_Percent,0))*LoanAmount</f>
        <v>0</v>
      </c>
      <c r="M74" s="13" t="n">
        <f aca="false">SUM(G74:L74)</f>
        <v>0</v>
      </c>
      <c r="N74" s="20" t="inlineStr">
        <f aca="false">N24</f>
        <is>
          <t/>
        </is>
      </c>
    </row>
    <row collapsed="false" customFormat="false" customHeight="false" hidden="true" ht="14" outlineLevel="1" r="75">
      <c r="B75" s="0" t="n">
        <f aca="false">+B25</f>
        <v>1104156</v>
      </c>
      <c r="C75" s="0" t="n">
        <f aca="false">+C25</f>
        <v>2</v>
      </c>
      <c r="D75" s="0" t="n">
        <f aca="false">+D25</f>
        <v>0</v>
      </c>
      <c r="E75" s="17" t="str">
        <f aca="false">+IF('bid input'!P19=1,"Y","N")</f>
        <v>Y</v>
      </c>
      <c r="F75" s="14"/>
      <c r="G75" s="13" t="n">
        <f aca="false">+IF(AND(IsSNC="Y",LoanN_SNC=LoanNumber,LoanN_SNC&gt;0),SN_Percent,IF(AND(IsSNC="Y",SN_MO=MO,LoanN_SNC=0),SN_Percent,0))*LoanAmount</f>
        <v>0</v>
      </c>
      <c r="H75" s="13" t="n">
        <f aca="false">+IF(AND(IsSNC="Y",LoanN_SNC=LoanNumber,LoanN_SNC&gt;0),SN_Percent,IF(AND(IsSNC="Y",SN_MO=MO,LoanN_SNC=0),SN_Percent,0))*LoanAmount</f>
        <v>75137</v>
      </c>
      <c r="I75" s="13" t="n">
        <f aca="false">+IF(AND(IsSNC="Y",LoanN_SNC=LoanNumber,LoanN_SNC&gt;0),SN_Percent,IF(AND(IsSNC="Y",SN_MO=MO,LoanN_SNC=0),SN_Percent,0))*LoanAmount</f>
        <v>0</v>
      </c>
      <c r="J75" s="13" t="n">
        <f aca="false">+IF(AND(IsSNC="Y",LoanN_SNC=LoanNumber,LoanN_SNC&gt;0),SN_Percent,IF(AND(IsSNC="Y",SN_MO=MO,LoanN_SNC=0),SN_Percent,0))*LoanAmount</f>
        <v>0</v>
      </c>
      <c r="K75" s="13" t="n">
        <f aca="false">+IF(AND(IsSNC="Y",LoanN_SNC=LoanNumber,LoanN_SNC&gt;0),SN_Percent,IF(AND(IsSNC="Y",SN_MO=MO,LoanN_SNC=0),SN_Percent,0))*LoanAmount</f>
        <v>0</v>
      </c>
      <c r="L75" s="13" t="n">
        <f aca="false">+IF(AND(IsSNC="Y",LoanN_SNC=LoanNumber,LoanN_SNC&gt;0),SN_Percent,IF(AND(IsSNC="Y",SN_MO=MO,LoanN_SNC=0),SN_Percent,0))*LoanAmount</f>
        <v>0</v>
      </c>
      <c r="M75" s="13" t="n">
        <f aca="false">SUM(G75:L75)</f>
        <v>75137</v>
      </c>
      <c r="N75" s="20" t="inlineStr">
        <f aca="false">N25</f>
        <is>
          <t/>
        </is>
      </c>
    </row>
    <row collapsed="false" customFormat="false" customHeight="false" hidden="true" ht="14" outlineLevel="1" r="76">
      <c r="B76" s="0" t="n">
        <f aca="false">+B26</f>
        <v>1104157</v>
      </c>
      <c r="C76" s="0" t="n">
        <f aca="false">+C26</f>
        <v>0</v>
      </c>
      <c r="D76" s="0" t="n">
        <f aca="false">+D26</f>
        <v>0</v>
      </c>
      <c r="E76" s="17" t="str">
        <f aca="false">+IF('bid input'!P20=1,"Y","N")</f>
        <v>N</v>
      </c>
      <c r="F76" s="14"/>
      <c r="G76" s="13" t="n">
        <f aca="false">+IF(AND(IsSNC="Y",LoanN_SNC=LoanNumber,LoanN_SNC&gt;0),SN_Percent,IF(AND(IsSNC="Y",SN_MO=MO,LoanN_SNC=0),SN_Percent,0))*LoanAmount</f>
        <v>0</v>
      </c>
      <c r="H76" s="13" t="n">
        <f aca="false">+IF(AND(IsSNC="Y",LoanN_SNC=LoanNumber,LoanN_SNC&gt;0),SN_Percent,IF(AND(IsSNC="Y",SN_MO=MO,LoanN_SNC=0),SN_Percent,0))*LoanAmount</f>
        <v>0</v>
      </c>
      <c r="I76" s="13" t="n">
        <f aca="false">+IF(AND(IsSNC="Y",LoanN_SNC=LoanNumber,LoanN_SNC&gt;0),SN_Percent,IF(AND(IsSNC="Y",SN_MO=MO,LoanN_SNC=0),SN_Percent,0))*LoanAmount</f>
        <v>0</v>
      </c>
      <c r="J76" s="13" t="n">
        <f aca="false">+IF(AND(IsSNC="Y",LoanN_SNC=LoanNumber,LoanN_SNC&gt;0),SN_Percent,IF(AND(IsSNC="Y",SN_MO=MO,LoanN_SNC=0),SN_Percent,0))*LoanAmount</f>
        <v>0</v>
      </c>
      <c r="K76" s="13" t="n">
        <f aca="false">+IF(AND(IsSNC="Y",LoanN_SNC=LoanNumber,LoanN_SNC&gt;0),SN_Percent,IF(AND(IsSNC="Y",SN_MO=MO,LoanN_SNC=0),SN_Percent,0))*LoanAmount</f>
        <v>0</v>
      </c>
      <c r="L76" s="13" t="n">
        <f aca="false">+IF(AND(IsSNC="Y",LoanN_SNC=LoanNumber,LoanN_SNC&gt;0),SN_Percent,IF(AND(IsSNC="Y",SN_MO=MO,LoanN_SNC=0),SN_Percent,0))*LoanAmount</f>
        <v>0</v>
      </c>
      <c r="M76" s="13" t="n">
        <f aca="false">SUM(G76:L76)</f>
        <v>0</v>
      </c>
      <c r="N76" s="20" t="inlineStr">
        <f aca="false">N26</f>
        <is>
          <t/>
        </is>
      </c>
    </row>
    <row collapsed="false" customFormat="false" customHeight="false" hidden="true" ht="14" outlineLevel="1" r="77">
      <c r="B77" s="0" t="n">
        <f aca="false">+B27</f>
        <v>1104158</v>
      </c>
      <c r="C77" s="0" t="n">
        <f aca="false">+C27</f>
        <v>1</v>
      </c>
      <c r="D77" s="0" t="n">
        <f aca="false">+D27</f>
        <v>0</v>
      </c>
      <c r="E77" s="17" t="str">
        <f aca="false">+IF('bid input'!P21=1,"Y","N")</f>
        <v>N</v>
      </c>
      <c r="F77" s="14"/>
      <c r="G77" s="13" t="n">
        <f aca="false">+IF(AND(IsSNC="Y",LoanN_SNC=LoanNumber,LoanN_SNC&gt;0),SN_Percent,IF(AND(IsSNC="Y",SN_MO=MO,LoanN_SNC=0),SN_Percent,0))*LoanAmount</f>
        <v>0</v>
      </c>
      <c r="H77" s="13" t="n">
        <f aca="false">+IF(AND(IsSNC="Y",LoanN_SNC=LoanNumber,LoanN_SNC&gt;0),SN_Percent,IF(AND(IsSNC="Y",SN_MO=MO,LoanN_SNC=0),SN_Percent,0))*LoanAmount</f>
        <v>0</v>
      </c>
      <c r="I77" s="13" t="n">
        <f aca="false">+IF(AND(IsSNC="Y",LoanN_SNC=LoanNumber,LoanN_SNC&gt;0),SN_Percent,IF(AND(IsSNC="Y",SN_MO=MO,LoanN_SNC=0),SN_Percent,0))*LoanAmount</f>
        <v>0</v>
      </c>
      <c r="J77" s="13" t="n">
        <f aca="false">+IF(AND(IsSNC="Y",LoanN_SNC=LoanNumber,LoanN_SNC&gt;0),SN_Percent,IF(AND(IsSNC="Y",SN_MO=MO,LoanN_SNC=0),SN_Percent,0))*LoanAmount</f>
        <v>0</v>
      </c>
      <c r="K77" s="13" t="n">
        <f aca="false">+IF(AND(IsSNC="Y",LoanN_SNC=LoanNumber,LoanN_SNC&gt;0),SN_Percent,IF(AND(IsSNC="Y",SN_MO=MO,LoanN_SNC=0),SN_Percent,0))*LoanAmount</f>
        <v>0</v>
      </c>
      <c r="L77" s="13" t="n">
        <f aca="false">+IF(AND(IsSNC="Y",LoanN_SNC=LoanNumber,LoanN_SNC&gt;0),SN_Percent,IF(AND(IsSNC="Y",SN_MO=MO,LoanN_SNC=0),SN_Percent,0))*LoanAmount</f>
        <v>0</v>
      </c>
      <c r="M77" s="13" t="n">
        <f aca="false">SUM(G77:L77)</f>
        <v>0</v>
      </c>
      <c r="N77" s="20" t="inlineStr">
        <f aca="false">N27</f>
        <is>
          <t/>
        </is>
      </c>
    </row>
    <row collapsed="false" customFormat="false" customHeight="false" hidden="true" ht="14" outlineLevel="1" r="78">
      <c r="B78" s="14"/>
      <c r="C78" s="14"/>
      <c r="D78" s="14"/>
      <c r="E78" s="15"/>
      <c r="F78" s="14"/>
      <c r="G78" s="30"/>
      <c r="H78" s="30"/>
      <c r="I78" s="30"/>
      <c r="J78" s="30"/>
      <c r="K78" s="30"/>
      <c r="L78" s="30"/>
    </row>
    <row collapsed="false" customFormat="false" customHeight="true" hidden="true" ht="14.1" outlineLevel="1" r="79">
      <c r="B79" s="0" t="n">
        <f aca="false">+B8</f>
        <v>1104134</v>
      </c>
      <c r="E79" s="17"/>
      <c r="F79" s="18"/>
      <c r="G79" s="31" t="n">
        <f aca="false">IF($M58&lt;'bid input'!$M2,G58, 'bid input'!$M2*G58/$M58)</f>
        <v>0</v>
      </c>
      <c r="H79" s="31" t="n">
        <f aca="false">IF($M58&lt;'bid input'!$M2,H58, 'bid input'!$M2*H58/$M58)</f>
        <v>0</v>
      </c>
      <c r="I79" s="31" t="n">
        <f aca="false">IF($M58&lt;'bid input'!$M2,I58, 'bid input'!$M2*I58/$M58)</f>
        <v>0</v>
      </c>
      <c r="J79" s="31" t="n">
        <f aca="false">IF($M58&lt;'bid input'!$M2,J58, 'bid input'!$M2*J58/$M58)</f>
        <v>0</v>
      </c>
      <c r="K79" s="31" t="n">
        <f aca="false">IF($M58&lt;'bid input'!$M2,K58, 'bid input'!$M2*K58/$M58)</f>
        <v>0</v>
      </c>
      <c r="L79" s="31" t="n">
        <f aca="false">IF($M58&lt;'bid input'!$M2,L58, 'bid input'!$M2*L58/$M58)</f>
        <v>0</v>
      </c>
      <c r="M79" s="13" t="n">
        <f aca="false">SUM(G79:L79)</f>
        <v>0</v>
      </c>
    </row>
    <row collapsed="false" customFormat="false" customHeight="true" hidden="true" ht="14.1" outlineLevel="1" r="80">
      <c r="B80" s="0" t="n">
        <f aca="false">+B9</f>
        <v>1104143</v>
      </c>
      <c r="E80" s="17"/>
      <c r="F80" s="18"/>
      <c r="G80" s="31" t="n">
        <f aca="false">IF($M59&lt;'bid input'!$M3,G59, 'bid input'!$M3*G59/$M59)</f>
        <v>63745</v>
      </c>
      <c r="H80" s="31" t="n">
        <f aca="false">IF($M59&lt;'bid input'!$M3,H59, 'bid input'!$M3*H59/$M59)</f>
        <v>75137</v>
      </c>
      <c r="I80" s="31" t="n">
        <f aca="false">IF($M59&lt;'bid input'!$M3,I59, 'bid input'!$M3*I59/$M59)</f>
        <v>0</v>
      </c>
      <c r="J80" s="31" t="n">
        <f aca="false">IF($M59&lt;'bid input'!$M3,J59, 'bid input'!$M3*J59/$M59)</f>
        <v>0</v>
      </c>
      <c r="K80" s="31" t="n">
        <f aca="false">IF($M59&lt;'bid input'!$M3,K59, 'bid input'!$M3*K59/$M59)</f>
        <v>0</v>
      </c>
      <c r="L80" s="31" t="n">
        <f aca="false">IF($M59&lt;'bid input'!$M3,L59, 'bid input'!$M3*L59/$M59)</f>
        <v>0</v>
      </c>
      <c r="M80" s="13" t="n">
        <f aca="false">SUM(G80:L80)</f>
        <v>138882</v>
      </c>
    </row>
    <row collapsed="false" customFormat="false" customHeight="true" hidden="true" ht="14.1" outlineLevel="1" r="81">
      <c r="B81" s="0" t="n">
        <f aca="false">+B10</f>
        <v>1104154</v>
      </c>
      <c r="E81" s="17"/>
      <c r="F81" s="18"/>
      <c r="G81" s="31" t="n">
        <f aca="false">IF($M60&lt;'bid input'!$M4,G60, 'bid input'!$M4*G60/$M60)</f>
        <v>0</v>
      </c>
      <c r="H81" s="31" t="n">
        <f aca="false">IF($M60&lt;'bid input'!$M4,H60, 'bid input'!$M4*H60/$M60)</f>
        <v>0</v>
      </c>
      <c r="I81" s="31" t="n">
        <f aca="false">IF($M60&lt;'bid input'!$M4,I60, 'bid input'!$M4*I60/$M60)</f>
        <v>0</v>
      </c>
      <c r="J81" s="31" t="n">
        <f aca="false">IF($M60&lt;'bid input'!$M4,J60, 'bid input'!$M4*J60/$M60)</f>
        <v>0</v>
      </c>
      <c r="K81" s="31" t="n">
        <f aca="false">IF($M60&lt;'bid input'!$M4,K60, 'bid input'!$M4*K60/$M60)</f>
        <v>0</v>
      </c>
      <c r="L81" s="31" t="n">
        <f aca="false">IF($M60&lt;'bid input'!$M4,L60, 'bid input'!$M4*L60/$M60)</f>
        <v>0</v>
      </c>
      <c r="M81" s="13" t="n">
        <f aca="false">SUM(G81:L81)</f>
        <v>0</v>
      </c>
    </row>
    <row collapsed="false" customFormat="false" customHeight="true" hidden="true" ht="14.1" outlineLevel="1" r="82">
      <c r="B82" s="0" t="n">
        <f aca="false">+B11</f>
        <v>1104152</v>
      </c>
      <c r="E82" s="17"/>
      <c r="F82" s="18"/>
      <c r="G82" s="31" t="n">
        <f aca="false">IF($M61&lt;'bid input'!$M5,G61, 'bid input'!$M5*G61/$M61)</f>
        <v>0</v>
      </c>
      <c r="H82" s="31" t="n">
        <f aca="false">IF($M61&lt;'bid input'!$M5,H61, 'bid input'!$M5*H61/$M61)</f>
        <v>0</v>
      </c>
      <c r="I82" s="31" t="n">
        <f aca="false">IF($M61&lt;'bid input'!$M5,I61, 'bid input'!$M5*I61/$M61)</f>
        <v>0</v>
      </c>
      <c r="J82" s="31" t="n">
        <f aca="false">IF($M61&lt;'bid input'!$M5,J61, 'bid input'!$M5*J61/$M61)</f>
        <v>0</v>
      </c>
      <c r="K82" s="31" t="n">
        <f aca="false">IF($M61&lt;'bid input'!$M5,K61, 'bid input'!$M5*K61/$M61)</f>
        <v>0</v>
      </c>
      <c r="L82" s="31" t="n">
        <f aca="false">IF($M61&lt;'bid input'!$M5,L61, 'bid input'!$M5*L61/$M61)</f>
        <v>0</v>
      </c>
      <c r="M82" s="13" t="n">
        <f aca="false">SUM(G82:L82)</f>
        <v>0</v>
      </c>
    </row>
    <row collapsed="false" customFormat="false" customHeight="true" hidden="true" ht="14.1" outlineLevel="1" r="83">
      <c r="B83" s="0" t="n">
        <f aca="false">+B12</f>
        <v>1104136</v>
      </c>
      <c r="E83" s="17"/>
      <c r="F83" s="18"/>
      <c r="G83" s="31" t="n">
        <f aca="false">IF($M62&lt;'bid input'!$M6,G62, 'bid input'!$M6*G62/$M62)</f>
        <v>0</v>
      </c>
      <c r="H83" s="31" t="n">
        <f aca="false">IF($M62&lt;'bid input'!$M6,H62, 'bid input'!$M6*H62/$M62)</f>
        <v>0</v>
      </c>
      <c r="I83" s="31" t="n">
        <f aca="false">IF($M62&lt;'bid input'!$M6,I62, 'bid input'!$M6*I62/$M62)</f>
        <v>0</v>
      </c>
      <c r="J83" s="31" t="n">
        <f aca="false">IF($M62&lt;'bid input'!$M6,J62, 'bid input'!$M6*J62/$M62)</f>
        <v>0</v>
      </c>
      <c r="K83" s="31" t="n">
        <f aca="false">IF($M62&lt;'bid input'!$M6,K62, 'bid input'!$M6*K62/$M62)</f>
        <v>0</v>
      </c>
      <c r="L83" s="31" t="n">
        <f aca="false">IF($M62&lt;'bid input'!$M6,L62, 'bid input'!$M6*L62/$M62)</f>
        <v>0</v>
      </c>
      <c r="M83" s="13" t="n">
        <f aca="false">SUM(G83:L83)</f>
        <v>0</v>
      </c>
    </row>
    <row collapsed="false" customFormat="false" customHeight="true" hidden="true" ht="14.1" outlineLevel="1" r="84">
      <c r="B84" s="0" t="n">
        <f aca="false">+B13</f>
        <v>1104138</v>
      </c>
      <c r="E84" s="17"/>
      <c r="F84" s="18"/>
      <c r="G84" s="31" t="n">
        <f aca="false">IF($M63&lt;'bid input'!$M7,G63, 'bid input'!$M7*G63/$M63)</f>
        <v>0</v>
      </c>
      <c r="H84" s="31" t="n">
        <f aca="false">IF($M63&lt;'bid input'!$M7,H63, 'bid input'!$M7*H63/$M63)</f>
        <v>0</v>
      </c>
      <c r="I84" s="31" t="n">
        <f aca="false">IF($M63&lt;'bid input'!$M7,I63, 'bid input'!$M7*I63/$M63)</f>
        <v>0</v>
      </c>
      <c r="J84" s="31" t="n">
        <f aca="false">IF($M63&lt;'bid input'!$M7,J63, 'bid input'!$M7*J63/$M63)</f>
        <v>0</v>
      </c>
      <c r="K84" s="31" t="n">
        <f aca="false">IF($M63&lt;'bid input'!$M7,K63, 'bid input'!$M7*K63/$M63)</f>
        <v>0</v>
      </c>
      <c r="L84" s="31" t="n">
        <f aca="false">IF($M63&lt;'bid input'!$M7,L63, 'bid input'!$M7*L63/$M63)</f>
        <v>0</v>
      </c>
      <c r="M84" s="13" t="n">
        <f aca="false">SUM(G84:L84)</f>
        <v>0</v>
      </c>
    </row>
    <row collapsed="false" customFormat="false" customHeight="true" hidden="true" ht="14.1" outlineLevel="1" r="85">
      <c r="B85" s="0" t="n">
        <f aca="false">+B14</f>
        <v>1104139</v>
      </c>
      <c r="E85" s="17"/>
      <c r="F85" s="18"/>
      <c r="G85" s="31" t="n">
        <f aca="false">IF($M64&lt;'bid input'!$M8,G64, 'bid input'!$M8*G64/$M64)</f>
        <v>0</v>
      </c>
      <c r="H85" s="31" t="n">
        <f aca="false">IF($M64&lt;'bid input'!$M8,H64, 'bid input'!$M8*H64/$M64)</f>
        <v>0</v>
      </c>
      <c r="I85" s="31" t="n">
        <f aca="false">IF($M64&lt;'bid input'!$M8,I64, 'bid input'!$M8*I64/$M64)</f>
        <v>0</v>
      </c>
      <c r="J85" s="31" t="n">
        <f aca="false">IF($M64&lt;'bid input'!$M8,J64, 'bid input'!$M8*J64/$M64)</f>
        <v>0</v>
      </c>
      <c r="K85" s="31" t="n">
        <f aca="false">IF($M64&lt;'bid input'!$M8,K64, 'bid input'!$M8*K64/$M64)</f>
        <v>0</v>
      </c>
      <c r="L85" s="31" t="n">
        <f aca="false">IF($M64&lt;'bid input'!$M8,L64, 'bid input'!$M8*L64/$M64)</f>
        <v>0</v>
      </c>
      <c r="M85" s="13" t="n">
        <f aca="false">SUM(G85:L85)</f>
        <v>0</v>
      </c>
    </row>
    <row collapsed="false" customFormat="false" customHeight="true" hidden="true" ht="14.1" outlineLevel="1" r="86">
      <c r="B86" s="0" t="n">
        <f aca="false">+B15</f>
        <v>1104140</v>
      </c>
      <c r="E86" s="17"/>
      <c r="F86" s="18"/>
      <c r="G86" s="31" t="n">
        <f aca="false">IF($M65&lt;'bid input'!$M9,G65, 'bid input'!$M9*G65/$M65)</f>
        <v>0</v>
      </c>
      <c r="H86" s="31" t="n">
        <f aca="false">IF($M65&lt;'bid input'!$M9,H65, 'bid input'!$M9*H65/$M65)</f>
        <v>0</v>
      </c>
      <c r="I86" s="31" t="n">
        <f aca="false">IF($M65&lt;'bid input'!$M9,I65, 'bid input'!$M9*I65/$M65)</f>
        <v>0</v>
      </c>
      <c r="J86" s="31" t="n">
        <f aca="false">IF($M65&lt;'bid input'!$M9,J65, 'bid input'!$M9*J65/$M65)</f>
        <v>0</v>
      </c>
      <c r="K86" s="31" t="n">
        <f aca="false">IF($M65&lt;'bid input'!$M9,K65, 'bid input'!$M9*K65/$M65)</f>
        <v>0</v>
      </c>
      <c r="L86" s="31" t="n">
        <f aca="false">IF($M65&lt;'bid input'!$M9,L65, 'bid input'!$M9*L65/$M65)</f>
        <v>0</v>
      </c>
      <c r="M86" s="13" t="n">
        <f aca="false">SUM(G86:L86)</f>
        <v>0</v>
      </c>
    </row>
    <row collapsed="false" customFormat="false" customHeight="true" hidden="true" ht="14.1" outlineLevel="1" r="87">
      <c r="B87" s="0" t="n">
        <f aca="false">+B16</f>
        <v>1104141</v>
      </c>
      <c r="E87" s="17"/>
      <c r="F87" s="18"/>
      <c r="G87" s="31" t="n">
        <f aca="false">IF($M66&lt;'bid input'!$M10,G66, 'bid input'!$M10*G66/$M66)</f>
        <v>0</v>
      </c>
      <c r="H87" s="31" t="n">
        <f aca="false">IF($M66&lt;'bid input'!$M10,H66, 'bid input'!$M10*H66/$M66)</f>
        <v>0</v>
      </c>
      <c r="I87" s="31" t="n">
        <f aca="false">IF($M66&lt;'bid input'!$M10,I66, 'bid input'!$M10*I66/$M66)</f>
        <v>0</v>
      </c>
      <c r="J87" s="31" t="n">
        <f aca="false">IF($M66&lt;'bid input'!$M10,J66, 'bid input'!$M10*J66/$M66)</f>
        <v>0</v>
      </c>
      <c r="K87" s="31" t="n">
        <f aca="false">IF($M66&lt;'bid input'!$M10,K66, 'bid input'!$M10*K66/$M66)</f>
        <v>0</v>
      </c>
      <c r="L87" s="31" t="n">
        <f aca="false">IF($M66&lt;'bid input'!$M10,L66, 'bid input'!$M10*L66/$M66)</f>
        <v>0</v>
      </c>
      <c r="M87" s="13" t="n">
        <f aca="false">SUM(G87:L87)</f>
        <v>0</v>
      </c>
    </row>
    <row collapsed="false" customFormat="false" customHeight="true" hidden="true" ht="14.1" outlineLevel="1" r="88">
      <c r="B88" s="0" t="n">
        <f aca="false">+B17</f>
        <v>1104159</v>
      </c>
      <c r="E88" s="17"/>
      <c r="F88" s="18"/>
      <c r="G88" s="31" t="n">
        <f aca="false">IF($M67&lt;'bid input'!$M11,G67, 'bid input'!$M11*G67/$M67)</f>
        <v>63745</v>
      </c>
      <c r="H88" s="31" t="n">
        <f aca="false">IF($M67&lt;'bid input'!$M11,H67, 'bid input'!$M11*H67/$M67)</f>
        <v>0</v>
      </c>
      <c r="I88" s="31" t="n">
        <f aca="false">IF($M67&lt;'bid input'!$M11,I67, 'bid input'!$M11*I67/$M67)</f>
        <v>0</v>
      </c>
      <c r="J88" s="31" t="n">
        <f aca="false">IF($M67&lt;'bid input'!$M11,J67, 'bid input'!$M11*J67/$M67)</f>
        <v>0</v>
      </c>
      <c r="K88" s="31" t="n">
        <f aca="false">IF($M67&lt;'bid input'!$M11,K67, 'bid input'!$M11*K67/$M67)</f>
        <v>0</v>
      </c>
      <c r="L88" s="31" t="n">
        <f aca="false">IF($M67&lt;'bid input'!$M11,L67, 'bid input'!$M11*L67/$M67)</f>
        <v>0</v>
      </c>
      <c r="M88" s="13" t="n">
        <f aca="false">SUM(G88:L88)</f>
        <v>63745</v>
      </c>
    </row>
    <row collapsed="false" customFormat="false" customHeight="true" hidden="true" ht="14.1" outlineLevel="1" r="89">
      <c r="B89" s="0" t="n">
        <f aca="false">+B18</f>
        <v>1104161</v>
      </c>
      <c r="E89" s="17"/>
      <c r="F89" s="18"/>
      <c r="G89" s="31" t="n">
        <f aca="false">IF($M68&lt;'bid input'!$M12,G68, 'bid input'!$M12*G68/$M68)</f>
        <v>0</v>
      </c>
      <c r="H89" s="31" t="n">
        <f aca="false">IF($M68&lt;'bid input'!$M12,H68, 'bid input'!$M12*H68/$M68)</f>
        <v>0</v>
      </c>
      <c r="I89" s="31" t="n">
        <f aca="false">IF($M68&lt;'bid input'!$M12,I68, 'bid input'!$M12*I68/$M68)</f>
        <v>0</v>
      </c>
      <c r="J89" s="31" t="n">
        <f aca="false">IF($M68&lt;'bid input'!$M12,J68, 'bid input'!$M12*J68/$M68)</f>
        <v>105080</v>
      </c>
      <c r="K89" s="31" t="n">
        <f aca="false">IF($M68&lt;'bid input'!$M12,K68, 'bid input'!$M12*K68/$M68)</f>
        <v>0</v>
      </c>
      <c r="L89" s="31" t="n">
        <f aca="false">IF($M68&lt;'bid input'!$M12,L68, 'bid input'!$M12*L68/$M68)</f>
        <v>0</v>
      </c>
      <c r="M89" s="13" t="n">
        <f aca="false">SUM(G89:L89)</f>
        <v>105080</v>
      </c>
    </row>
    <row collapsed="false" customFormat="false" customHeight="true" hidden="true" ht="14.1" outlineLevel="1" r="90">
      <c r="B90" s="0" t="n">
        <f aca="false">+B19</f>
        <v>1104145</v>
      </c>
      <c r="E90" s="17"/>
      <c r="F90" s="18"/>
      <c r="G90" s="31" t="n">
        <f aca="false">IF($M69&lt;'bid input'!$M13,G69, 'bid input'!$M13*G69/$M69)</f>
        <v>0</v>
      </c>
      <c r="H90" s="31" t="n">
        <f aca="false">IF($M69&lt;'bid input'!$M13,H69, 'bid input'!$M13*H69/$M69)</f>
        <v>0</v>
      </c>
      <c r="I90" s="31" t="n">
        <f aca="false">IF($M69&lt;'bid input'!$M13,I69, 'bid input'!$M13*I69/$M69)</f>
        <v>0</v>
      </c>
      <c r="J90" s="31" t="n">
        <f aca="false">IF($M69&lt;'bid input'!$M13,J69, 'bid input'!$M13*J69/$M69)</f>
        <v>0</v>
      </c>
      <c r="K90" s="31" t="n">
        <f aca="false">IF($M69&lt;'bid input'!$M13,K69, 'bid input'!$M13*K69/$M69)</f>
        <v>0</v>
      </c>
      <c r="L90" s="31" t="n">
        <f aca="false">IF($M69&lt;'bid input'!$M13,L69, 'bid input'!$M13*L69/$M69)</f>
        <v>0</v>
      </c>
      <c r="M90" s="13" t="n">
        <f aca="false">SUM(G90:L90)</f>
        <v>0</v>
      </c>
    </row>
    <row collapsed="false" customFormat="false" customHeight="true" hidden="true" ht="14.1" outlineLevel="1" r="91">
      <c r="B91" s="0" t="n">
        <f aca="false">+B20</f>
        <v>1104133</v>
      </c>
      <c r="E91" s="17"/>
      <c r="F91" s="18"/>
      <c r="G91" s="31" t="n">
        <f aca="false">IF($M70&lt;'bid input'!$M14,G70, 'bid input'!$M14*G70/$M70)</f>
        <v>0</v>
      </c>
      <c r="H91" s="31" t="n">
        <f aca="false">IF($M70&lt;'bid input'!$M14,H70, 'bid input'!$M14*H70/$M70)</f>
        <v>0</v>
      </c>
      <c r="I91" s="31" t="n">
        <f aca="false">IF($M70&lt;'bid input'!$M14,I70, 'bid input'!$M14*I70/$M70)</f>
        <v>0</v>
      </c>
      <c r="J91" s="31" t="n">
        <f aca="false">IF($M70&lt;'bid input'!$M14,J70, 'bid input'!$M14*J70/$M70)</f>
        <v>0</v>
      </c>
      <c r="K91" s="31" t="n">
        <f aca="false">IF($M70&lt;'bid input'!$M14,K70, 'bid input'!$M14*K70/$M70)</f>
        <v>0</v>
      </c>
      <c r="L91" s="31" t="n">
        <f aca="false">IF($M70&lt;'bid input'!$M14,L70, 'bid input'!$M14*L70/$M70)</f>
        <v>0</v>
      </c>
      <c r="M91" s="13" t="n">
        <f aca="false">SUM(G91:L91)</f>
        <v>0</v>
      </c>
    </row>
    <row collapsed="false" customFormat="false" customHeight="true" hidden="true" ht="14.1" outlineLevel="1" r="92">
      <c r="B92" s="0" t="n">
        <f aca="false">+B21</f>
        <v>1104149</v>
      </c>
      <c r="E92" s="17"/>
      <c r="F92" s="18"/>
      <c r="G92" s="31" t="n">
        <f aca="false">IF($M71&lt;'bid input'!$M15,G71, 'bid input'!$M15*G71/$M71)</f>
        <v>0</v>
      </c>
      <c r="H92" s="31" t="n">
        <f aca="false">IF($M71&lt;'bid input'!$M15,H71, 'bid input'!$M15*H71/$M71)</f>
        <v>0</v>
      </c>
      <c r="I92" s="31" t="n">
        <f aca="false">IF($M71&lt;'bid input'!$M15,I71, 'bid input'!$M15*I71/$M71)</f>
        <v>0</v>
      </c>
      <c r="J92" s="31" t="n">
        <f aca="false">IF($M71&lt;'bid input'!$M15,J71, 'bid input'!$M15*J71/$M71)</f>
        <v>0</v>
      </c>
      <c r="K92" s="31" t="n">
        <f aca="false">IF($M71&lt;'bid input'!$M15,K71, 'bid input'!$M15*K71/$M71)</f>
        <v>47000</v>
      </c>
      <c r="L92" s="31" t="n">
        <f aca="false">IF($M71&lt;'bid input'!$M15,L71, 'bid input'!$M15*L71/$M71)</f>
        <v>0</v>
      </c>
      <c r="M92" s="13" t="n">
        <f aca="false">SUM(G92:L92)</f>
        <v>47000</v>
      </c>
    </row>
    <row collapsed="false" customFormat="false" customHeight="true" hidden="true" ht="14.1" outlineLevel="1" r="93">
      <c r="B93" s="0" t="n">
        <f aca="false">+B22</f>
        <v>1104151</v>
      </c>
      <c r="E93" s="17"/>
      <c r="F93" s="18"/>
      <c r="G93" s="31" t="n">
        <f aca="false">IF($M72&lt;'bid input'!$M16,G72, 'bid input'!$M16*G72/$M72)</f>
        <v>63745</v>
      </c>
      <c r="H93" s="31" t="n">
        <f aca="false">IF($M72&lt;'bid input'!$M16,H72, 'bid input'!$M16*H72/$M72)</f>
        <v>0</v>
      </c>
      <c r="I93" s="31" t="n">
        <f aca="false">IF($M72&lt;'bid input'!$M16,I72, 'bid input'!$M16*I72/$M72)</f>
        <v>0</v>
      </c>
      <c r="J93" s="31" t="n">
        <f aca="false">IF($M72&lt;'bid input'!$M16,J72, 'bid input'!$M16*J72/$M72)</f>
        <v>0</v>
      </c>
      <c r="K93" s="31" t="n">
        <f aca="false">IF($M72&lt;'bid input'!$M16,K72, 'bid input'!$M16*K72/$M72)</f>
        <v>0</v>
      </c>
      <c r="L93" s="31" t="n">
        <f aca="false">IF($M72&lt;'bid input'!$M16,L72, 'bid input'!$M16*L72/$M72)</f>
        <v>0</v>
      </c>
      <c r="M93" s="13" t="n">
        <f aca="false">SUM(G93:L93)</f>
        <v>63745</v>
      </c>
    </row>
    <row collapsed="false" customFormat="false" customHeight="true" hidden="true" ht="14.1" outlineLevel="1" r="94">
      <c r="B94" s="0" t="n">
        <f aca="false">+B23</f>
        <v>1104131</v>
      </c>
      <c r="E94" s="17"/>
      <c r="F94" s="18"/>
      <c r="G94" s="31" t="n">
        <f aca="false">IF($M73&lt;'bid input'!$M17,G73, 'bid input'!$M17*G73/$M73)</f>
        <v>0</v>
      </c>
      <c r="H94" s="31" t="n">
        <f aca="false">IF($M73&lt;'bid input'!$M17,H73, 'bid input'!$M17*H73/$M73)</f>
        <v>0</v>
      </c>
      <c r="I94" s="31" t="n">
        <f aca="false">IF($M73&lt;'bid input'!$M17,I73, 'bid input'!$M17*I73/$M73)</f>
        <v>0</v>
      </c>
      <c r="J94" s="31" t="n">
        <f aca="false">IF($M73&lt;'bid input'!$M17,J73, 'bid input'!$M17*J73/$M73)</f>
        <v>0</v>
      </c>
      <c r="K94" s="31" t="n">
        <f aca="false">IF($M73&lt;'bid input'!$M17,K73, 'bid input'!$M17*K73/$M73)</f>
        <v>0</v>
      </c>
      <c r="L94" s="31" t="n">
        <f aca="false">IF($M73&lt;'bid input'!$M17,L73, 'bid input'!$M17*L73/$M73)</f>
        <v>0</v>
      </c>
      <c r="M94" s="13" t="n">
        <f aca="false">SUM(G94:L94)</f>
        <v>0</v>
      </c>
    </row>
    <row collapsed="false" customFormat="false" customHeight="true" hidden="true" ht="14.1" outlineLevel="1" r="95">
      <c r="B95" s="0" t="n">
        <f aca="false">+B24</f>
        <v>1104155</v>
      </c>
      <c r="E95" s="17"/>
      <c r="F95" s="18"/>
      <c r="G95" s="31" t="n">
        <f aca="false">IF($M74&lt;'bid input'!$M18,G74, 'bid input'!$M18*G74/$M74)</f>
        <v>0</v>
      </c>
      <c r="H95" s="31" t="n">
        <f aca="false">IF($M74&lt;'bid input'!$M18,H74, 'bid input'!$M18*H74/$M74)</f>
        <v>0</v>
      </c>
      <c r="I95" s="31" t="n">
        <f aca="false">IF($M74&lt;'bid input'!$M18,I74, 'bid input'!$M18*I74/$M74)</f>
        <v>0</v>
      </c>
      <c r="J95" s="31" t="n">
        <f aca="false">IF($M74&lt;'bid input'!$M18,J74, 'bid input'!$M18*J74/$M74)</f>
        <v>0</v>
      </c>
      <c r="K95" s="31" t="n">
        <f aca="false">IF($M74&lt;'bid input'!$M18,K74, 'bid input'!$M18*K74/$M74)</f>
        <v>0</v>
      </c>
      <c r="L95" s="31" t="n">
        <f aca="false">IF($M74&lt;'bid input'!$M18,L74, 'bid input'!$M18*L74/$M74)</f>
        <v>0</v>
      </c>
      <c r="M95" s="13" t="n">
        <f aca="false">SUM(G95:L95)</f>
        <v>0</v>
      </c>
    </row>
    <row collapsed="false" customFormat="false" customHeight="true" hidden="true" ht="14.1" outlineLevel="1" r="96">
      <c r="B96" s="0" t="n">
        <f aca="false">+B25</f>
        <v>1104156</v>
      </c>
      <c r="E96" s="17"/>
      <c r="F96" s="18"/>
      <c r="G96" s="31" t="n">
        <f aca="false">IF($M75&lt;'bid input'!$M19,G75, 'bid input'!$M19*G75/$M75)</f>
        <v>0</v>
      </c>
      <c r="H96" s="31" t="n">
        <f aca="false">IF($M75&lt;'bid input'!$M19,H75, 'bid input'!$M19*H75/$M75)</f>
        <v>75137</v>
      </c>
      <c r="I96" s="31" t="n">
        <f aca="false">IF($M75&lt;'bid input'!$M19,I75, 'bid input'!$M19*I75/$M75)</f>
        <v>0</v>
      </c>
      <c r="J96" s="31" t="n">
        <f aca="false">IF($M75&lt;'bid input'!$M19,J75, 'bid input'!$M19*J75/$M75)</f>
        <v>0</v>
      </c>
      <c r="K96" s="31" t="n">
        <f aca="false">IF($M75&lt;'bid input'!$M19,K75, 'bid input'!$M19*K75/$M75)</f>
        <v>0</v>
      </c>
      <c r="L96" s="31" t="n">
        <f aca="false">IF($M75&lt;'bid input'!$M19,L75, 'bid input'!$M19*L75/$M75)</f>
        <v>0</v>
      </c>
      <c r="M96" s="13" t="n">
        <f aca="false">SUM(G96:L96)</f>
        <v>75137</v>
      </c>
    </row>
    <row collapsed="false" customFormat="false" customHeight="true" hidden="true" ht="14.1" outlineLevel="1" r="97">
      <c r="B97" s="0" t="n">
        <f aca="false">+B26</f>
        <v>1104157</v>
      </c>
      <c r="E97" s="17"/>
      <c r="F97" s="18"/>
      <c r="G97" s="31" t="n">
        <f aca="false">IF($M76&lt;'bid input'!$M20,G76, 'bid input'!$M20*G76/$M76)</f>
        <v>0</v>
      </c>
      <c r="H97" s="31" t="n">
        <f aca="false">IF($M76&lt;'bid input'!$M20,H76, 'bid input'!$M20*H76/$M76)</f>
        <v>0</v>
      </c>
      <c r="I97" s="31" t="n">
        <f aca="false">IF($M76&lt;'bid input'!$M20,I76, 'bid input'!$M20*I76/$M76)</f>
        <v>0</v>
      </c>
      <c r="J97" s="31" t="n">
        <f aca="false">IF($M76&lt;'bid input'!$M20,J76, 'bid input'!$M20*J76/$M76)</f>
        <v>0</v>
      </c>
      <c r="K97" s="31" t="n">
        <f aca="false">IF($M76&lt;'bid input'!$M20,K76, 'bid input'!$M20*K76/$M76)</f>
        <v>0</v>
      </c>
      <c r="L97" s="31" t="n">
        <f aca="false">IF($M76&lt;'bid input'!$M20,L76, 'bid input'!$M20*L76/$M76)</f>
        <v>0</v>
      </c>
      <c r="M97" s="13" t="n">
        <f aca="false">SUM(G97:L97)</f>
        <v>0</v>
      </c>
    </row>
    <row collapsed="false" customFormat="false" customHeight="true" hidden="true" ht="14.1" outlineLevel="1" r="98">
      <c r="B98" s="0" t="n">
        <f aca="false">+B27</f>
        <v>1104158</v>
      </c>
      <c r="E98" s="17"/>
      <c r="F98" s="18"/>
      <c r="G98" s="31" t="n">
        <f aca="false">IF($M77&lt;'bid input'!$M21,G77, 'bid input'!$M21*G77/$M77)</f>
        <v>0</v>
      </c>
      <c r="H98" s="31" t="n">
        <f aca="false">IF($M77&lt;'bid input'!$M21,H77, 'bid input'!$M21*H77/$M77)</f>
        <v>0</v>
      </c>
      <c r="I98" s="31" t="n">
        <f aca="false">IF($M77&lt;'bid input'!$M21,I77, 'bid input'!$M21*I77/$M77)</f>
        <v>0</v>
      </c>
      <c r="J98" s="31" t="n">
        <f aca="false">IF($M77&lt;'bid input'!$M21,J77, 'bid input'!$M21*J77/$M77)</f>
        <v>0</v>
      </c>
      <c r="K98" s="31" t="n">
        <f aca="false">IF($M77&lt;'bid input'!$M21,K77, 'bid input'!$M21*K77/$M77)</f>
        <v>0</v>
      </c>
      <c r="L98" s="31" t="n">
        <f aca="false">IF($M77&lt;'bid input'!$M21,L77, 'bid input'!$M21*L77/$M77)</f>
        <v>0</v>
      </c>
      <c r="M98" s="13" t="n">
        <f aca="false">SUM(G98:L98)</f>
        <v>0</v>
      </c>
    </row>
    <row collapsed="false" customFormat="false" customHeight="false" hidden="false" ht="14" outlineLevel="0" r="100">
      <c r="D100" s="21" t="s">
        <v>46</v>
      </c>
      <c r="E100" s="22"/>
      <c r="F100" s="22"/>
      <c r="G100" s="23" t="n">
        <f aca="false">SUM(G79:G99)</f>
        <v>191235</v>
      </c>
      <c r="H100" s="23" t="n">
        <f aca="false">SUM(H79:H99)</f>
        <v>150274</v>
      </c>
      <c r="I100" s="23" t="n">
        <f aca="false">SUM(I79:I99)</f>
        <v>0</v>
      </c>
      <c r="J100" s="23" t="n">
        <f aca="false">SUM(J79:J99)</f>
        <v>105080</v>
      </c>
      <c r="K100" s="23" t="n">
        <f aca="false">SUM(K79:K99)</f>
        <v>47000</v>
      </c>
      <c r="L100" s="23" t="n">
        <f aca="false">SUM(L79:L99)</f>
        <v>0</v>
      </c>
      <c r="M100" s="24" t="n">
        <f aca="false">SUM(G100:L100)</f>
        <v>493589</v>
      </c>
    </row>
    <row collapsed="false" customFormat="false" customHeight="false" hidden="false" ht="14" outlineLevel="0" r="101">
      <c r="D101" s="25" t="s">
        <v>40</v>
      </c>
      <c r="E101" s="26"/>
      <c r="F101" s="26"/>
      <c r="G101" s="27" t="inlineStr">
        <f aca="false">+G57</f>
        <is>
          <t/>
        </is>
      </c>
      <c r="H101" s="27" t="inlineStr">
        <f aca="false">+H57</f>
        <is>
          <t/>
        </is>
      </c>
      <c r="I101" s="27" t="inlineStr">
        <f aca="false">+I57</f>
        <is>
          <t/>
        </is>
      </c>
      <c r="J101" s="27" t="inlineStr">
        <f aca="false">+J57</f>
        <is>
          <t/>
        </is>
      </c>
      <c r="K101" s="27" t="inlineStr">
        <f aca="false">+K57</f>
        <is>
          <t/>
        </is>
      </c>
      <c r="L101" s="27" t="inlineStr">
        <f aca="false">+L57</f>
        <is>
          <t/>
        </is>
      </c>
      <c r="M101" s="28" t="n">
        <f aca="false">+IF(M100=0,0,SUMPRODUCT(G100:L100,G101:L101)/M100)</f>
        <v>0.035</v>
      </c>
    </row>
    <row collapsed="false" customFormat="false" customHeight="false" hidden="false" ht="14" outlineLevel="0" r="102">
      <c r="D102" s="32"/>
      <c r="E102" s="32"/>
      <c r="F102" s="32"/>
      <c r="G102" s="18"/>
      <c r="H102" s="18"/>
      <c r="I102" s="18"/>
      <c r="J102" s="18"/>
      <c r="K102" s="18"/>
      <c r="L102" s="18"/>
      <c r="M102" s="18"/>
    </row>
    <row collapsed="false" customFormat="false" customHeight="false" hidden="false" ht="14" outlineLevel="0" r="103">
      <c r="D103" s="0" t="s">
        <v>41</v>
      </c>
      <c r="G103" s="13" t="n">
        <f aca="false">+G53-G100</f>
        <v>31872.5</v>
      </c>
      <c r="H103" s="13" t="n">
        <f aca="false">+H53-H100</f>
        <v>225411</v>
      </c>
      <c r="I103" s="13" t="n">
        <f aca="false">+I53-I100</f>
        <v>383900</v>
      </c>
      <c r="J103" s="13" t="n">
        <f aca="false">+J53-J100</f>
        <v>105080</v>
      </c>
      <c r="K103" s="13" t="n">
        <f aca="false">+K53-K100</f>
        <v>291340</v>
      </c>
      <c r="L103" s="13" t="n">
        <f aca="false">+L53-L100</f>
        <v>485000</v>
      </c>
      <c r="M103" s="13" t="n">
        <f aca="false">+M53-M100</f>
        <v>1522603.5</v>
      </c>
    </row>
    <row collapsed="false" customFormat="false" customHeight="false" hidden="false" ht="14" outlineLevel="0" r="104">
      <c r="D104" s="0" t="s">
        <v>42</v>
      </c>
      <c r="G104" s="29" t="str">
        <f aca="false">+IF(G103=0,"NA",IF(G103&lt;0,"OVER","UNDER"))</f>
        <v>UNDER</v>
      </c>
      <c r="H104" s="29" t="str">
        <f aca="false">+IF(H103=0,"NA",IF(H103&lt;0,"OVER","UNDER"))</f>
        <v>UNDER</v>
      </c>
      <c r="I104" s="29" t="str">
        <f aca="false">+IF(I103=0,"NA",IF(I103&lt;0,"OVER","UNDER"))</f>
        <v>UNDER</v>
      </c>
      <c r="J104" s="29" t="str">
        <f aca="false">+IF(J103=0,"NA",IF(J103&lt;0,"OVER","UNDER"))</f>
        <v>UNDER</v>
      </c>
      <c r="K104" s="29" t="str">
        <f aca="false">+IF(K103=0,"NA",IF(K103&lt;0,"OVER","UNDER"))</f>
        <v>UNDER</v>
      </c>
      <c r="L104" s="29" t="str">
        <f aca="false">+IF(L103=0,"NA",IF(L103&lt;0,"OVER","UNDER"))</f>
        <v>UNDER</v>
      </c>
      <c r="M104" s="29" t="str">
        <f aca="false">+IF(M103=0,"NA",IF(M103&lt;0,"OVER","UNDER"))</f>
        <v>UNDER</v>
      </c>
    </row>
    <row collapsed="false" customFormat="false" customHeight="false" hidden="false" ht="14" outlineLevel="0" r="105">
      <c r="D105" s="32"/>
      <c r="E105" s="32"/>
      <c r="F105" s="32"/>
      <c r="G105" s="18"/>
      <c r="H105" s="18"/>
      <c r="I105" s="18"/>
      <c r="J105" s="18"/>
      <c r="K105" s="18"/>
      <c r="L105" s="18"/>
      <c r="M105" s="18"/>
    </row>
    <row collapsed="false" customFormat="false" customHeight="false" hidden="false" ht="14" outlineLevel="0" r="106">
      <c r="A106" s="0" t="s">
        <v>47</v>
      </c>
    </row>
    <row collapsed="false" customFormat="false" customHeight="false" hidden="false" ht="14" outlineLevel="0" r="107">
      <c r="D107" s="33" t="s">
        <v>48</v>
      </c>
      <c r="E107" s="34"/>
      <c r="F107" s="34"/>
      <c r="G107" s="35" t="n">
        <f aca="false">+G50+G100</f>
        <v>286852.5</v>
      </c>
      <c r="H107" s="35" t="n">
        <f aca="false">+H50+H100</f>
        <v>150274</v>
      </c>
      <c r="I107" s="35" t="n">
        <f aca="false">+I50+I100</f>
        <v>95975</v>
      </c>
      <c r="J107" s="35" t="n">
        <f aca="false">+J50+J100</f>
        <v>420320</v>
      </c>
      <c r="K107" s="35" t="n">
        <f aca="false">+K50+K100</f>
        <v>224085</v>
      </c>
      <c r="L107" s="35" t="n">
        <f aca="false">+L50+L100</f>
        <v>0</v>
      </c>
      <c r="M107" s="36" t="n">
        <f aca="false">+M50+M100</f>
        <v>1177506.5</v>
      </c>
    </row>
    <row collapsed="false" customFormat="false" customHeight="false" hidden="false" ht="14" outlineLevel="0" r="108">
      <c r="D108" s="37" t="s">
        <v>49</v>
      </c>
      <c r="E108" s="38"/>
      <c r="F108" s="38"/>
      <c r="G108" s="39" t="n">
        <f aca="false">+G107/G4</f>
        <v>0.9</v>
      </c>
      <c r="H108" s="39" t="n">
        <f aca="false">+H107/H4</f>
        <v>0.4</v>
      </c>
      <c r="I108" s="39" t="n">
        <f aca="false">+I107/I4</f>
        <v>0.2</v>
      </c>
      <c r="J108" s="39" t="n">
        <f aca="false">+J107/J4</f>
        <v>0.8</v>
      </c>
      <c r="K108" s="39" t="n">
        <f aca="false">+K107/K4</f>
        <v>0.434757724208178</v>
      </c>
      <c r="L108" s="39" t="n">
        <f aca="false">+L107/L4</f>
        <v>0</v>
      </c>
      <c r="M108" s="40"/>
    </row>
    <row collapsed="false" customFormat="false" customHeight="false" hidden="false" ht="14" outlineLevel="0" r="109">
      <c r="D109" s="41" t="s">
        <v>40</v>
      </c>
      <c r="E109" s="42"/>
      <c r="F109" s="42"/>
      <c r="G109" s="43" t="n">
        <f aca="false">+IF(ISERR(IF(ISERR((G50*G51)+(G100*G101))/(G100+G50),G101,((G50*G51)+(G100*G101))/(G100+G50))),0,IF(ISERR((G50*G51)+(G100*G101))/(G100+G50),G101,((G50*G51)+(G100*G101))/(G100+G50)))</f>
        <v>0.03</v>
      </c>
      <c r="H109" s="43" t="inlineStr">
        <f aca="false">+IF(ISERR(IF(ISERR((H50*H51)+(H100*H101))/(H100+H50),H101,((H50*H51)+(H100*H101))/(H100+H50))),0,IF(ISERR((H50*H51)+(H100*H101))/(H100+H50),H101,((H50*H51)+(H100*H101))/(H100+H50)))</f>
        <is>
          <t/>
        </is>
      </c>
      <c r="I109" s="43" t="n">
        <f aca="false">+IF(ISERR(IF(ISERR((I50*I51)+(I100*I101))/(I100+I50),I101,((I50*I51)+(I100*I101))/(I100+I50))),0,IF(ISERR((I50*I51)+(I100*I101))/(I100+I50),I101,((I50*I51)+(I100*I101))/(I100+I50)))</f>
        <v>0.03</v>
      </c>
      <c r="J109" s="43" t="n">
        <f aca="false">+IF(ISERR(IF(ISERR((J50*J51)+(J100*J101))/(J100+J50),J101,((J50*J51)+(J100*J101))/(J100+J50))),0,IF(ISERR((J50*J51)+(J100*J101))/(J100+J50),J101,((J50*J51)+(J100*J101))/(J100+J50)))</f>
        <v>0.04125</v>
      </c>
      <c r="K109" s="43" t="n">
        <f aca="false">+IF(ISERR(IF(ISERR((K50*K51)+(K100*K101))/(K100+K50),K101,((K50*K51)+(K100*K101))/(K100+K50))),0,IF(ISERR((K50*K51)+(K100*K101))/(K100+K50),K101,((K50*K51)+(K100*K101))/(K100+K50)))</f>
        <v>0.0253723196554879</v>
      </c>
      <c r="L109" s="43" t="n">
        <f aca="false">+IF(ISERR(IF(ISERR((L50*L51)+(L100*L101))/(L100+L50),L101,((L50*L51)+(L100*L101))/(L100+L50))),0,IF(ISERR((L50*L51)+(L100*L101))/(L100+L50),L101,((L50*L51)+(L100*L101))/(L100+L50)))</f>
        <v>0</v>
      </c>
      <c r="M109" s="44" t="n">
        <f aca="false">+IF(ISERR(IF(ISERR((M50*M51)+(M100*M101))/(M100+M50),M101,((M50*M51)+(M100*M101))/(M100+M50))),0,IF(ISERR((M50*M51)+(M100*M101))/(M100+M50),M101,((M50*M51)+(M100*M101))/(M100+M50)))</f>
        <v>0.0337732074090461</v>
      </c>
    </row>
    <row collapsed="false" customFormat="false" customHeight="false" hidden="false" ht="14" outlineLevel="0" r="111">
      <c r="A111" s="0" t="s">
        <v>50</v>
      </c>
    </row>
    <row collapsed="false" customFormat="false" customHeight="false" hidden="true" ht="28.35" outlineLevel="1" r="112">
      <c r="B112" s="14" t="s">
        <v>35</v>
      </c>
      <c r="C112" s="15" t="s">
        <v>51</v>
      </c>
      <c r="D112" s="14" t="s">
        <v>38</v>
      </c>
      <c r="E112" s="14" t="s">
        <v>52</v>
      </c>
      <c r="F112" s="14"/>
      <c r="G112" s="45" t="s">
        <v>53</v>
      </c>
      <c r="I112" s="14" t="s">
        <v>54</v>
      </c>
      <c r="J112" s="45" t="s">
        <v>55</v>
      </c>
      <c r="K112" s="45" t="s">
        <v>56</v>
      </c>
      <c r="L112" s="45" t="s">
        <v>57</v>
      </c>
      <c r="M112" s="45" t="s">
        <v>58</v>
      </c>
      <c r="N112" s="45" t="s">
        <v>59</v>
      </c>
      <c r="O112" s="45" t="s">
        <v>38</v>
      </c>
      <c r="P112" s="45" t="s">
        <v>35</v>
      </c>
      <c r="Q112" s="46"/>
      <c r="R112" s="45" t="s">
        <v>60</v>
      </c>
      <c r="S112" s="45" t="s">
        <v>58</v>
      </c>
      <c r="T112" s="45" t="s">
        <v>38</v>
      </c>
      <c r="U112" s="45" t="s">
        <v>35</v>
      </c>
    </row>
    <row collapsed="false" customFormat="false" customHeight="false" hidden="true" ht="14" outlineLevel="1" r="113">
      <c r="B113" s="0" t="n">
        <f aca="false">+'bid input'!B2</f>
        <v>1104134</v>
      </c>
      <c r="C113" s="17" t="str">
        <f aca="false">+IF('bid input'!Q2=1,"Y","N")</f>
        <v>N</v>
      </c>
      <c r="D113" s="18" t="n">
        <f aca="false">+IF(C113="N",0,'bid input'!K2)</f>
        <v>0</v>
      </c>
      <c r="E113" s="13" t="n">
        <f aca="false">+MIN('bid input'!D2,'bid input'!M2)</f>
        <v>187500</v>
      </c>
      <c r="F113" s="47" t="n">
        <f aca="false">+IF(D113&gt;0,E113,0)</f>
        <v>0</v>
      </c>
      <c r="G113" s="48" t="n">
        <f aca="false">+IF($F113&gt;0,RANK($D113,$D$113:$D$132,1),0)</f>
        <v>0</v>
      </c>
      <c r="H113" s="49" t="n">
        <f aca="false">+IF(ISERROR(VLOOKUP(B113,$J$138:$K$157,2,0)),0,VLOOKUP(B113,$J$138:$K$157,2,0))</f>
        <v>0</v>
      </c>
      <c r="I113" s="49" t="n">
        <f aca="false">+IF(ISERROR(VLOOKUP(B113,$J$138:$K$157,2,0)),0,VLOOKUP(B113,$J$138:$K$157,2,0))</f>
        <v>0</v>
      </c>
      <c r="J113" s="50" t="n">
        <f aca="false">VLOOKUP(B113,'bid input'!B:S,18,0)</f>
        <v>40928.625</v>
      </c>
      <c r="K113" s="48" t="str">
        <f aca="false">IF(G113=0,"",G113)</f>
        <v/>
      </c>
      <c r="L113" s="48" t="n">
        <f aca="false">IF(ISERROR(RANK(K113,K$113:K$132,1)),0,RANK(K113,K$113:K$132,1))</f>
        <v>0</v>
      </c>
      <c r="M113" s="51" t="n">
        <f aca="false">VALUE(L113&amp;J113)</f>
        <v>40928.625</v>
      </c>
      <c r="N113" s="48" t="n">
        <f aca="false">IF(L113=0,0,COUNT(M$113:M$132)-(RANK(M113,M$113:M$132,0)+COUNTIF(M113:M$113,M113))+2)</f>
        <v>0</v>
      </c>
      <c r="O113" s="52" t="inlineStr">
        <f aca="false">D113</f>
        <is>
          <t/>
        </is>
      </c>
      <c r="P113" s="53" t="n">
        <f aca="false">B113</f>
        <v>1104134</v>
      </c>
      <c r="Q113" s="54"/>
      <c r="R113" s="1" t="n">
        <f aca="true">OFFSET(N$113,MATCH(SMALL(N$113:N$132,ROW()-ROW(R$113)+1),N$113:N$132,0)-1,0)</f>
        <v>0</v>
      </c>
      <c r="S113" s="1" t="n">
        <f aca="true">OFFSET(M$113,MATCH(SMALL(N$113:N$132,ROW()-ROW(R$113)+1),N$113:N$132,0)-1,0)</f>
        <v>40928.625</v>
      </c>
      <c r="T113" s="52" t="n">
        <f aca="false">VLOOKUP(S113,M$113:O$132,3,0)</f>
        <v>0</v>
      </c>
      <c r="U113" s="1" t="n">
        <f aca="false">VLOOKUP(S113,M$113:P$132,4,0)</f>
        <v>1104134</v>
      </c>
    </row>
    <row collapsed="false" customFormat="false" customHeight="false" hidden="true" ht="14" outlineLevel="1" r="114">
      <c r="B114" s="0" t="n">
        <f aca="false">+'bid input'!B3</f>
        <v>1104143</v>
      </c>
      <c r="C114" s="17" t="str">
        <f aca="false">+IF('bid input'!Q3=1,"Y","N")</f>
        <v>N</v>
      </c>
      <c r="D114" s="18" t="n">
        <f aca="false">+IF(C114="N",0,'bid input'!K3)</f>
        <v>0</v>
      </c>
      <c r="E114" s="13" t="n">
        <f aca="false">+MIN('bid input'!D3,'bid input'!M3)</f>
        <v>500000</v>
      </c>
      <c r="F114" s="47" t="n">
        <f aca="false">+IF(D114&gt;0,E114,0)</f>
        <v>0</v>
      </c>
      <c r="G114" s="48" t="n">
        <f aca="false">+IF($F114&gt;0,RANK($D114,$D$113:$D$132,1),0)</f>
        <v>0</v>
      </c>
      <c r="H114" s="49" t="n">
        <f aca="false">+IF(ISERROR(VLOOKUP(B114,$J$138:$K$157,2,0)),0,VLOOKUP(B114,$J$138:$K$157,2,0))</f>
        <v>0</v>
      </c>
      <c r="I114" s="49" t="n">
        <f aca="false">+IF(ISERROR(VLOOKUP(B114,$J$138:$K$157,2,0)),0,VLOOKUP(B114,$J$138:$K$157,2,0))</f>
        <v>0</v>
      </c>
      <c r="J114" s="50" t="n">
        <f aca="false">VLOOKUP(B114,'bid input'!B:S,18,0)</f>
        <v>40928.625</v>
      </c>
      <c r="K114" s="48" t="str">
        <f aca="false">IF(G114=0,"",G114)</f>
        <v/>
      </c>
      <c r="L114" s="48" t="n">
        <f aca="false">IF(ISERROR(RANK(K114,K$113:K$132,1)),0,RANK(K114,K$113:K$132,1))</f>
        <v>0</v>
      </c>
      <c r="M114" s="51" t="n">
        <f aca="false">VALUE(L114&amp;J114)</f>
        <v>40928.625</v>
      </c>
      <c r="N114" s="48" t="n">
        <f aca="false">IF(L114=0,0,COUNT(M$113:M$132)-(RANK(M114,M$113:M$132,0)+COUNTIF(M$113:M114,M114))+2)</f>
        <v>0</v>
      </c>
      <c r="O114" s="52" t="inlineStr">
        <f aca="false">D114</f>
        <is>
          <t/>
        </is>
      </c>
      <c r="P114" s="53" t="n">
        <f aca="false">B114</f>
        <v>1104143</v>
      </c>
      <c r="Q114" s="54"/>
      <c r="R114" s="1" t="n">
        <f aca="true">OFFSET(N$113,MATCH(SMALL(N$113:N$132,ROW()-ROW(R$113)+1),N$113:N$132,0)-1,0)</f>
        <v>0</v>
      </c>
      <c r="S114" s="1" t="n">
        <f aca="true">OFFSET(M$113,MATCH(SMALL(N$113:N$132,ROW()-ROW(R$113)+1),N$113:N$132,0)-1,0)</f>
        <v>40928.625</v>
      </c>
      <c r="T114" s="52" t="n">
        <f aca="false">VLOOKUP(S114,M$113:O$132,3,0)</f>
        <v>0</v>
      </c>
      <c r="U114" s="1" t="n">
        <f aca="false">VLOOKUP(S114,M$113:P$132,4,0)</f>
        <v>1104134</v>
      </c>
    </row>
    <row collapsed="false" customFormat="false" customHeight="false" hidden="true" ht="14" outlineLevel="1" r="115">
      <c r="B115" s="0" t="n">
        <f aca="false">+'bid input'!B4</f>
        <v>1104154</v>
      </c>
      <c r="C115" s="17" t="str">
        <f aca="false">+IF('bid input'!Q4=1,"Y","N")</f>
        <v>Y</v>
      </c>
      <c r="D115" s="18" t="inlineStr">
        <f aca="false">+IF(C115="N",0,'bid input'!K4)</f>
        <is>
          <t/>
        </is>
      </c>
      <c r="E115" s="13" t="n">
        <f aca="false">+MIN('bid input'!D4,'bid input'!M4)</f>
        <v>185000</v>
      </c>
      <c r="F115" s="47" t="n">
        <f aca="false">+IF(D115&gt;0,E115,0)</f>
        <v>185000</v>
      </c>
      <c r="G115" s="48" t="n">
        <f aca="false">+IF($F115&gt;0,RANK($D115,$D$113:$D$132,1),0)</f>
        <v>20</v>
      </c>
      <c r="H115" s="49" t="n">
        <f aca="false">+IF(ISERROR(VLOOKUP(B115,$J$138:$K$157,2,0)),0,VLOOKUP(B115,$J$138:$K$157,2,0))</f>
        <v>185000</v>
      </c>
      <c r="I115" s="49" t="n">
        <f aca="false">+IF(ISERROR(VLOOKUP(B115,$J$138:$K$157,2,0)),0,VLOOKUP(B115,$J$138:$K$157,2,0))</f>
        <v>185000</v>
      </c>
      <c r="J115" s="50" t="n">
        <f aca="false">VLOOKUP(B115,'bid input'!B:S,18,0)</f>
        <v>40928.625</v>
      </c>
      <c r="K115" s="48" t="n">
        <f aca="false">IF(G115=0,"",G115)</f>
        <v>20</v>
      </c>
      <c r="L115" s="48" t="n">
        <f aca="false">IF(ISERROR(RANK(K115,K$113:K$132,1)),0,RANK(K115,K$113:K$132,1))</f>
        <v>4</v>
      </c>
      <c r="M115" s="51" t="n">
        <f aca="false">VALUE(L115&amp;J115)</f>
        <v>440928.625</v>
      </c>
      <c r="N115" s="48" t="n">
        <f aca="false">IF(L115=0,0,COUNT(M$113:M$132)-(RANK(M115,M$113:M$132,0)+COUNTIF(M$113:M115,M115))+2)</f>
        <v>20</v>
      </c>
      <c r="O115" s="52" t="inlineStr">
        <f aca="false">D115</f>
        <is>
          <t/>
        </is>
      </c>
      <c r="P115" s="53" t="n">
        <f aca="false">B115</f>
        <v>1104154</v>
      </c>
      <c r="Q115" s="54"/>
      <c r="R115" s="1" t="n">
        <f aca="true">OFFSET(N$113,MATCH(SMALL(N$113:N$132,ROW()-ROW(R$113)+1),N$113:N$132,0)-1,0)</f>
        <v>0</v>
      </c>
      <c r="S115" s="1" t="n">
        <f aca="true">OFFSET(M$113,MATCH(SMALL(N$113:N$132,ROW()-ROW(R$113)+1),N$113:N$132,0)-1,0)</f>
        <v>40928.625</v>
      </c>
      <c r="T115" s="52" t="n">
        <f aca="false">VLOOKUP(S115,M$113:O$132,3,0)</f>
        <v>0</v>
      </c>
      <c r="U115" s="1" t="n">
        <f aca="false">VLOOKUP(S115,M$113:P$132,4,0)</f>
        <v>1104134</v>
      </c>
    </row>
    <row collapsed="false" customFormat="false" customHeight="false" hidden="true" ht="14" outlineLevel="1" r="116">
      <c r="B116" s="0" t="n">
        <f aca="false">+'bid input'!B5</f>
        <v>1104152</v>
      </c>
      <c r="C116" s="17" t="str">
        <f aca="false">+IF('bid input'!Q5=1,"Y","N")</f>
        <v>N</v>
      </c>
      <c r="D116" s="18" t="n">
        <f aca="false">+IF(C116="N",0,'bid input'!K5)</f>
        <v>0</v>
      </c>
      <c r="E116" s="13" t="n">
        <f aca="false">+MIN('bid input'!D5,'bid input'!M5)</f>
        <v>1500000</v>
      </c>
      <c r="F116" s="47" t="n">
        <f aca="false">+IF(D116&gt;0,E116,0)</f>
        <v>0</v>
      </c>
      <c r="G116" s="48" t="n">
        <f aca="false">+IF($F116&gt;0,RANK($D116,$D$113:$D$132,1),0)</f>
        <v>0</v>
      </c>
      <c r="H116" s="49" t="n">
        <f aca="false">+IF(ISERROR(VLOOKUP(B116,$J$138:$K$157,2,0)),0,VLOOKUP(B116,$J$138:$K$157,2,0))</f>
        <v>0</v>
      </c>
      <c r="I116" s="49" t="n">
        <f aca="false">+IF(ISERROR(VLOOKUP(B116,$J$138:$K$157,2,0)),0,VLOOKUP(B116,$J$138:$K$157,2,0))</f>
        <v>0</v>
      </c>
      <c r="J116" s="50" t="n">
        <f aca="false">VLOOKUP(B116,'bid input'!B:S,18,0)</f>
        <v>40928.625</v>
      </c>
      <c r="K116" s="48" t="str">
        <f aca="false">IF(G116=0,"",G116)</f>
        <v/>
      </c>
      <c r="L116" s="48" t="n">
        <f aca="false">IF(ISERROR(RANK(K116,K$113:K$132,1)),0,RANK(K116,K$113:K$132,1))</f>
        <v>0</v>
      </c>
      <c r="M116" s="51" t="n">
        <f aca="false">VALUE(L116&amp;J116)</f>
        <v>40928.625</v>
      </c>
      <c r="N116" s="48" t="n">
        <f aca="false">IF(L116=0,0,COUNT(M$113:M$132)-(RANK(M116,M$113:M$132,0)+COUNTIF(M$113:M116,M116))+2)</f>
        <v>0</v>
      </c>
      <c r="O116" s="52" t="inlineStr">
        <f aca="false">D116</f>
        <is>
          <t/>
        </is>
      </c>
      <c r="P116" s="53" t="n">
        <f aca="false">B116</f>
        <v>1104152</v>
      </c>
      <c r="Q116" s="54"/>
      <c r="R116" s="1" t="n">
        <f aca="true">OFFSET(N$113,MATCH(SMALL(N$113:N$132,ROW()-ROW(R$113)+1),N$113:N$132,0)-1,0)</f>
        <v>0</v>
      </c>
      <c r="S116" s="1" t="n">
        <f aca="true">OFFSET(M$113,MATCH(SMALL(N$113:N$132,ROW()-ROW(R$113)+1),N$113:N$132,0)-1,0)</f>
        <v>40928.625</v>
      </c>
      <c r="T116" s="52" t="n">
        <f aca="false">VLOOKUP(S116,M$113:O$132,3,0)</f>
        <v>0</v>
      </c>
      <c r="U116" s="1" t="n">
        <f aca="false">VLOOKUP(S116,M$113:P$132,4,0)</f>
        <v>1104134</v>
      </c>
    </row>
    <row collapsed="false" customFormat="false" customHeight="false" hidden="true" ht="14" outlineLevel="1" r="117">
      <c r="B117" s="0" t="n">
        <f aca="false">+'bid input'!B6</f>
        <v>1104136</v>
      </c>
      <c r="C117" s="17" t="str">
        <f aca="false">+IF('bid input'!Q6=1,"Y","N")</f>
        <v>N</v>
      </c>
      <c r="D117" s="18" t="n">
        <f aca="false">+IF(C117="N",0,'bid input'!K6)</f>
        <v>0</v>
      </c>
      <c r="E117" s="13" t="n">
        <f aca="false">+MIN('bid input'!D6,'bid input'!M6)</f>
        <v>860000</v>
      </c>
      <c r="F117" s="47" t="n">
        <f aca="false">+IF(D117&gt;0,E117,0)</f>
        <v>0</v>
      </c>
      <c r="G117" s="48" t="n">
        <f aca="false">+IF($F117&gt;0,RANK($D117,$D$113:$D$132,1),0)</f>
        <v>0</v>
      </c>
      <c r="H117" s="49" t="n">
        <f aca="false">+IF(ISERROR(VLOOKUP(B117,$J$138:$K$157,2,0)),0,VLOOKUP(B117,$J$138:$K$157,2,0))</f>
        <v>0</v>
      </c>
      <c r="I117" s="49" t="n">
        <f aca="false">+IF(ISERROR(VLOOKUP(B117,$J$138:$K$157,2,0)),0,VLOOKUP(B117,$J$138:$K$157,2,0))</f>
        <v>0</v>
      </c>
      <c r="J117" s="50" t="n">
        <f aca="false">VLOOKUP(B117,'bid input'!B:S,18,0)</f>
        <v>40928.7126388889</v>
      </c>
      <c r="K117" s="48" t="str">
        <f aca="false">IF(G117=0,"",G117)</f>
        <v/>
      </c>
      <c r="L117" s="48" t="n">
        <f aca="false">IF(ISERROR(RANK(K117,K$113:K$132,1)),0,RANK(K117,K$113:K$132,1))</f>
        <v>0</v>
      </c>
      <c r="M117" s="51" t="n">
        <f aca="false">VALUE(L117&amp;J117)</f>
        <v>40928.7126388889</v>
      </c>
      <c r="N117" s="48" t="n">
        <f aca="false">IF(L117=0,0,COUNT(M$113:M$132)-(RANK(M117,M$113:M$132,0)+COUNTIF(M$113:M117,M117))+2)</f>
        <v>0</v>
      </c>
      <c r="O117" s="52" t="inlineStr">
        <f aca="false">D117</f>
        <is>
          <t/>
        </is>
      </c>
      <c r="P117" s="53" t="n">
        <f aca="false">B117</f>
        <v>1104136</v>
      </c>
      <c r="Q117" s="54"/>
      <c r="R117" s="1" t="n">
        <f aca="true">OFFSET(N$113,MATCH(SMALL(N$113:N$132,ROW()-ROW(R$113)+1),N$113:N$132,0)-1,0)</f>
        <v>0</v>
      </c>
      <c r="S117" s="1" t="n">
        <f aca="true">OFFSET(M$113,MATCH(SMALL(N$113:N$132,ROW()-ROW(R$113)+1),N$113:N$132,0)-1,0)</f>
        <v>40928.625</v>
      </c>
      <c r="T117" s="52" t="n">
        <f aca="false">VLOOKUP(S117,M$113:O$132,3,0)</f>
        <v>0</v>
      </c>
      <c r="U117" s="1" t="n">
        <f aca="false">VLOOKUP(S117,M$113:P$132,4,0)</f>
        <v>1104134</v>
      </c>
    </row>
    <row collapsed="false" customFormat="false" customHeight="false" hidden="true" ht="14" outlineLevel="1" r="118">
      <c r="B118" s="0" t="n">
        <f aca="false">+'bid input'!B7</f>
        <v>1104138</v>
      </c>
      <c r="C118" s="17" t="str">
        <f aca="false">+IF('bid input'!Q7=1,"Y","N")</f>
        <v>Y</v>
      </c>
      <c r="D118" s="18" t="inlineStr">
        <f aca="false">+IF(C118="N",0,'bid input'!K7)</f>
        <is>
          <t/>
        </is>
      </c>
      <c r="E118" s="13" t="n">
        <f aca="false">+MIN('bid input'!D7,'bid input'!M7)</f>
        <v>300000</v>
      </c>
      <c r="F118" s="47" t="n">
        <f aca="false">+IF(D118&gt;0,E118,0)</f>
        <v>300000</v>
      </c>
      <c r="G118" s="48" t="n">
        <f aca="false">+IF($F118&gt;0,RANK($D118,$D$113:$D$132,1),0)</f>
        <v>17</v>
      </c>
      <c r="H118" s="49" t="n">
        <f aca="false">+IF(ISERROR(VLOOKUP(B118,$J$138:$K$157,2,0)),0,VLOOKUP(B118,$J$138:$K$157,2,0))</f>
        <v>300000</v>
      </c>
      <c r="I118" s="49" t="n">
        <f aca="false">+IF(ISERROR(VLOOKUP(B118,$J$138:$K$157,2,0)),0,VLOOKUP(B118,$J$138:$K$157,2,0))</f>
        <v>300000</v>
      </c>
      <c r="J118" s="50" t="n">
        <f aca="false">VLOOKUP(B118,'bid input'!B:S,18,0)</f>
        <v>40928.7726388889</v>
      </c>
      <c r="K118" s="48" t="n">
        <f aca="false">IF(G118=0,"",G118)</f>
        <v>17</v>
      </c>
      <c r="L118" s="48" t="n">
        <f aca="false">IF(ISERROR(RANK(K118,K$113:K$132,1)),0,RANK(K118,K$113:K$132,1))</f>
        <v>1</v>
      </c>
      <c r="M118" s="51" t="n">
        <f aca="false">VALUE(L118&amp;J118)</f>
        <v>140928.772638889</v>
      </c>
      <c r="N118" s="48" t="n">
        <f aca="false">IF(L118=0,0,COUNT(M$113:M$132)-(RANK(M118,M$113:M$132,0)+COUNTIF(M$113:M118,M118))+2)</f>
        <v>17</v>
      </c>
      <c r="O118" s="52" t="inlineStr">
        <f aca="false">D118</f>
        <is>
          <t/>
        </is>
      </c>
      <c r="P118" s="53" t="n">
        <f aca="false">B118</f>
        <v>1104138</v>
      </c>
      <c r="Q118" s="54"/>
      <c r="R118" s="1" t="n">
        <f aca="true">OFFSET(N$113,MATCH(SMALL(N$113:N$132,ROW()-ROW(R$113)+1),N$113:N$132,0)-1,0)</f>
        <v>0</v>
      </c>
      <c r="S118" s="1" t="n">
        <f aca="true">OFFSET(M$113,MATCH(SMALL(N$113:N$132,ROW()-ROW(R$113)+1),N$113:N$132,0)-1,0)</f>
        <v>40928.625</v>
      </c>
      <c r="T118" s="52" t="n">
        <f aca="false">VLOOKUP(S118,M$113:O$132,3,0)</f>
        <v>0</v>
      </c>
      <c r="U118" s="1" t="n">
        <f aca="false">VLOOKUP(S118,M$113:P$132,4,0)</f>
        <v>1104134</v>
      </c>
    </row>
    <row collapsed="false" customFormat="false" customHeight="false" hidden="true" ht="14" outlineLevel="1" r="119">
      <c r="B119" s="0" t="n">
        <f aca="false">+'bid input'!B8</f>
        <v>1104139</v>
      </c>
      <c r="C119" s="17" t="str">
        <f aca="false">+IF('bid input'!Q8=1,"Y","N")</f>
        <v>Y</v>
      </c>
      <c r="D119" s="18" t="inlineStr">
        <f aca="false">+IF(C119="N",0,'bid input'!K8)</f>
        <is>
          <t/>
        </is>
      </c>
      <c r="E119" s="13" t="n">
        <f aca="false">+MIN('bid input'!D8,'bid input'!M8)</f>
        <v>250000</v>
      </c>
      <c r="F119" s="47" t="n">
        <f aca="false">+IF(D119&gt;0,E119,0)</f>
        <v>250000</v>
      </c>
      <c r="G119" s="48" t="n">
        <f aca="false">+IF($F119&gt;0,RANK($D119,$D$113:$D$132,1),0)</f>
        <v>18</v>
      </c>
      <c r="H119" s="49" t="n">
        <f aca="false">+IF(ISERROR(VLOOKUP(B119,$J$138:$K$157,2,0)),0,VLOOKUP(B119,$J$138:$K$157,2,0))</f>
        <v>250000</v>
      </c>
      <c r="I119" s="49" t="n">
        <f aca="false">+IF(ISERROR(VLOOKUP(B119,$J$138:$K$157,2,0)),0,VLOOKUP(B119,$J$138:$K$157,2,0))</f>
        <v>250000</v>
      </c>
      <c r="J119" s="50" t="n">
        <f aca="false">VLOOKUP(B119,'bid input'!B:S,18,0)</f>
        <v>40928.8026388889</v>
      </c>
      <c r="K119" s="48" t="n">
        <f aca="false">IF(G119=0,"",G119)</f>
        <v>18</v>
      </c>
      <c r="L119" s="48" t="n">
        <f aca="false">IF(ISERROR(RANK(K119,K$113:K$132,1)),0,RANK(K119,K$113:K$132,1))</f>
        <v>2</v>
      </c>
      <c r="M119" s="51" t="n">
        <f aca="false">VALUE(L119&amp;J119)</f>
        <v>240928.802638889</v>
      </c>
      <c r="N119" s="48" t="n">
        <f aca="false">IF(L119=0,0,COUNT(M$113:M$132)-(RANK(M119,M$113:M$132,0)+COUNTIF(M$113:M119,M119))+2)</f>
        <v>18</v>
      </c>
      <c r="O119" s="52" t="inlineStr">
        <f aca="false">D119</f>
        <is>
          <t/>
        </is>
      </c>
      <c r="P119" s="53" t="n">
        <f aca="false">B119</f>
        <v>1104139</v>
      </c>
      <c r="Q119" s="54"/>
      <c r="R119" s="1" t="n">
        <f aca="true">OFFSET(N$113,MATCH(SMALL(N$113:N$132,ROW()-ROW(R$113)+1),N$113:N$132,0)-1,0)</f>
        <v>0</v>
      </c>
      <c r="S119" s="1" t="n">
        <f aca="true">OFFSET(M$113,MATCH(SMALL(N$113:N$132,ROW()-ROW(R$113)+1),N$113:N$132,0)-1,0)</f>
        <v>40928.625</v>
      </c>
      <c r="T119" s="52" t="n">
        <f aca="false">VLOOKUP(S119,M$113:O$132,3,0)</f>
        <v>0</v>
      </c>
      <c r="U119" s="1" t="n">
        <f aca="false">VLOOKUP(S119,M$113:P$132,4,0)</f>
        <v>1104134</v>
      </c>
    </row>
    <row collapsed="false" customFormat="false" customHeight="false" hidden="true" ht="14" outlineLevel="1" r="120">
      <c r="B120" s="0" t="n">
        <f aca="false">+'bid input'!B9</f>
        <v>1104140</v>
      </c>
      <c r="C120" s="17" t="str">
        <f aca="false">+IF('bid input'!Q9=1,"Y","N")</f>
        <v>N</v>
      </c>
      <c r="D120" s="18" t="n">
        <f aca="false">+IF(C120="N",0,'bid input'!K9)</f>
        <v>0</v>
      </c>
      <c r="E120" s="13" t="n">
        <f aca="false">+MIN('bid input'!D9,'bid input'!M9)</f>
        <v>74000</v>
      </c>
      <c r="F120" s="47" t="n">
        <f aca="false">+IF(D120&gt;0,E120,0)</f>
        <v>0</v>
      </c>
      <c r="G120" s="48" t="n">
        <f aca="false">+IF($F120&gt;0,RANK($D120,$D$113:$D$132,1),0)</f>
        <v>0</v>
      </c>
      <c r="H120" s="49" t="n">
        <f aca="false">+IF(ISERROR(VLOOKUP(B120,$J$138:$K$157,2,0)),0,VLOOKUP(B120,$J$138:$K$157,2,0))</f>
        <v>0</v>
      </c>
      <c r="I120" s="49" t="n">
        <f aca="false">+IF(ISERROR(VLOOKUP(B120,$J$138:$K$157,2,0)),0,VLOOKUP(B120,$J$138:$K$157,2,0))</f>
        <v>0</v>
      </c>
      <c r="J120" s="50" t="n">
        <f aca="false">VLOOKUP(B120,'bid input'!B:S,18,0)</f>
        <v>40928.8326388889</v>
      </c>
      <c r="K120" s="48" t="str">
        <f aca="false">IF(G120=0,"",G120)</f>
        <v/>
      </c>
      <c r="L120" s="48" t="n">
        <f aca="false">IF(ISERROR(RANK(K120,K$113:K$132,1)),0,RANK(K120,K$113:K$132,1))</f>
        <v>0</v>
      </c>
      <c r="M120" s="51" t="n">
        <f aca="false">VALUE(L120&amp;J120)</f>
        <v>40928.8326388889</v>
      </c>
      <c r="N120" s="48" t="n">
        <f aca="false">IF(L120=0,0,COUNT(M$113:M$132)-(RANK(M120,M$113:M$132,0)+COUNTIF(M$113:M120,M120))+2)</f>
        <v>0</v>
      </c>
      <c r="O120" s="52" t="inlineStr">
        <f aca="false">D120</f>
        <is>
          <t/>
        </is>
      </c>
      <c r="P120" s="53" t="n">
        <f aca="false">B120</f>
        <v>1104140</v>
      </c>
      <c r="Q120" s="54"/>
      <c r="R120" s="1" t="n">
        <f aca="true">OFFSET(N$113,MATCH(SMALL(N$113:N$132,ROW()-ROW(R$113)+1),N$113:N$132,0)-1,0)</f>
        <v>0</v>
      </c>
      <c r="S120" s="1" t="n">
        <f aca="true">OFFSET(M$113,MATCH(SMALL(N$113:N$132,ROW()-ROW(R$113)+1),N$113:N$132,0)-1,0)</f>
        <v>40928.625</v>
      </c>
      <c r="T120" s="52" t="n">
        <f aca="false">VLOOKUP(S120,M$113:O$132,3,0)</f>
        <v>0</v>
      </c>
      <c r="U120" s="1" t="n">
        <f aca="false">VLOOKUP(S120,M$113:P$132,4,0)</f>
        <v>1104134</v>
      </c>
    </row>
    <row collapsed="false" customFormat="false" customHeight="false" hidden="true" ht="14" outlineLevel="1" r="121">
      <c r="B121" s="0" t="n">
        <f aca="false">+'bid input'!B10</f>
        <v>1104141</v>
      </c>
      <c r="C121" s="17" t="str">
        <f aca="false">+IF('bid input'!Q10=1,"Y","N")</f>
        <v>Y</v>
      </c>
      <c r="D121" s="18" t="inlineStr">
        <f aca="false">+IF(C121="N",0,'bid input'!K10)</f>
        <is>
          <t/>
        </is>
      </c>
      <c r="E121" s="13" t="n">
        <f aca="false">+MIN('bid input'!D10,'bid input'!M10)</f>
        <v>285000</v>
      </c>
      <c r="F121" s="47" t="n">
        <f aca="false">+IF(D121&gt;0,E121,0)</f>
        <v>285000</v>
      </c>
      <c r="G121" s="48" t="n">
        <f aca="false">+IF($F121&gt;0,RANK($D121,$D$113:$D$132,1),0)</f>
        <v>19</v>
      </c>
      <c r="H121" s="49" t="n">
        <f aca="false">+IF(ISERROR(VLOOKUP(B121,$J$138:$K$157,2,0)),0,VLOOKUP(B121,$J$138:$K$157,2,0))</f>
        <v>285000</v>
      </c>
      <c r="I121" s="49" t="n">
        <f aca="false">+IF(ISERROR(VLOOKUP(B121,$J$138:$K$157,2,0)),0,VLOOKUP(B121,$J$138:$K$157,2,0))</f>
        <v>285000</v>
      </c>
      <c r="J121" s="50" t="n">
        <f aca="false">VLOOKUP(B121,'bid input'!B:S,18,0)</f>
        <v>40928.8626388889</v>
      </c>
      <c r="K121" s="48" t="n">
        <f aca="false">IF(G121=0,"",G121)</f>
        <v>19</v>
      </c>
      <c r="L121" s="48" t="n">
        <f aca="false">IF(ISERROR(RANK(K121,K$113:K$132,1)),0,RANK(K121,K$113:K$132,1))</f>
        <v>3</v>
      </c>
      <c r="M121" s="51" t="n">
        <f aca="false">VALUE(L121&amp;J121)</f>
        <v>340928.862638889</v>
      </c>
      <c r="N121" s="48" t="n">
        <f aca="false">IF(L121=0,0,COUNT(M$113:M$132)-(RANK(M121,M$113:M$132,0)+COUNTIF(M$113:M121,M121))+2)</f>
        <v>19</v>
      </c>
      <c r="O121" s="52" t="inlineStr">
        <f aca="false">D121</f>
        <is>
          <t/>
        </is>
      </c>
      <c r="P121" s="53" t="n">
        <f aca="false">B121</f>
        <v>1104141</v>
      </c>
      <c r="Q121" s="54"/>
      <c r="R121" s="1" t="n">
        <f aca="true">OFFSET(N$113,MATCH(SMALL(N$113:N$132,ROW()-ROW(R$113)+1),N$113:N$132,0)-1,0)</f>
        <v>0</v>
      </c>
      <c r="S121" s="1" t="n">
        <f aca="true">OFFSET(M$113,MATCH(SMALL(N$113:N$132,ROW()-ROW(R$113)+1),N$113:N$132,0)-1,0)</f>
        <v>40928.625</v>
      </c>
      <c r="T121" s="52" t="n">
        <f aca="false">VLOOKUP(S121,M$113:O$132,3,0)</f>
        <v>0</v>
      </c>
      <c r="U121" s="1" t="n">
        <f aca="false">VLOOKUP(S121,M$113:P$132,4,0)</f>
        <v>1104134</v>
      </c>
    </row>
    <row collapsed="false" customFormat="false" customHeight="false" hidden="true" ht="14" outlineLevel="1" r="122">
      <c r="B122" s="0" t="n">
        <f aca="false">+'bid input'!B11</f>
        <v>1104159</v>
      </c>
      <c r="C122" s="17" t="str">
        <f aca="false">+IF('bid input'!Q11=1,"Y","N")</f>
        <v>N</v>
      </c>
      <c r="D122" s="18" t="n">
        <f aca="false">+IF(C122="N",0,'bid input'!K11)</f>
        <v>0</v>
      </c>
      <c r="E122" s="13" t="n">
        <f aca="false">+MIN('bid input'!D11,'bid input'!M11)</f>
        <v>532000</v>
      </c>
      <c r="F122" s="47" t="n">
        <f aca="false">+IF(D122&gt;0,E122,0)</f>
        <v>0</v>
      </c>
      <c r="G122" s="48" t="n">
        <f aca="false">+IF($F122&gt;0,RANK($D122,$D$113:$D$132,1),0)</f>
        <v>0</v>
      </c>
      <c r="H122" s="49" t="n">
        <f aca="false">+IF(ISERROR(VLOOKUP(B122,$J$138:$K$157,2,0)),0,VLOOKUP(B122,$J$138:$K$157,2,0))</f>
        <v>0</v>
      </c>
      <c r="I122" s="49" t="n">
        <f aca="false">+IF(ISERROR(VLOOKUP(B122,$J$138:$K$157,2,0)),0,VLOOKUP(B122,$J$138:$K$157,2,0))</f>
        <v>0</v>
      </c>
      <c r="J122" s="50" t="n">
        <f aca="false">VLOOKUP(B122,'bid input'!B:S,18,0)</f>
        <v>40928.9026388889</v>
      </c>
      <c r="K122" s="48" t="str">
        <f aca="false">IF(G122=0,"",G122)</f>
        <v/>
      </c>
      <c r="L122" s="48" t="n">
        <f aca="false">IF(ISERROR(RANK(K122,K$113:K$132,1)),0,RANK(K122,K$113:K$132,1))</f>
        <v>0</v>
      </c>
      <c r="M122" s="51" t="n">
        <f aca="false">VALUE(L122&amp;J122)</f>
        <v>40928.9026388889</v>
      </c>
      <c r="N122" s="48" t="n">
        <f aca="false">IF(L122=0,0,COUNT(M$113:M$132)-(RANK(M122,M$113:M$132,0)+COUNTIF(M$113:M122,M122))+2)</f>
        <v>0</v>
      </c>
      <c r="O122" s="52" t="inlineStr">
        <f aca="false">D122</f>
        <is>
          <t/>
        </is>
      </c>
      <c r="P122" s="53" t="n">
        <f aca="false">B122</f>
        <v>1104159</v>
      </c>
      <c r="Q122" s="54"/>
      <c r="R122" s="1" t="n">
        <f aca="true">OFFSET(N$113,MATCH(SMALL(N$113:N$132,ROW()-ROW(R$113)+1),N$113:N$132,0)-1,0)</f>
        <v>0</v>
      </c>
      <c r="S122" s="55" t="n">
        <f aca="true">OFFSET(M$113,MATCH(SMALL(N$113:N$132,ROW()-ROW(R$113)+1),N$113:N$132,0)-1,0)</f>
        <v>40928.625</v>
      </c>
      <c r="T122" s="52" t="n">
        <f aca="false">VLOOKUP(S122,M$113:O$132,3,0)</f>
        <v>0</v>
      </c>
      <c r="U122" s="55" t="n">
        <f aca="false">VLOOKUP(S122,M$113:P$132,4,0)</f>
        <v>1104134</v>
      </c>
    </row>
    <row collapsed="false" customFormat="false" customHeight="false" hidden="true" ht="14" outlineLevel="1" r="123">
      <c r="B123" s="0" t="n">
        <f aca="false">+'bid input'!B12</f>
        <v>1104161</v>
      </c>
      <c r="C123" s="17" t="str">
        <f aca="false">+IF('bid input'!Q12=1,"Y","N")</f>
        <v>N</v>
      </c>
      <c r="D123" s="18" t="n">
        <f aca="false">+IF(C123="N",0,'bid input'!K12)</f>
        <v>0</v>
      </c>
      <c r="E123" s="13" t="n">
        <f aca="false">+MIN('bid input'!D12,'bid input'!M12)</f>
        <v>292000</v>
      </c>
      <c r="F123" s="47" t="n">
        <f aca="false">+IF(D123&gt;0,E123,0)</f>
        <v>0</v>
      </c>
      <c r="G123" s="48" t="n">
        <f aca="false">+IF($F123&gt;0,RANK($D123,$D$113:$D$132,1),0)</f>
        <v>0</v>
      </c>
      <c r="H123" s="49" t="n">
        <f aca="false">+IF(ISERROR(VLOOKUP(B123,$J$138:$K$157,2,0)),0,VLOOKUP(B123,$J$138:$K$157,2,0))</f>
        <v>0</v>
      </c>
      <c r="I123" s="49" t="n">
        <f aca="false">+IF(ISERROR(VLOOKUP(B123,$J$138:$K$157,2,0)),0,VLOOKUP(B123,$J$138:$K$157,2,0))</f>
        <v>0</v>
      </c>
      <c r="J123" s="50" t="n">
        <f aca="false">VLOOKUP(B123,'bid input'!B:S,18,0)</f>
        <v>40928.9626388889</v>
      </c>
      <c r="K123" s="48" t="str">
        <f aca="false">IF(G123=0,"",G123)</f>
        <v/>
      </c>
      <c r="L123" s="48" t="n">
        <f aca="false">IF(ISERROR(RANK(K123,K$113:K$132,1)),0,RANK(K123,K$113:K$132,1))</f>
        <v>0</v>
      </c>
      <c r="M123" s="51" t="n">
        <f aca="false">VALUE(L123&amp;J123)</f>
        <v>40928.9626388889</v>
      </c>
      <c r="N123" s="48" t="n">
        <f aca="false">IF(L123=0,0,COUNT(M$113:M$132)-(RANK(M123,M$113:M$132,0)+COUNTIF(M$113:M123,M123))+2)</f>
        <v>0</v>
      </c>
      <c r="O123" s="52" t="inlineStr">
        <f aca="false">D123</f>
        <is>
          <t/>
        </is>
      </c>
      <c r="P123" s="53" t="n">
        <f aca="false">B123</f>
        <v>1104161</v>
      </c>
      <c r="Q123" s="54"/>
      <c r="R123" s="1" t="n">
        <f aca="true">OFFSET(N$113,MATCH(SMALL(N$113:N$132,ROW()-ROW(R$113)+1),N$113:N$132,0)-1,0)</f>
        <v>0</v>
      </c>
      <c r="S123" s="55" t="n">
        <f aca="true">OFFSET(M$113,MATCH(SMALL(N$113:N$132,ROW()-ROW(R$113)+1),N$113:N$132,0)-1,0)</f>
        <v>40928.625</v>
      </c>
      <c r="T123" s="52" t="n">
        <f aca="false">VLOOKUP(S123,M$113:O$132,3,0)</f>
        <v>0</v>
      </c>
      <c r="U123" s="55" t="n">
        <f aca="false">VLOOKUP(S123,M$113:P$132,4,0)</f>
        <v>1104134</v>
      </c>
    </row>
    <row collapsed="false" customFormat="false" customHeight="false" hidden="true" ht="14" outlineLevel="1" r="124">
      <c r="B124" s="0" t="n">
        <f aca="false">+'bid input'!B13</f>
        <v>1104145</v>
      </c>
      <c r="C124" s="17" t="str">
        <f aca="false">+IF('bid input'!Q13=1,"Y","N")</f>
        <v>N</v>
      </c>
      <c r="D124" s="18" t="n">
        <f aca="false">+IF(C124="N",0,'bid input'!K13)</f>
        <v>0</v>
      </c>
      <c r="E124" s="13" t="n">
        <f aca="false">+MIN('bid input'!D13,'bid input'!M13)</f>
        <v>752000</v>
      </c>
      <c r="F124" s="47" t="n">
        <f aca="false">+IF(D124&gt;0,E124,0)</f>
        <v>0</v>
      </c>
      <c r="G124" s="48" t="n">
        <f aca="false">+IF($F124&gt;0,RANK($D124,$D$113:$D$132,1),0)</f>
        <v>0</v>
      </c>
      <c r="H124" s="49" t="n">
        <f aca="false">+IF(ISERROR(VLOOKUP(B124,$J$138:$K$157,2,0)),0,VLOOKUP(B124,$J$138:$K$157,2,0))</f>
        <v>0</v>
      </c>
      <c r="I124" s="49" t="n">
        <f aca="false">+IF(ISERROR(VLOOKUP(B124,$J$138:$K$157,2,0)),0,VLOOKUP(B124,$J$138:$K$157,2,0))</f>
        <v>0</v>
      </c>
      <c r="J124" s="50" t="n">
        <f aca="false">VLOOKUP(B124,'bid input'!B:S,18,0)</f>
        <v>40928.9826388889</v>
      </c>
      <c r="K124" s="48" t="str">
        <f aca="false">IF(G124=0,"",G124)</f>
        <v/>
      </c>
      <c r="L124" s="48" t="n">
        <f aca="false">IF(ISERROR(RANK(K124,K$113:K$132,1)),0,RANK(K124,K$113:K$132,1))</f>
        <v>0</v>
      </c>
      <c r="M124" s="51" t="n">
        <f aca="false">VALUE(L124&amp;J124)</f>
        <v>40928.9826388889</v>
      </c>
      <c r="N124" s="48" t="n">
        <f aca="false">IF(L124=0,0,COUNT(M$113:M$132)-(RANK(M124,M$113:M$132,0)+COUNTIF(M$113:M124,M124))+2)</f>
        <v>0</v>
      </c>
      <c r="O124" s="52" t="inlineStr">
        <f aca="false">D124</f>
        <is>
          <t/>
        </is>
      </c>
      <c r="P124" s="53" t="n">
        <f aca="false">B124</f>
        <v>1104145</v>
      </c>
      <c r="Q124" s="54"/>
      <c r="R124" s="1" t="n">
        <f aca="true">OFFSET(N$113,MATCH(SMALL(N$113:N$132,ROW()-ROW(R$113)+1),N$113:N$132,0)-1,0)</f>
        <v>0</v>
      </c>
      <c r="S124" s="55" t="n">
        <f aca="true">OFFSET(M$113,MATCH(SMALL(N$113:N$132,ROW()-ROW(R$113)+1),N$113:N$132,0)-1,0)</f>
        <v>40928.625</v>
      </c>
      <c r="T124" s="52" t="n">
        <f aca="false">VLOOKUP(S124,M$113:O$132,3,0)</f>
        <v>0</v>
      </c>
      <c r="U124" s="55" t="n">
        <f aca="false">VLOOKUP(S124,M$113:P$132,4,0)</f>
        <v>1104134</v>
      </c>
    </row>
    <row collapsed="false" customFormat="false" customHeight="false" hidden="true" ht="14" outlineLevel="1" r="125">
      <c r="B125" s="0" t="n">
        <f aca="false">+'bid input'!B14</f>
        <v>1104133</v>
      </c>
      <c r="C125" s="17" t="str">
        <f aca="false">+IF('bid input'!Q14=1,"Y","N")</f>
        <v>N</v>
      </c>
      <c r="D125" s="18" t="n">
        <f aca="false">+IF(C125="N",0,'bid input'!K14)</f>
        <v>0</v>
      </c>
      <c r="E125" s="13" t="n">
        <f aca="false">+MIN('bid input'!D14,'bid input'!M14)</f>
        <v>418000</v>
      </c>
      <c r="F125" s="47" t="n">
        <f aca="false">+IF(D125&gt;0,E125,0)</f>
        <v>0</v>
      </c>
      <c r="G125" s="48" t="n">
        <f aca="false">+IF($F125&gt;0,RANK($D125,$D$113:$D$132,1),0)</f>
        <v>0</v>
      </c>
      <c r="H125" s="49" t="n">
        <f aca="false">+IF(ISERROR(VLOOKUP(B125,$J$138:$K$157,2,0)),0,VLOOKUP(B125,$J$138:$K$157,2,0))</f>
        <v>0</v>
      </c>
      <c r="I125" s="49" t="n">
        <f aca="false">+IF(ISERROR(VLOOKUP(B125,$J$138:$K$157,2,0)),0,VLOOKUP(B125,$J$138:$K$157,2,0))</f>
        <v>0</v>
      </c>
      <c r="J125" s="50" t="n">
        <f aca="false">VLOOKUP(B125,'bid input'!B:S,18,0)</f>
        <v>40929.0993055556</v>
      </c>
      <c r="K125" s="48" t="str">
        <f aca="false">IF(G125=0,"",G125)</f>
        <v/>
      </c>
      <c r="L125" s="48" t="n">
        <f aca="false">IF(ISERROR(RANK(K125,K$113:K$132,1)),0,RANK(K125,K$113:K$132,1))</f>
        <v>0</v>
      </c>
      <c r="M125" s="51" t="n">
        <f aca="false">VALUE(L125&amp;J125)</f>
        <v>40929.0993055556</v>
      </c>
      <c r="N125" s="48" t="n">
        <f aca="false">IF(L125=0,0,COUNT(M$113:M$132)-(RANK(M125,M$113:M$132,0)+COUNTIF(M$113:M125,M125))+2)</f>
        <v>0</v>
      </c>
      <c r="O125" s="52" t="inlineStr">
        <f aca="false">D125</f>
        <is>
          <t/>
        </is>
      </c>
      <c r="P125" s="53" t="n">
        <f aca="false">B125</f>
        <v>1104133</v>
      </c>
      <c r="Q125" s="54"/>
      <c r="R125" s="1" t="n">
        <f aca="true">OFFSET(N$113,MATCH(SMALL(N$113:N$132,ROW()-ROW(R$113)+1),N$113:N$132,0)-1,0)</f>
        <v>0</v>
      </c>
      <c r="S125" s="55" t="n">
        <f aca="true">OFFSET(M$113,MATCH(SMALL(N$113:N$132,ROW()-ROW(R$113)+1),N$113:N$132,0)-1,0)</f>
        <v>40928.625</v>
      </c>
      <c r="T125" s="52" t="n">
        <f aca="false">VLOOKUP(S125,M$113:O$132,3,0)</f>
        <v>0</v>
      </c>
      <c r="U125" s="55" t="n">
        <f aca="false">VLOOKUP(S125,M$113:P$132,4,0)</f>
        <v>1104134</v>
      </c>
    </row>
    <row collapsed="false" customFormat="false" customHeight="false" hidden="true" ht="14" outlineLevel="1" r="126">
      <c r="B126" s="0" t="n">
        <f aca="false">+'bid input'!B15</f>
        <v>1104149</v>
      </c>
      <c r="C126" s="17" t="str">
        <f aca="false">+IF('bid input'!Q15=1,"Y","N")</f>
        <v>N</v>
      </c>
      <c r="D126" s="18" t="n">
        <f aca="false">+IF(C126="N",0,'bid input'!K15)</f>
        <v>0</v>
      </c>
      <c r="E126" s="13" t="n">
        <f aca="false">+MIN('bid input'!D15,'bid input'!M15)</f>
        <v>47000</v>
      </c>
      <c r="F126" s="47" t="n">
        <f aca="false">+IF(D126&gt;0,E126,0)</f>
        <v>0</v>
      </c>
      <c r="G126" s="48" t="n">
        <f aca="false">+IF($F126&gt;0,RANK($D126,$D$113:$D$132,1),0)</f>
        <v>0</v>
      </c>
      <c r="H126" s="49" t="n">
        <f aca="false">+IF(ISERROR(VLOOKUP(B126,$J$138:$K$157,2,0)),0,VLOOKUP(B126,$J$138:$K$157,2,0))</f>
        <v>0</v>
      </c>
      <c r="I126" s="49" t="n">
        <f aca="false">+IF(ISERROR(VLOOKUP(B126,$J$138:$K$157,2,0)),0,VLOOKUP(B126,$J$138:$K$157,2,0))</f>
        <v>0</v>
      </c>
      <c r="J126" s="50" t="n">
        <f aca="false">VLOOKUP(B126,'bid input'!B:S,18,0)</f>
        <v>40929.1026388889</v>
      </c>
      <c r="K126" s="48" t="str">
        <f aca="false">IF(G126=0,"",G126)</f>
        <v/>
      </c>
      <c r="L126" s="48" t="n">
        <f aca="false">IF(ISERROR(RANK(K126,K$113:K$132,1)),0,RANK(K126,K$113:K$132,1))</f>
        <v>0</v>
      </c>
      <c r="M126" s="51" t="n">
        <f aca="false">VALUE(L126&amp;J126)</f>
        <v>40929.1026388889</v>
      </c>
      <c r="N126" s="48" t="n">
        <f aca="false">IF(L126=0,0,COUNT(M$113:M$132)-(RANK(M126,M$113:M$132,0)+COUNTIF(M$113:M126,M126))+2)</f>
        <v>0</v>
      </c>
      <c r="O126" s="52" t="inlineStr">
        <f aca="false">D126</f>
        <is>
          <t/>
        </is>
      </c>
      <c r="P126" s="53" t="n">
        <f aca="false">B126</f>
        <v>1104149</v>
      </c>
      <c r="Q126" s="54"/>
      <c r="R126" s="1" t="n">
        <f aca="true">OFFSET(N$113,MATCH(SMALL(N$113:N$132,ROW()-ROW(R$113)+1),N$113:N$132,0)-1,0)</f>
        <v>0</v>
      </c>
      <c r="S126" s="55" t="n">
        <f aca="true">OFFSET(M$113,MATCH(SMALL(N$113:N$132,ROW()-ROW(R$113)+1),N$113:N$132,0)-1,0)</f>
        <v>40928.625</v>
      </c>
      <c r="T126" s="52" t="n">
        <f aca="false">VLOOKUP(S126,M$113:O$132,3,0)</f>
        <v>0</v>
      </c>
      <c r="U126" s="55" t="n">
        <f aca="false">VLOOKUP(S126,M$113:P$132,4,0)</f>
        <v>1104134</v>
      </c>
    </row>
    <row collapsed="false" customFormat="false" customHeight="false" hidden="true" ht="14" outlineLevel="1" r="127">
      <c r="B127" s="0" t="n">
        <f aca="false">+'bid input'!B16</f>
        <v>1104151</v>
      </c>
      <c r="C127" s="17" t="str">
        <f aca="false">+IF('bid input'!Q16=1,"Y","N")</f>
        <v>N</v>
      </c>
      <c r="D127" s="18" t="n">
        <f aca="false">+IF(C127="N",0,'bid input'!K16)</f>
        <v>0</v>
      </c>
      <c r="E127" s="13" t="n">
        <f aca="false">+MIN('bid input'!D16,'bid input'!M16)</f>
        <v>283000</v>
      </c>
      <c r="F127" s="47" t="n">
        <f aca="false">+IF(D127&gt;0,E127,0)</f>
        <v>0</v>
      </c>
      <c r="G127" s="48" t="n">
        <f aca="false">+IF($F127&gt;0,RANK($D127,$D$113:$D$132,1),0)</f>
        <v>0</v>
      </c>
      <c r="H127" s="49" t="n">
        <f aca="false">+IF(ISERROR(VLOOKUP(B127,$J$138:$K$157,2,0)),0,VLOOKUP(B127,$J$138:$K$157,2,0))</f>
        <v>0</v>
      </c>
      <c r="I127" s="49" t="n">
        <f aca="false">+IF(ISERROR(VLOOKUP(B127,$J$138:$K$157,2,0)),0,VLOOKUP(B127,$J$138:$K$157,2,0))</f>
        <v>0</v>
      </c>
      <c r="J127" s="50" t="n">
        <f aca="false">VLOOKUP(B127,'bid input'!B:S,18,0)</f>
        <v>40929.1626388889</v>
      </c>
      <c r="K127" s="48" t="str">
        <f aca="false">IF(G127=0,"",G127)</f>
        <v/>
      </c>
      <c r="L127" s="48" t="n">
        <f aca="false">IF(ISERROR(RANK(K127,K$113:K$132,1)),0,RANK(K127,K$113:K$132,1))</f>
        <v>0</v>
      </c>
      <c r="M127" s="51" t="n">
        <f aca="false">VALUE(L127&amp;J127)</f>
        <v>40929.1626388889</v>
      </c>
      <c r="N127" s="48" t="n">
        <f aca="false">IF(L127=0,0,COUNT(M$113:M$132)-(RANK(M127,M$113:M$132,0)+COUNTIF(M$113:M127,M127))+2)</f>
        <v>0</v>
      </c>
      <c r="O127" s="52" t="inlineStr">
        <f aca="false">D127</f>
        <is>
          <t/>
        </is>
      </c>
      <c r="P127" s="53" t="n">
        <f aca="false">B127</f>
        <v>1104151</v>
      </c>
      <c r="Q127" s="54"/>
      <c r="R127" s="1" t="n">
        <f aca="true">OFFSET(N$113,MATCH(SMALL(N$113:N$132,ROW()-ROW(R$113)+1),N$113:N$132,0)-1,0)</f>
        <v>0</v>
      </c>
      <c r="S127" s="55" t="n">
        <f aca="true">OFFSET(M$113,MATCH(SMALL(N$113:N$132,ROW()-ROW(R$113)+1),N$113:N$132,0)-1,0)</f>
        <v>40928.625</v>
      </c>
      <c r="T127" s="52" t="n">
        <f aca="false">VLOOKUP(S127,M$113:O$132,3,0)</f>
        <v>0</v>
      </c>
      <c r="U127" s="55" t="n">
        <f aca="false">VLOOKUP(S127,M$113:P$132,4,0)</f>
        <v>1104134</v>
      </c>
    </row>
    <row collapsed="false" customFormat="false" customHeight="false" hidden="true" ht="14" outlineLevel="1" r="128">
      <c r="B128" s="0" t="n">
        <f aca="false">+'bid input'!B17</f>
        <v>1104131</v>
      </c>
      <c r="C128" s="17" t="str">
        <f aca="false">+IF('bid input'!Q17=1,"Y","N")</f>
        <v>N</v>
      </c>
      <c r="D128" s="18" t="n">
        <f aca="false">+IF(C128="N",0,'bid input'!K17)</f>
        <v>0</v>
      </c>
      <c r="E128" s="13" t="n">
        <f aca="false">+MIN('bid input'!D17,'bid input'!M17)</f>
        <v>598000</v>
      </c>
      <c r="F128" s="47" t="n">
        <f aca="false">+IF(D128&gt;0,E128,0)</f>
        <v>0</v>
      </c>
      <c r="G128" s="48" t="n">
        <f aca="false">+IF($F128&gt;0,RANK($D128,$D$113:$D$132,1),0)</f>
        <v>0</v>
      </c>
      <c r="H128" s="49" t="n">
        <f aca="false">+IF(ISERROR(VLOOKUP(B128,$J$138:$K$157,2,0)),0,VLOOKUP(B128,$J$138:$K$157,2,0))</f>
        <v>0</v>
      </c>
      <c r="I128" s="49" t="n">
        <f aca="false">+IF(ISERROR(VLOOKUP(B128,$J$138:$K$157,2,0)),0,VLOOKUP(B128,$J$138:$K$157,2,0))</f>
        <v>0</v>
      </c>
      <c r="J128" s="50" t="n">
        <f aca="false">VLOOKUP(B128,'bid input'!B:S,18,0)</f>
        <v>40929.1926388889</v>
      </c>
      <c r="K128" s="48" t="str">
        <f aca="false">IF(G128=0,"",G128)</f>
        <v/>
      </c>
      <c r="L128" s="48" t="n">
        <f aca="false">IF(ISERROR(RANK(K128,K$113:K$132,1)),0,RANK(K128,K$113:K$132,1))</f>
        <v>0</v>
      </c>
      <c r="M128" s="51" t="n">
        <f aca="false">VALUE(L128&amp;J128)</f>
        <v>40929.1926388889</v>
      </c>
      <c r="N128" s="48" t="n">
        <f aca="false">IF(L128=0,0,COUNT(M$113:M$132)-(RANK(M128,M$113:M$132,0)+COUNTIF(M$113:M128,M128))+2)</f>
        <v>0</v>
      </c>
      <c r="O128" s="52" t="inlineStr">
        <f aca="false">D128</f>
        <is>
          <t/>
        </is>
      </c>
      <c r="P128" s="53" t="n">
        <f aca="false">B128</f>
        <v>1104131</v>
      </c>
      <c r="Q128" s="54"/>
      <c r="R128" s="1" t="n">
        <f aca="true">OFFSET(N$113,MATCH(SMALL(N$113:N$132,ROW()-ROW(R$113)+1),N$113:N$132,0)-1,0)</f>
        <v>0</v>
      </c>
      <c r="S128" s="55" t="n">
        <f aca="true">OFFSET(M$113,MATCH(SMALL(N$113:N$132,ROW()-ROW(R$113)+1),N$113:N$132,0)-1,0)</f>
        <v>40928.625</v>
      </c>
      <c r="T128" s="52" t="n">
        <f aca="false">VLOOKUP(S128,M$113:O$132,3,0)</f>
        <v>0</v>
      </c>
      <c r="U128" s="55" t="n">
        <f aca="false">VLOOKUP(S128,M$113:P$132,4,0)</f>
        <v>1104134</v>
      </c>
    </row>
    <row collapsed="false" customFormat="false" customHeight="false" hidden="true" ht="14" outlineLevel="1" r="129">
      <c r="B129" s="0" t="n">
        <f aca="false">+'bid input'!B18</f>
        <v>1104155</v>
      </c>
      <c r="C129" s="17" t="str">
        <f aca="false">+IF('bid input'!Q18=1,"Y","N")</f>
        <v>N</v>
      </c>
      <c r="D129" s="18" t="n">
        <f aca="false">+IF(C129="N",0,'bid input'!K18)</f>
        <v>0</v>
      </c>
      <c r="E129" s="13" t="n">
        <f aca="false">+MIN('bid input'!D18,'bid input'!M18)</f>
        <v>639000</v>
      </c>
      <c r="F129" s="47" t="n">
        <f aca="false">+IF(D129&gt;0,E129,0)</f>
        <v>0</v>
      </c>
      <c r="G129" s="48" t="n">
        <f aca="false">+IF($F129&gt;0,RANK($D129,$D$113:$D$132,1),0)</f>
        <v>0</v>
      </c>
      <c r="H129" s="49" t="n">
        <f aca="false">+IF(ISERROR(VLOOKUP(B129,$J$138:$K$157,2,0)),0,VLOOKUP(B129,$J$138:$K$157,2,0))</f>
        <v>0</v>
      </c>
      <c r="I129" s="49" t="n">
        <f aca="false">+IF(ISERROR(VLOOKUP(B129,$J$138:$K$157,2,0)),0,VLOOKUP(B129,$J$138:$K$157,2,0))</f>
        <v>0</v>
      </c>
      <c r="J129" s="50" t="n">
        <f aca="false">VLOOKUP(B129,'bid input'!B:S,18,0)</f>
        <v>40929.2826388889</v>
      </c>
      <c r="K129" s="48" t="str">
        <f aca="false">IF(G129=0,"",G129)</f>
        <v/>
      </c>
      <c r="L129" s="48" t="n">
        <f aca="false">IF(ISERROR(RANK(K129,K$113:K$132,1)),0,RANK(K129,K$113:K$132,1))</f>
        <v>0</v>
      </c>
      <c r="M129" s="51" t="n">
        <f aca="false">VALUE(L129&amp;J129)</f>
        <v>40929.2826388889</v>
      </c>
      <c r="N129" s="48" t="n">
        <f aca="false">IF(L129=0,0,COUNT(M$113:M$132)-(RANK(M129,M$113:M$132,0)+COUNTIF(M$113:M129,M129))+2)</f>
        <v>0</v>
      </c>
      <c r="O129" s="52" t="inlineStr">
        <f aca="false">D129</f>
        <is>
          <t/>
        </is>
      </c>
      <c r="P129" s="53" t="n">
        <f aca="false">B129</f>
        <v>1104155</v>
      </c>
      <c r="Q129" s="54"/>
      <c r="R129" s="1" t="n">
        <f aca="true">OFFSET(N$113,MATCH(SMALL(N$113:N$132,ROW()-ROW(R$113)+1),N$113:N$132,0)-1,0)</f>
        <v>17</v>
      </c>
      <c r="S129" s="55" t="n">
        <f aca="true">OFFSET(M$113,MATCH(SMALL(N$113:N$132,ROW()-ROW(R$113)+1),N$113:N$132,0)-1,0)</f>
        <v>140928.772638889</v>
      </c>
      <c r="T129" s="52" t="n">
        <f aca="false">VLOOKUP(S129,M$113:O$132,3,0)</f>
        <v>0.02125</v>
      </c>
      <c r="U129" s="55" t="n">
        <f aca="false">VLOOKUP(S129,M$113:P$132,4,0)</f>
        <v>1104138</v>
      </c>
    </row>
    <row collapsed="false" customFormat="false" customHeight="false" hidden="true" ht="14" outlineLevel="1" r="130">
      <c r="B130" s="0" t="n">
        <f aca="false">+'bid input'!B19</f>
        <v>1104156</v>
      </c>
      <c r="C130" s="17" t="str">
        <f aca="false">+IF('bid input'!Q19=1,"Y","N")</f>
        <v>N</v>
      </c>
      <c r="D130" s="18" t="n">
        <f aca="false">+IF(C130="N",0,'bid input'!K19)</f>
        <v>0</v>
      </c>
      <c r="E130" s="13" t="n">
        <f aca="false">+MIN('bid input'!D19,'bid input'!M19)</f>
        <v>274000</v>
      </c>
      <c r="F130" s="47" t="n">
        <f aca="false">+IF(D130&gt;0,E130,0)</f>
        <v>0</v>
      </c>
      <c r="G130" s="48" t="n">
        <f aca="false">+IF($F130&gt;0,RANK($D130,$D$113:$D$132,1),0)</f>
        <v>0</v>
      </c>
      <c r="H130" s="49" t="n">
        <f aca="false">+IF(ISERROR(VLOOKUP(B130,$J$138:$K$157,2,0)),0,VLOOKUP(B130,$J$138:$K$157,2,0))</f>
        <v>0</v>
      </c>
      <c r="I130" s="49" t="n">
        <f aca="false">+IF(ISERROR(VLOOKUP(B130,$J$138:$K$157,2,0)),0,VLOOKUP(B130,$J$138:$K$157,2,0))</f>
        <v>0</v>
      </c>
      <c r="J130" s="50" t="n">
        <f aca="false">VLOOKUP(B130,'bid input'!B:S,18,0)</f>
        <v>40929.3126388889</v>
      </c>
      <c r="K130" s="48" t="str">
        <f aca="false">IF(G130=0,"",G130)</f>
        <v/>
      </c>
      <c r="L130" s="48" t="n">
        <f aca="false">IF(ISERROR(RANK(K130,K$113:K$132,1)),0,RANK(K130,K$113:K$132,1))</f>
        <v>0</v>
      </c>
      <c r="M130" s="51" t="n">
        <f aca="false">VALUE(L130&amp;J130)</f>
        <v>40929.3126388889</v>
      </c>
      <c r="N130" s="48" t="n">
        <f aca="false">IF(L130=0,0,COUNT(M$113:M$132)-(RANK(M130,M$113:M$132,0)+COUNTIF(M$113:M130,M130))+2)</f>
        <v>0</v>
      </c>
      <c r="O130" s="52" t="inlineStr">
        <f aca="false">D130</f>
        <is>
          <t/>
        </is>
      </c>
      <c r="P130" s="53" t="n">
        <f aca="false">B130</f>
        <v>1104156</v>
      </c>
      <c r="Q130" s="54"/>
      <c r="R130" s="1" t="n">
        <f aca="true">OFFSET(N$113,MATCH(SMALL(N$113:N$132,ROW()-ROW(R$113)+1),N$113:N$132,0)-1,0)</f>
        <v>18</v>
      </c>
      <c r="S130" s="55" t="n">
        <f aca="true">OFFSET(M$113,MATCH(SMALL(N$113:N$132,ROW()-ROW(R$113)+1),N$113:N$132,0)-1,0)</f>
        <v>240928.802638889</v>
      </c>
      <c r="T130" s="52" t="n">
        <f aca="false">VLOOKUP(S130,M$113:O$132,3,0)</f>
        <v>0.0225</v>
      </c>
      <c r="U130" s="55" t="n">
        <f aca="false">VLOOKUP(S130,M$113:P$132,4,0)</f>
        <v>1104139</v>
      </c>
    </row>
    <row collapsed="false" customFormat="false" customHeight="false" hidden="true" ht="14" outlineLevel="1" r="131">
      <c r="B131" s="0" t="n">
        <f aca="false">+'bid input'!B20</f>
        <v>1104157</v>
      </c>
      <c r="C131" s="17" t="str">
        <f aca="false">+IF('bid input'!Q20=1,"Y","N")</f>
        <v>N</v>
      </c>
      <c r="D131" s="18" t="n">
        <f aca="false">+IF(C131="N",0,'bid input'!K20)</f>
        <v>0</v>
      </c>
      <c r="E131" s="13" t="n">
        <f aca="false">+MIN('bid input'!D20,'bid input'!M20)</f>
        <v>629000</v>
      </c>
      <c r="F131" s="47" t="n">
        <f aca="false">+IF(D131&gt;0,E131,0)</f>
        <v>0</v>
      </c>
      <c r="G131" s="48" t="n">
        <f aca="false">+IF($F131&gt;0,RANK($D131,$D$113:$D$132,1),0)</f>
        <v>0</v>
      </c>
      <c r="H131" s="49" t="n">
        <f aca="false">+IF(ISERROR(VLOOKUP(B131,$J$138:$K$157,2,0)),0,VLOOKUP(B131,$J$138:$K$157,2,0))</f>
        <v>0</v>
      </c>
      <c r="I131" s="49" t="n">
        <f aca="false">+IF(ISERROR(VLOOKUP(B131,$J$138:$K$157,2,0)),0,VLOOKUP(B131,$J$138:$K$157,2,0))</f>
        <v>0</v>
      </c>
      <c r="J131" s="50" t="n">
        <f aca="false">VLOOKUP(B131,'bid input'!B:S,18,0)</f>
        <v>40929.3426388889</v>
      </c>
      <c r="K131" s="48" t="str">
        <f aca="false">IF(G131=0,"",G131)</f>
        <v/>
      </c>
      <c r="L131" s="48" t="n">
        <f aca="false">IF(ISERROR(RANK(K131,K$113:K$132,1)),0,RANK(K131,K$113:K$132,1))</f>
        <v>0</v>
      </c>
      <c r="M131" s="51" t="n">
        <f aca="false">VALUE(L131&amp;J131)</f>
        <v>40929.3426388889</v>
      </c>
      <c r="N131" s="48" t="n">
        <f aca="false">IF(L131=0,0,COUNT(M$113:M$132)-(RANK(M131,M$113:M$132,0)+COUNTIF(M$113:M131,M131))+2)</f>
        <v>0</v>
      </c>
      <c r="O131" s="52" t="inlineStr">
        <f aca="false">D131</f>
        <is>
          <t/>
        </is>
      </c>
      <c r="P131" s="53" t="n">
        <f aca="false">B131</f>
        <v>1104157</v>
      </c>
      <c r="Q131" s="54"/>
      <c r="R131" s="1" t="n">
        <f aca="true">OFFSET(N$113,MATCH(SMALL(N$113:N$132,ROW()-ROW(R$113)+1),N$113:N$132,0)-1,0)</f>
        <v>19</v>
      </c>
      <c r="S131" s="55" t="n">
        <f aca="true">OFFSET(M$113,MATCH(SMALL(N$113:N$132,ROW()-ROW(R$113)+1),N$113:N$132,0)-1,0)</f>
        <v>340928.862638889</v>
      </c>
      <c r="T131" s="52" t="n">
        <f aca="false">VLOOKUP(S131,M$113:O$132,3,0)</f>
        <v>0.025</v>
      </c>
      <c r="U131" s="55" t="n">
        <f aca="false">VLOOKUP(S131,M$113:P$132,4,0)</f>
        <v>1104141</v>
      </c>
    </row>
    <row collapsed="false" customFormat="false" customHeight="false" hidden="true" ht="14" outlineLevel="1" r="132">
      <c r="B132" s="0" t="n">
        <f aca="false">+'bid input'!B21</f>
        <v>1104158</v>
      </c>
      <c r="C132" s="17" t="str">
        <f aca="false">+IF('bid input'!Q21=1,"Y","N")</f>
        <v>N</v>
      </c>
      <c r="D132" s="18" t="n">
        <f aca="false">+IF(C132="N",0,'bid input'!K21)</f>
        <v>0</v>
      </c>
      <c r="E132" s="13" t="n">
        <f aca="false">+MIN('bid input'!D21,'bid input'!M21)</f>
        <v>562000</v>
      </c>
      <c r="F132" s="47" t="n">
        <f aca="false">+IF(D132&gt;0,E132,0)</f>
        <v>0</v>
      </c>
      <c r="G132" s="48" t="n">
        <f aca="false">+IF($F132&gt;0,RANK($D132,$D$113:$D$132,1),0)</f>
        <v>0</v>
      </c>
      <c r="H132" s="49" t="n">
        <f aca="false">+IF(ISERROR(VLOOKUP(B132,$J$138:$K$157,2,0)),0,VLOOKUP(B132,$J$138:$K$157,2,0))</f>
        <v>0</v>
      </c>
      <c r="I132" s="49" t="n">
        <f aca="false">+IF(ISERROR(VLOOKUP(B132,$J$138:$K$157,2,0)),0,VLOOKUP(B132,$J$138:$K$157,2,0))</f>
        <v>0</v>
      </c>
      <c r="J132" s="50" t="n">
        <f aca="false">VLOOKUP(B132,'bid input'!B:S,18,0)</f>
        <v>40929.3726388889</v>
      </c>
      <c r="K132" s="48" t="str">
        <f aca="false">IF(G132=0,"",G132)</f>
        <v/>
      </c>
      <c r="L132" s="48" t="n">
        <f aca="false">IF(ISERROR(RANK(K132,K$113:K$132,1)),0,RANK(K132,K$113:K$132,1))</f>
        <v>0</v>
      </c>
      <c r="M132" s="51" t="n">
        <f aca="false">VALUE(L132&amp;J132)</f>
        <v>40929.3726388889</v>
      </c>
      <c r="N132" s="48" t="n">
        <f aca="false">IF(L132=0,0,COUNT(M$113:M$132)-(RANK(M132,M$113:M$132,0)+COUNTIF(M$113:M132,M132))+2)</f>
        <v>0</v>
      </c>
      <c r="O132" s="52" t="inlineStr">
        <f aca="false">D132</f>
        <is>
          <t/>
        </is>
      </c>
      <c r="P132" s="53" t="n">
        <f aca="false">B132</f>
        <v>1104158</v>
      </c>
      <c r="Q132" s="54"/>
      <c r="R132" s="1" t="n">
        <f aca="true">OFFSET(N$113,MATCH(SMALL(N$113:N$132,ROW()-ROW(R$113)+1),N$113:N$132,0)-1,0)</f>
        <v>20</v>
      </c>
      <c r="S132" s="55" t="n">
        <f aca="true">OFFSET(M$113,MATCH(SMALL(N$113:N$132,ROW()-ROW(R$113)+1),N$113:N$132,0)-1,0)</f>
        <v>440928.625</v>
      </c>
      <c r="T132" s="52" t="n">
        <f aca="false">VLOOKUP(S132,M$113:O$132,3,0)</f>
        <v>0.03</v>
      </c>
      <c r="U132" s="55" t="n">
        <f aca="false">VLOOKUP(S132,M$113:P$132,4,0)</f>
        <v>1104154</v>
      </c>
    </row>
    <row collapsed="false" customFormat="false" customHeight="false" hidden="true" ht="14" outlineLevel="1" r="133">
      <c r="B133" s="0" t="s">
        <v>61</v>
      </c>
      <c r="C133" s="0" t="n">
        <f aca="false">+COUNTIF(C113:C132,"Y")</f>
        <v>4</v>
      </c>
      <c r="D133" s="18" t="n">
        <f aca="false">+IF(ISERROR(SUMPRODUCT(E113:E132,D113:D132)/E133),0,SUMPRODUCT(E113:E132,D113:D132)/E133)</f>
        <v>0.0241911764705882</v>
      </c>
      <c r="E133" s="17" t="n">
        <f aca="false">+SUMIF(C113:C132,"Y",E113:E132)</f>
        <v>1020000</v>
      </c>
      <c r="F133" s="13"/>
      <c r="G133" s="13"/>
      <c r="H133" s="13"/>
      <c r="I133" s="49" t="n">
        <f aca="false">+IF(ISERROR(VLOOKUP(B133,$J$138:$K$157,2,0)),0,VLOOKUP(B133,$J$138:$K$157,2,0))</f>
        <v>0</v>
      </c>
      <c r="J133" s="13"/>
      <c r="K133" s="13"/>
      <c r="L133" s="13"/>
      <c r="P133" s="56"/>
    </row>
    <row collapsed="false" customFormat="false" customHeight="false" hidden="true" ht="14" outlineLevel="1" r="134">
      <c r="D134" s="57"/>
      <c r="I134" s="18" t="n">
        <f aca="false">+IF(ISERR(SUMPRODUCT(D113:D132,I113:I132)/I133),0,SUMPRODUCT(D113:D132,I113:I132)/I133)</f>
        <v>0</v>
      </c>
    </row>
    <row collapsed="false" customFormat="false" customHeight="false" hidden="true" ht="14" outlineLevel="1" r="135">
      <c r="B135" s="0" t="s">
        <v>62</v>
      </c>
      <c r="E135" s="17" t="n">
        <f aca="false">IF(M104="UNDER",+M103,0)</f>
        <v>1522603.5</v>
      </c>
      <c r="Q135" s="55"/>
      <c r="R135" s="55"/>
    </row>
    <row collapsed="false" customFormat="false" customHeight="false" hidden="true" ht="14" outlineLevel="1" r="136">
      <c r="B136" s="0" t="s">
        <v>63</v>
      </c>
      <c r="H136" s="1" t="s">
        <v>64</v>
      </c>
      <c r="I136" s="1" t="s">
        <v>65</v>
      </c>
      <c r="J136" s="1" t="s">
        <v>66</v>
      </c>
      <c r="Q136" s="55"/>
      <c r="R136" s="55"/>
    </row>
    <row collapsed="false" customFormat="false" customHeight="false" hidden="true" ht="14" outlineLevel="1" r="137">
      <c r="E137" s="17"/>
      <c r="F137" s="13"/>
      <c r="H137" s="1"/>
      <c r="I137" s="58" t="n">
        <f aca="false">E135</f>
        <v>1522603.5</v>
      </c>
      <c r="J137" s="1"/>
      <c r="Q137" s="55"/>
      <c r="R137" s="55"/>
    </row>
    <row collapsed="false" customFormat="false" customHeight="false" hidden="true" ht="14" outlineLevel="1" r="138">
      <c r="E138" s="49"/>
      <c r="F138" s="17"/>
      <c r="G138" s="1" t="n">
        <v>1</v>
      </c>
      <c r="H138" s="59" t="n">
        <f aca="false">+IF(I137&gt;0,MIN(SUMIF($N$113:$N$132,G138,$E$113:$E$132),I137),0)</f>
        <v>0</v>
      </c>
      <c r="I138" s="58" t="n">
        <f aca="false">I137-H138</f>
        <v>1522603.5</v>
      </c>
      <c r="J138" s="1" t="str">
        <f aca="false">IF(ISERROR(VLOOKUP(G138,R$113:U$132,4,0)),"",VLOOKUP(G138,R$113:U$132,4,0))</f>
        <v/>
      </c>
      <c r="K138" s="13" t="n">
        <f aca="false">+H138</f>
        <v>0</v>
      </c>
      <c r="Q138" s="55"/>
      <c r="R138" s="55"/>
    </row>
    <row collapsed="false" customFormat="false" customHeight="false" hidden="true" ht="14" outlineLevel="1" r="139">
      <c r="E139" s="49"/>
      <c r="F139" s="17"/>
      <c r="G139" s="1" t="n">
        <f aca="false">1+G138</f>
        <v>2</v>
      </c>
      <c r="H139" s="59" t="n">
        <f aca="false">+IF(I138&gt;0,MIN(SUMIF($N$113:$N$132,G139,$E$113:$E$132),I138),0)</f>
        <v>0</v>
      </c>
      <c r="I139" s="58" t="n">
        <f aca="false">I138-H139</f>
        <v>1522603.5</v>
      </c>
      <c r="J139" s="1" t="str">
        <f aca="false">IF(ISERROR(VLOOKUP(G139,R$113:U$132,4,0)),"",VLOOKUP(G139,R$113:U$132,4,0))</f>
        <v/>
      </c>
      <c r="K139" s="13" t="n">
        <f aca="false">+H139</f>
        <v>0</v>
      </c>
      <c r="Q139" s="55"/>
      <c r="R139" s="55"/>
    </row>
    <row collapsed="false" customFormat="false" customHeight="false" hidden="true" ht="14" outlineLevel="1" r="140">
      <c r="E140" s="49"/>
      <c r="F140" s="17"/>
      <c r="G140" s="1" t="n">
        <f aca="false">1+G139</f>
        <v>3</v>
      </c>
      <c r="H140" s="59" t="n">
        <f aca="false">+IF(I139&gt;0,MIN(SUMIF($N$113:$N$132,G140,$E$113:$E$132),I139),0)</f>
        <v>0</v>
      </c>
      <c r="I140" s="58" t="n">
        <f aca="false">I139-H140</f>
        <v>1522603.5</v>
      </c>
      <c r="J140" s="1" t="str">
        <f aca="false">IF(ISERROR(VLOOKUP(G140,R$113:U$132,4,0)),"",VLOOKUP(G140,R$113:U$132,4,0))</f>
        <v/>
      </c>
      <c r="K140" s="13" t="n">
        <f aca="false">+H140</f>
        <v>0</v>
      </c>
      <c r="Q140" s="55"/>
      <c r="R140" s="55"/>
    </row>
    <row collapsed="false" customFormat="false" customHeight="false" hidden="true" ht="14" outlineLevel="1" r="141">
      <c r="E141" s="49"/>
      <c r="F141" s="17"/>
      <c r="G141" s="1" t="n">
        <f aca="false">1+G140</f>
        <v>4</v>
      </c>
      <c r="H141" s="59" t="n">
        <f aca="false">+IF(I140&gt;0,MIN(SUMIF($N$113:$N$132,G141,$E$113:$E$132),I140),0)</f>
        <v>0</v>
      </c>
      <c r="I141" s="58" t="n">
        <f aca="false">I140-H141</f>
        <v>1522603.5</v>
      </c>
      <c r="J141" s="1" t="str">
        <f aca="false">IF(ISERROR(VLOOKUP(G141,R$113:U$132,4,0)),"",VLOOKUP(G141,R$113:U$132,4,0))</f>
        <v/>
      </c>
      <c r="K141" s="13" t="n">
        <f aca="false">+H141</f>
        <v>0</v>
      </c>
      <c r="Q141" s="55"/>
      <c r="R141" s="55"/>
    </row>
    <row collapsed="false" customFormat="false" customHeight="false" hidden="true" ht="14" outlineLevel="1" r="142">
      <c r="E142" s="49"/>
      <c r="F142" s="17"/>
      <c r="G142" s="1" t="n">
        <f aca="false">1+G141</f>
        <v>5</v>
      </c>
      <c r="H142" s="59" t="n">
        <f aca="false">+IF(I141&gt;0,MIN(SUMIF($N$113:$N$132,G142,$E$113:$E$132),I141),0)</f>
        <v>0</v>
      </c>
      <c r="I142" s="58" t="n">
        <f aca="false">I141-H142</f>
        <v>1522603.5</v>
      </c>
      <c r="J142" s="1" t="str">
        <f aca="false">IF(ISERROR(VLOOKUP(G142,R$113:U$132,4,0)),"",VLOOKUP(G142,R$113:U$132,4,0))</f>
        <v/>
      </c>
      <c r="K142" s="13" t="n">
        <f aca="false">+H142</f>
        <v>0</v>
      </c>
      <c r="Q142" s="55"/>
      <c r="R142" s="55"/>
    </row>
    <row collapsed="false" customFormat="false" customHeight="false" hidden="true" ht="14" outlineLevel="1" r="143">
      <c r="E143" s="49"/>
      <c r="F143" s="17"/>
      <c r="G143" s="1" t="n">
        <f aca="false">1+G142</f>
        <v>6</v>
      </c>
      <c r="H143" s="59" t="n">
        <f aca="false">+IF(I142&gt;0,MIN(SUMIF($N$113:$N$132,G143,$E$113:$E$132),I142),0)</f>
        <v>0</v>
      </c>
      <c r="I143" s="58" t="n">
        <f aca="false">I142-H143</f>
        <v>1522603.5</v>
      </c>
      <c r="J143" s="1" t="str">
        <f aca="false">IF(ISERROR(VLOOKUP(G143,R$113:U$132,4,0)),"",VLOOKUP(G143,R$113:U$132,4,0))</f>
        <v/>
      </c>
      <c r="K143" s="13" t="n">
        <f aca="false">+H143</f>
        <v>0</v>
      </c>
      <c r="Q143" s="55"/>
      <c r="R143" s="55"/>
    </row>
    <row collapsed="false" customFormat="false" customHeight="false" hidden="true" ht="14" outlineLevel="1" r="144">
      <c r="E144" s="49"/>
      <c r="F144" s="17"/>
      <c r="G144" s="1" t="n">
        <f aca="false">1+G143</f>
        <v>7</v>
      </c>
      <c r="H144" s="59" t="n">
        <f aca="false">+IF(I143&gt;0,MIN(SUMIF($N$113:$N$132,G144,$E$113:$E$132),I143),0)</f>
        <v>0</v>
      </c>
      <c r="I144" s="58" t="n">
        <f aca="false">I143-H144</f>
        <v>1522603.5</v>
      </c>
      <c r="J144" s="1" t="str">
        <f aca="false">IF(ISERROR(VLOOKUP(G144,R$113:U$132,4,0)),"",VLOOKUP(G144,R$113:U$132,4,0))</f>
        <v/>
      </c>
      <c r="K144" s="13" t="n">
        <f aca="false">+H144</f>
        <v>0</v>
      </c>
      <c r="Q144" s="55"/>
      <c r="R144" s="55"/>
    </row>
    <row collapsed="false" customFormat="false" customHeight="false" hidden="true" ht="14" outlineLevel="1" r="145">
      <c r="E145" s="49"/>
      <c r="F145" s="17"/>
      <c r="G145" s="1" t="n">
        <f aca="false">1+G144</f>
        <v>8</v>
      </c>
      <c r="H145" s="59" t="n">
        <f aca="false">+IF(I144&gt;0,MIN(SUMIF($N$113:$N$132,G145,$E$113:$E$132),I144),0)</f>
        <v>0</v>
      </c>
      <c r="I145" s="58" t="n">
        <f aca="false">I144-H145</f>
        <v>1522603.5</v>
      </c>
      <c r="J145" s="1" t="str">
        <f aca="false">IF(ISERROR(VLOOKUP(G145,R$113:U$132,4,0)),"",VLOOKUP(G145,R$113:U$132,4,0))</f>
        <v/>
      </c>
      <c r="K145" s="13" t="n">
        <f aca="false">+H145</f>
        <v>0</v>
      </c>
      <c r="Q145" s="55"/>
      <c r="R145" s="55"/>
    </row>
    <row collapsed="false" customFormat="false" customHeight="false" hidden="true" ht="14" outlineLevel="1" r="146">
      <c r="E146" s="49"/>
      <c r="F146" s="17"/>
      <c r="G146" s="1" t="n">
        <f aca="false">1+G145</f>
        <v>9</v>
      </c>
      <c r="H146" s="59" t="n">
        <f aca="false">+IF(I145&gt;0,MIN(SUMIF($N$113:$N$132,G146,$E$113:$E$132),I145),0)</f>
        <v>0</v>
      </c>
      <c r="I146" s="58" t="n">
        <f aca="false">I145-H146</f>
        <v>1522603.5</v>
      </c>
      <c r="J146" s="1" t="str">
        <f aca="false">IF(ISERROR(VLOOKUP(G146,R$113:U$132,4,0)),"",VLOOKUP(G146,R$113:U$132,4,0))</f>
        <v/>
      </c>
      <c r="K146" s="13" t="n">
        <f aca="false">+H146</f>
        <v>0</v>
      </c>
    </row>
    <row collapsed="false" customFormat="false" customHeight="false" hidden="true" ht="14" outlineLevel="1" r="147">
      <c r="E147" s="49"/>
      <c r="F147" s="17"/>
      <c r="G147" s="1" t="n">
        <f aca="false">1+G146</f>
        <v>10</v>
      </c>
      <c r="H147" s="59" t="n">
        <f aca="false">+IF(I146&gt;0,MIN(SUMIF($N$113:$N$132,G147,$E$113:$E$132),I146),0)</f>
        <v>0</v>
      </c>
      <c r="I147" s="58" t="n">
        <f aca="false">I146-H147</f>
        <v>1522603.5</v>
      </c>
      <c r="J147" s="1" t="str">
        <f aca="false">IF(ISERROR(VLOOKUP(G147,R$113:U$132,4,0)),"",VLOOKUP(G147,R$113:U$132,4,0))</f>
        <v/>
      </c>
      <c r="K147" s="13" t="n">
        <f aca="false">+H147</f>
        <v>0</v>
      </c>
    </row>
    <row collapsed="false" customFormat="false" customHeight="false" hidden="true" ht="14" outlineLevel="1" r="148">
      <c r="E148" s="49"/>
      <c r="F148" s="17"/>
      <c r="G148" s="1" t="n">
        <f aca="false">1+G147</f>
        <v>11</v>
      </c>
      <c r="H148" s="59" t="n">
        <f aca="false">+IF(I147&gt;0,MIN(SUMIF($N$113:$N$132,G148,$E$113:$E$132),I147),0)</f>
        <v>0</v>
      </c>
      <c r="I148" s="58" t="n">
        <f aca="false">I147-H148</f>
        <v>1522603.5</v>
      </c>
      <c r="J148" s="1" t="str">
        <f aca="false">IF(ISERROR(VLOOKUP(G148,R$113:U$132,4,0)),"",VLOOKUP(G148,R$113:U$132,4,0))</f>
        <v/>
      </c>
      <c r="K148" s="13" t="n">
        <f aca="false">+H148</f>
        <v>0</v>
      </c>
    </row>
    <row collapsed="false" customFormat="false" customHeight="false" hidden="true" ht="14" outlineLevel="1" r="149">
      <c r="E149" s="49"/>
      <c r="F149" s="17"/>
      <c r="G149" s="1" t="n">
        <f aca="false">1+G148</f>
        <v>12</v>
      </c>
      <c r="H149" s="59" t="n">
        <f aca="false">+IF(I148&gt;0,MIN(SUMIF($N$113:$N$132,G149,$E$113:$E$132),I148),0)</f>
        <v>0</v>
      </c>
      <c r="I149" s="58" t="n">
        <f aca="false">I148-H149</f>
        <v>1522603.5</v>
      </c>
      <c r="J149" s="1" t="str">
        <f aca="false">IF(ISERROR(VLOOKUP(G149,R$113:U$132,4,0)),"",VLOOKUP(G149,R$113:U$132,4,0))</f>
        <v/>
      </c>
      <c r="K149" s="13" t="n">
        <f aca="false">+H149</f>
        <v>0</v>
      </c>
    </row>
    <row collapsed="false" customFormat="false" customHeight="false" hidden="true" ht="14" outlineLevel="1" r="150">
      <c r="E150" s="49"/>
      <c r="F150" s="17"/>
      <c r="G150" s="1" t="n">
        <f aca="false">1+G149</f>
        <v>13</v>
      </c>
      <c r="H150" s="59" t="n">
        <f aca="false">+IF(I149&gt;0,MIN(SUMIF($N$113:$N$132,G150,$E$113:$E$132),I149),0)</f>
        <v>0</v>
      </c>
      <c r="I150" s="58" t="n">
        <f aca="false">I149-H150</f>
        <v>1522603.5</v>
      </c>
      <c r="J150" s="1" t="str">
        <f aca="false">IF(ISERROR(VLOOKUP(G150,R$113:U$132,4,0)),"",VLOOKUP(G150,R$113:U$132,4,0))</f>
        <v/>
      </c>
      <c r="K150" s="13" t="n">
        <f aca="false">+H150</f>
        <v>0</v>
      </c>
    </row>
    <row collapsed="false" customFormat="false" customHeight="false" hidden="true" ht="14" outlineLevel="1" r="151">
      <c r="E151" s="49"/>
      <c r="F151" s="17"/>
      <c r="G151" s="1" t="n">
        <f aca="false">1+G150</f>
        <v>14</v>
      </c>
      <c r="H151" s="59" t="n">
        <f aca="false">+IF(I150&gt;0,MIN(SUMIF($N$113:$N$132,G151,$E$113:$E$132),I150),0)</f>
        <v>0</v>
      </c>
      <c r="I151" s="58" t="n">
        <f aca="false">I150-H151</f>
        <v>1522603.5</v>
      </c>
      <c r="J151" s="1" t="str">
        <f aca="false">IF(ISERROR(VLOOKUP(G151,R$113:U$132,4,0)),"",VLOOKUP(G151,R$113:U$132,4,0))</f>
        <v/>
      </c>
      <c r="K151" s="13" t="n">
        <f aca="false">+H151</f>
        <v>0</v>
      </c>
    </row>
    <row collapsed="false" customFormat="false" customHeight="false" hidden="true" ht="14" outlineLevel="1" r="152">
      <c r="E152" s="49"/>
      <c r="F152" s="17"/>
      <c r="G152" s="1" t="n">
        <f aca="false">1+G151</f>
        <v>15</v>
      </c>
      <c r="H152" s="59" t="n">
        <f aca="false">+IF(I151&gt;0,MIN(SUMIF($N$113:$N$132,G152,$E$113:$E$132),I151),0)</f>
        <v>0</v>
      </c>
      <c r="I152" s="58" t="n">
        <f aca="false">I151-H152</f>
        <v>1522603.5</v>
      </c>
      <c r="J152" s="1" t="str">
        <f aca="false">IF(ISERROR(VLOOKUP(G152,R$113:U$132,4,0)),"",VLOOKUP(G152,R$113:U$132,4,0))</f>
        <v/>
      </c>
      <c r="K152" s="13" t="n">
        <f aca="false">+H152</f>
        <v>0</v>
      </c>
    </row>
    <row collapsed="false" customFormat="false" customHeight="false" hidden="true" ht="14" outlineLevel="1" r="153">
      <c r="E153" s="49"/>
      <c r="F153" s="17"/>
      <c r="G153" s="1" t="n">
        <f aca="false">1+G152</f>
        <v>16</v>
      </c>
      <c r="H153" s="59" t="n">
        <f aca="false">+IF(I152&gt;0,MIN(SUMIF($N$113:$N$132,G153,$E$113:$E$132),I152),0)</f>
        <v>0</v>
      </c>
      <c r="I153" s="58" t="n">
        <f aca="false">I152-H153</f>
        <v>1522603.5</v>
      </c>
      <c r="J153" s="1" t="str">
        <f aca="false">IF(ISERROR(VLOOKUP(G153,R$113:U$132,4,0)),"",VLOOKUP(G153,R$113:U$132,4,0))</f>
        <v/>
      </c>
      <c r="K153" s="13" t="n">
        <f aca="false">+H153</f>
        <v>0</v>
      </c>
    </row>
    <row collapsed="false" customFormat="false" customHeight="false" hidden="true" ht="14" outlineLevel="1" r="154">
      <c r="E154" s="49"/>
      <c r="F154" s="17"/>
      <c r="G154" s="1" t="n">
        <f aca="false">1+G153</f>
        <v>17</v>
      </c>
      <c r="H154" s="59" t="n">
        <f aca="false">+IF(I153&gt;0,MIN(SUMIF($N$113:$N$132,G154,$E$113:$E$132),I153),0)</f>
        <v>300000</v>
      </c>
      <c r="I154" s="58" t="n">
        <f aca="false">I153-H154</f>
        <v>1222603.5</v>
      </c>
      <c r="J154" s="1" t="n">
        <f aca="false">IF(ISERROR(VLOOKUP(G154,R$113:U$132,4,0)),"",VLOOKUP(G154,R$113:U$132,4,0))</f>
        <v>1104138</v>
      </c>
      <c r="K154" s="13" t="n">
        <f aca="false">+H154</f>
        <v>300000</v>
      </c>
    </row>
    <row collapsed="false" customFormat="false" customHeight="false" hidden="true" ht="14" outlineLevel="1" r="155">
      <c r="E155" s="49"/>
      <c r="F155" s="17"/>
      <c r="G155" s="1" t="n">
        <f aca="false">1+G154</f>
        <v>18</v>
      </c>
      <c r="H155" s="59" t="n">
        <f aca="false">+IF(I154&gt;0,MIN(SUMIF($N$113:$N$132,G155,$E$113:$E$132),I154),0)</f>
        <v>250000</v>
      </c>
      <c r="I155" s="58" t="n">
        <f aca="false">I154-H155</f>
        <v>972603.5</v>
      </c>
      <c r="J155" s="1" t="n">
        <f aca="false">IF(ISERROR(VLOOKUP(G155,R$113:U$132,4,0)),"",VLOOKUP(G155,R$113:U$132,4,0))</f>
        <v>1104139</v>
      </c>
      <c r="K155" s="13" t="n">
        <f aca="false">+H155</f>
        <v>250000</v>
      </c>
    </row>
    <row collapsed="false" customFormat="false" customHeight="false" hidden="true" ht="14" outlineLevel="1" r="156">
      <c r="E156" s="49"/>
      <c r="F156" s="17"/>
      <c r="G156" s="1" t="n">
        <f aca="false">1+G155</f>
        <v>19</v>
      </c>
      <c r="H156" s="59" t="n">
        <f aca="false">+IF(I155&gt;0,MIN(SUMIF($N$113:$N$132,G156,$E$113:$E$132),I155),0)</f>
        <v>285000</v>
      </c>
      <c r="I156" s="58" t="n">
        <f aca="false">I155-H156</f>
        <v>687603.5</v>
      </c>
      <c r="J156" s="1" t="n">
        <f aca="false">IF(ISERROR(VLOOKUP(G156,R$113:U$132,4,0)),"",VLOOKUP(G156,R$113:U$132,4,0))</f>
        <v>1104141</v>
      </c>
      <c r="K156" s="13" t="n">
        <f aca="false">+H156</f>
        <v>285000</v>
      </c>
    </row>
    <row collapsed="false" customFormat="false" customHeight="false" hidden="true" ht="14" outlineLevel="1" r="157">
      <c r="E157" s="49"/>
      <c r="F157" s="17"/>
      <c r="G157" s="1" t="n">
        <f aca="false">1+G156</f>
        <v>20</v>
      </c>
      <c r="H157" s="59" t="n">
        <f aca="false">+IF(I156&gt;0,MIN(SUMIF($N$113:$N$132,G157,$E$113:$E$132),I156),0)</f>
        <v>185000</v>
      </c>
      <c r="I157" s="58" t="n">
        <f aca="false">I156-H157</f>
        <v>502603.5</v>
      </c>
      <c r="J157" s="1" t="n">
        <f aca="false">IF(ISERROR(VLOOKUP(G157,R$113:U$132,4,0)),"",VLOOKUP(G157,R$113:U$132,4,0))</f>
        <v>1104154</v>
      </c>
      <c r="K157" s="13" t="n">
        <f aca="false">+H157</f>
        <v>185000</v>
      </c>
    </row>
    <row collapsed="false" customFormat="false" customHeight="false" hidden="true" ht="14" outlineLevel="1" r="158">
      <c r="E158" s="17"/>
    </row>
    <row collapsed="false" customFormat="false" customHeight="false" hidden="true" ht="14" outlineLevel="1" r="159">
      <c r="E159" s="17"/>
      <c r="G159" s="13" t="n">
        <f aca="false">+G103</f>
        <v>31872.5</v>
      </c>
      <c r="H159" s="13" t="n">
        <f aca="false">+H103</f>
        <v>225411</v>
      </c>
      <c r="I159" s="13" t="n">
        <f aca="false">+I103</f>
        <v>383900</v>
      </c>
      <c r="J159" s="13" t="n">
        <f aca="false">+J103</f>
        <v>105080</v>
      </c>
      <c r="K159" s="13" t="n">
        <f aca="false">+K103</f>
        <v>291340</v>
      </c>
      <c r="L159" s="13" t="n">
        <f aca="false">+L103</f>
        <v>485000</v>
      </c>
      <c r="M159" s="13" t="n">
        <f aca="false">+M103</f>
        <v>1522603.5</v>
      </c>
    </row>
    <row collapsed="false" customFormat="false" customHeight="false" hidden="true" ht="14" outlineLevel="1" r="160">
      <c r="B160" s="14" t="s">
        <v>35</v>
      </c>
      <c r="C160" s="14" t="s">
        <v>38</v>
      </c>
      <c r="D160" s="14" t="s">
        <v>67</v>
      </c>
      <c r="E160" s="14" t="s">
        <v>68</v>
      </c>
    </row>
    <row collapsed="false" customFormat="false" customHeight="false" hidden="true" ht="14" outlineLevel="1" r="161">
      <c r="B161" s="0" t="n">
        <f aca="false">+B113</f>
        <v>1104134</v>
      </c>
      <c r="C161" s="60" t="inlineStr">
        <f aca="false">+D113</f>
        <is>
          <t/>
        </is>
      </c>
      <c r="D161" s="13" t="n">
        <f aca="false">+I113</f>
        <v>0</v>
      </c>
      <c r="E161" s="60" t="n">
        <f aca="false">+IF(D161&gt;0,C161+(SUMPRODUCT($G161:$L161,$G$183:$L$183)/$M161),0)</f>
        <v>0</v>
      </c>
      <c r="G161" s="49" t="n">
        <f aca="false">+G$159/$M$159*$D161</f>
        <v>0</v>
      </c>
      <c r="H161" s="49" t="n">
        <f aca="false">+H$159/$M$159*$D161</f>
        <v>0</v>
      </c>
      <c r="I161" s="49" t="n">
        <f aca="false">+I$159/$M$159*$D161</f>
        <v>0</v>
      </c>
      <c r="J161" s="49" t="n">
        <f aca="false">+J$159/$M$159*$D161</f>
        <v>0</v>
      </c>
      <c r="K161" s="49" t="n">
        <f aca="false">+K$159/$M$159*$D161</f>
        <v>0</v>
      </c>
      <c r="L161" s="49" t="n">
        <f aca="false">+L$159/$M$159*$D161</f>
        <v>0</v>
      </c>
      <c r="M161" s="13" t="n">
        <f aca="false">SUM(G161:L161)</f>
        <v>0</v>
      </c>
    </row>
    <row collapsed="false" customFormat="false" customHeight="false" hidden="true" ht="14" outlineLevel="1" r="162">
      <c r="B162" s="0" t="n">
        <f aca="false">+B114</f>
        <v>1104143</v>
      </c>
      <c r="C162" s="60" t="inlineStr">
        <f aca="false">+D114</f>
        <is>
          <t/>
        </is>
      </c>
      <c r="D162" s="13" t="n">
        <f aca="false">+I114</f>
        <v>0</v>
      </c>
      <c r="E162" s="60" t="n">
        <f aca="false">+IF(D162&gt;0,C162+(SUMPRODUCT($G162:$L162,$G$183:$L$183)/$M162),0)</f>
        <v>0</v>
      </c>
      <c r="G162" s="49" t="n">
        <f aca="false">+G$159/$M$159*$D162</f>
        <v>0</v>
      </c>
      <c r="H162" s="49" t="n">
        <f aca="false">+H$159/$M$159*$D162</f>
        <v>0</v>
      </c>
      <c r="I162" s="49" t="n">
        <f aca="false">+I$159/$M$159*$D162</f>
        <v>0</v>
      </c>
      <c r="J162" s="49" t="n">
        <f aca="false">+J$159/$M$159*$D162</f>
        <v>0</v>
      </c>
      <c r="K162" s="49" t="n">
        <f aca="false">+K$159/$M$159*$D162</f>
        <v>0</v>
      </c>
      <c r="L162" s="49" t="n">
        <f aca="false">+L$159/$M$159*$D162</f>
        <v>0</v>
      </c>
      <c r="M162" s="13" t="n">
        <f aca="false">SUM(G162:L162)</f>
        <v>0</v>
      </c>
    </row>
    <row collapsed="false" customFormat="false" customHeight="false" hidden="true" ht="14" outlineLevel="1" r="163">
      <c r="B163" s="0" t="n">
        <f aca="false">+B115</f>
        <v>1104154</v>
      </c>
      <c r="C163" s="60" t="inlineStr">
        <f aca="false">+D115</f>
        <is>
          <t/>
        </is>
      </c>
      <c r="D163" s="13" t="n">
        <f aca="false">+I115</f>
        <v>185000</v>
      </c>
      <c r="E163" s="60" t="inlineStr">
        <f aca="false">+IF(D163&gt;0,C163+(SUMPRODUCT($G163:$L163,$G$183:$L$183)/$M163),0)</f>
        <is>
          <t/>
        </is>
      </c>
      <c r="G163" s="49" t="n">
        <f aca="false">+G$159/$M$159*$D163</f>
        <v>3872.58567315785</v>
      </c>
      <c r="H163" s="49" t="n">
        <f aca="false">+H$159/$M$159*$D163</f>
        <v>27387.9805215212</v>
      </c>
      <c r="I163" s="49" t="n">
        <f aca="false">+I$159/$M$159*$D163</f>
        <v>46644.7765291489</v>
      </c>
      <c r="J163" s="49" t="n">
        <f aca="false">+J$159/$M$159*$D163</f>
        <v>12767.4736068845</v>
      </c>
      <c r="K163" s="49" t="n">
        <f aca="false">+K$159/$M$159*$D163</f>
        <v>35398.5131388441</v>
      </c>
      <c r="L163" s="49" t="n">
        <f aca="false">+L$159/$M$159*$D163</f>
        <v>58928.6705304434</v>
      </c>
      <c r="M163" s="13" t="n">
        <f aca="false">SUM(G163:L163)</f>
        <v>185000</v>
      </c>
    </row>
    <row collapsed="false" customFormat="false" customHeight="false" hidden="true" ht="14" outlineLevel="1" r="164">
      <c r="B164" s="0" t="n">
        <f aca="false">+B116</f>
        <v>1104152</v>
      </c>
      <c r="C164" s="60" t="inlineStr">
        <f aca="false">+D116</f>
        <is>
          <t/>
        </is>
      </c>
      <c r="D164" s="13" t="n">
        <f aca="false">+I116</f>
        <v>0</v>
      </c>
      <c r="E164" s="60" t="n">
        <f aca="false">+IF(D164&gt;0,C164+(SUMPRODUCT($G164:$L164,$G$183:$L$183)/$M164),0)</f>
        <v>0</v>
      </c>
      <c r="G164" s="49" t="n">
        <f aca="false">+G$159/$M$159*$D164</f>
        <v>0</v>
      </c>
      <c r="H164" s="49" t="n">
        <f aca="false">+H$159/$M$159*$D164</f>
        <v>0</v>
      </c>
      <c r="I164" s="49" t="n">
        <f aca="false">+I$159/$M$159*$D164</f>
        <v>0</v>
      </c>
      <c r="J164" s="49" t="n">
        <f aca="false">+J$159/$M$159*$D164</f>
        <v>0</v>
      </c>
      <c r="K164" s="49" t="n">
        <f aca="false">+K$159/$M$159*$D164</f>
        <v>0</v>
      </c>
      <c r="L164" s="49" t="n">
        <f aca="false">+L$159/$M$159*$D164</f>
        <v>0</v>
      </c>
      <c r="M164" s="13" t="n">
        <f aca="false">SUM(G164:L164)</f>
        <v>0</v>
      </c>
    </row>
    <row collapsed="false" customFormat="false" customHeight="false" hidden="true" ht="14" outlineLevel="1" r="165">
      <c r="B165" s="0" t="n">
        <f aca="false">+B117</f>
        <v>1104136</v>
      </c>
      <c r="C165" s="60" t="inlineStr">
        <f aca="false">+D117</f>
        <is>
          <t/>
        </is>
      </c>
      <c r="D165" s="13" t="n">
        <f aca="false">+I117</f>
        <v>0</v>
      </c>
      <c r="E165" s="60" t="n">
        <f aca="false">+IF(D165&gt;0,C165+(SUMPRODUCT($G165:$L165,$G$183:$L$183)/$M165),0)</f>
        <v>0</v>
      </c>
      <c r="G165" s="49" t="n">
        <f aca="false">+G$159/$M$159*$D165</f>
        <v>0</v>
      </c>
      <c r="H165" s="49" t="n">
        <f aca="false">+H$159/$M$159*$D165</f>
        <v>0</v>
      </c>
      <c r="I165" s="49" t="n">
        <f aca="false">+I$159/$M$159*$D165</f>
        <v>0</v>
      </c>
      <c r="J165" s="49" t="n">
        <f aca="false">+J$159/$M$159*$D165</f>
        <v>0</v>
      </c>
      <c r="K165" s="49" t="n">
        <f aca="false">+K$159/$M$159*$D165</f>
        <v>0</v>
      </c>
      <c r="L165" s="49" t="n">
        <f aca="false">+L$159/$M$159*$D165</f>
        <v>0</v>
      </c>
      <c r="M165" s="13" t="n">
        <f aca="false">SUM(G165:L165)</f>
        <v>0</v>
      </c>
    </row>
    <row collapsed="false" customFormat="false" customHeight="false" hidden="true" ht="14" outlineLevel="1" r="166">
      <c r="B166" s="0" t="n">
        <f aca="false">+B118</f>
        <v>1104138</v>
      </c>
      <c r="C166" s="60" t="inlineStr">
        <f aca="false">+D118</f>
        <is>
          <t/>
        </is>
      </c>
      <c r="D166" s="13" t="n">
        <f aca="false">+I118</f>
        <v>300000</v>
      </c>
      <c r="E166" s="60" t="inlineStr">
        <f aca="false">+IF(D166&gt;0,C166+(SUMPRODUCT($G166:$L166,$G$183:$L$183)/$M166),0)</f>
        <is>
          <t/>
        </is>
      </c>
      <c r="G166" s="49" t="n">
        <f aca="false">+G$159/$M$159*$D166</f>
        <v>6279.86865917489</v>
      </c>
      <c r="H166" s="49" t="n">
        <f aca="false">+H$159/$M$159*$D166</f>
        <v>44412.9413862506</v>
      </c>
      <c r="I166" s="49" t="n">
        <f aca="false">+I$159/$M$159*$D166</f>
        <v>75640.1781553766</v>
      </c>
      <c r="J166" s="49" t="n">
        <f aca="false">+J$159/$M$159*$D166</f>
        <v>20704.0112544073</v>
      </c>
      <c r="K166" s="49" t="n">
        <f aca="false">+K$159/$M$159*$D166</f>
        <v>57402.9942792066</v>
      </c>
      <c r="L166" s="49" t="n">
        <f aca="false">+L$159/$M$159*$D166</f>
        <v>95560.0062655839</v>
      </c>
      <c r="M166" s="13" t="n">
        <f aca="false">SUM(G166:L166)</f>
        <v>300000</v>
      </c>
    </row>
    <row collapsed="false" customFormat="false" customHeight="false" hidden="true" ht="14" outlineLevel="1" r="167">
      <c r="B167" s="0" t="n">
        <f aca="false">+B119</f>
        <v>1104139</v>
      </c>
      <c r="C167" s="60" t="inlineStr">
        <f aca="false">+D119</f>
        <is>
          <t/>
        </is>
      </c>
      <c r="D167" s="13" t="n">
        <f aca="false">+I119</f>
        <v>250000</v>
      </c>
      <c r="E167" s="60" t="inlineStr">
        <f aca="false">+IF(D167&gt;0,C167+(SUMPRODUCT($G167:$L167,$G$183:$L$183)/$M167),0)</f>
        <is>
          <t/>
        </is>
      </c>
      <c r="G167" s="49" t="n">
        <f aca="false">+G$159/$M$159*$D167</f>
        <v>5233.22388264574</v>
      </c>
      <c r="H167" s="49" t="n">
        <f aca="false">+H$159/$M$159*$D167</f>
        <v>37010.7844885422</v>
      </c>
      <c r="I167" s="49" t="n">
        <f aca="false">+I$159/$M$159*$D167</f>
        <v>63033.4817961472</v>
      </c>
      <c r="J167" s="49" t="n">
        <f aca="false">+J$159/$M$159*$D167</f>
        <v>17253.3427120061</v>
      </c>
      <c r="K167" s="49" t="n">
        <f aca="false">+K$159/$M$159*$D167</f>
        <v>47835.8285660055</v>
      </c>
      <c r="L167" s="49" t="n">
        <f aca="false">+L$159/$M$159*$D167</f>
        <v>79633.3385546533</v>
      </c>
      <c r="M167" s="13" t="n">
        <f aca="false">SUM(G167:L167)</f>
        <v>250000</v>
      </c>
    </row>
    <row collapsed="false" customFormat="false" customHeight="false" hidden="true" ht="14" outlineLevel="1" r="168">
      <c r="B168" s="0" t="n">
        <f aca="false">+B120</f>
        <v>1104140</v>
      </c>
      <c r="C168" s="60" t="inlineStr">
        <f aca="false">+D120</f>
        <is>
          <t/>
        </is>
      </c>
      <c r="D168" s="13" t="n">
        <f aca="false">+I120</f>
        <v>0</v>
      </c>
      <c r="E168" s="60" t="n">
        <f aca="false">+IF(D168&gt;0,C168+(SUMPRODUCT($G168:$L168,$G$183:$L$183)/$M168),0)</f>
        <v>0</v>
      </c>
      <c r="G168" s="49" t="n">
        <f aca="false">+G$159/$M$159*$D168</f>
        <v>0</v>
      </c>
      <c r="H168" s="49" t="n">
        <f aca="false">+H$159/$M$159*$D168</f>
        <v>0</v>
      </c>
      <c r="I168" s="49" t="n">
        <f aca="false">+I$159/$M$159*$D168</f>
        <v>0</v>
      </c>
      <c r="J168" s="49" t="n">
        <f aca="false">+J$159/$M$159*$D168</f>
        <v>0</v>
      </c>
      <c r="K168" s="49" t="n">
        <f aca="false">+K$159/$M$159*$D168</f>
        <v>0</v>
      </c>
      <c r="L168" s="49" t="n">
        <f aca="false">+L$159/$M$159*$D168</f>
        <v>0</v>
      </c>
      <c r="M168" s="13" t="n">
        <f aca="false">SUM(G168:L168)</f>
        <v>0</v>
      </c>
    </row>
    <row collapsed="false" customFormat="false" customHeight="false" hidden="true" ht="14" outlineLevel="1" r="169">
      <c r="B169" s="0" t="n">
        <f aca="false">+B121</f>
        <v>1104141</v>
      </c>
      <c r="C169" s="60" t="inlineStr">
        <f aca="false">+D121</f>
        <is>
          <t/>
        </is>
      </c>
      <c r="D169" s="13" t="n">
        <f aca="false">+I121</f>
        <v>285000</v>
      </c>
      <c r="E169" s="60" t="inlineStr">
        <f aca="false">+IF(D169&gt;0,C169+(SUMPRODUCT($G169:$L169,$G$183:$L$183)/$M169),0)</f>
        <is>
          <t/>
        </is>
      </c>
      <c r="G169" s="49" t="n">
        <f aca="false">+G$159/$M$159*$D169</f>
        <v>5965.87522621615</v>
      </c>
      <c r="H169" s="49" t="n">
        <f aca="false">+H$159/$M$159*$D169</f>
        <v>42192.2943169381</v>
      </c>
      <c r="I169" s="49" t="n">
        <f aca="false">+I$159/$M$159*$D169</f>
        <v>71858.1692476078</v>
      </c>
      <c r="J169" s="49" t="n">
        <f aca="false">+J$159/$M$159*$D169</f>
        <v>19668.810691687</v>
      </c>
      <c r="K169" s="49" t="n">
        <f aca="false">+K$159/$M$159*$D169</f>
        <v>54532.8445652463</v>
      </c>
      <c r="L169" s="49" t="n">
        <f aca="false">+L$159/$M$159*$D169</f>
        <v>90782.0059523047</v>
      </c>
      <c r="M169" s="13" t="n">
        <f aca="false">SUM(G169:L169)</f>
        <v>285000</v>
      </c>
    </row>
    <row collapsed="false" customFormat="false" customHeight="false" hidden="true" ht="14" outlineLevel="1" r="170">
      <c r="B170" s="0" t="n">
        <f aca="false">+B122</f>
        <v>1104159</v>
      </c>
      <c r="C170" s="60" t="inlineStr">
        <f aca="false">+D122</f>
        <is>
          <t/>
        </is>
      </c>
      <c r="D170" s="13" t="n">
        <f aca="false">+I122</f>
        <v>0</v>
      </c>
      <c r="E170" s="60" t="n">
        <f aca="false">+IF(D170&gt;0,C170+(SUMPRODUCT($G170:$L170,$G$183:$L$183)/$M170),0)</f>
        <v>0</v>
      </c>
      <c r="G170" s="49" t="n">
        <f aca="false">+G$159/$M$159*$D170</f>
        <v>0</v>
      </c>
      <c r="H170" s="49" t="n">
        <f aca="false">+H$159/$M$159*$D170</f>
        <v>0</v>
      </c>
      <c r="I170" s="49" t="n">
        <f aca="false">+I$159/$M$159*$D170</f>
        <v>0</v>
      </c>
      <c r="J170" s="49" t="n">
        <f aca="false">+J$159/$M$159*$D170</f>
        <v>0</v>
      </c>
      <c r="K170" s="49" t="n">
        <f aca="false">+K$159/$M$159*$D170</f>
        <v>0</v>
      </c>
      <c r="L170" s="49" t="n">
        <f aca="false">+L$159/$M$159*$D170</f>
        <v>0</v>
      </c>
      <c r="M170" s="13" t="n">
        <f aca="false">SUM(G170:L170)</f>
        <v>0</v>
      </c>
    </row>
    <row collapsed="false" customFormat="false" customHeight="false" hidden="true" ht="14" outlineLevel="1" r="171">
      <c r="B171" s="0" t="n">
        <f aca="false">+B123</f>
        <v>1104161</v>
      </c>
      <c r="C171" s="60" t="inlineStr">
        <f aca="false">+D123</f>
        <is>
          <t/>
        </is>
      </c>
      <c r="D171" s="13" t="n">
        <f aca="false">+I123</f>
        <v>0</v>
      </c>
      <c r="E171" s="60" t="n">
        <f aca="false">+IF(D171&gt;0,C171+(SUMPRODUCT($G171:$L171,$G$183:$L$183)/$M171),0)</f>
        <v>0</v>
      </c>
      <c r="G171" s="49" t="n">
        <f aca="false">+G$159/$M$159*$D171</f>
        <v>0</v>
      </c>
      <c r="H171" s="49" t="n">
        <f aca="false">+H$159/$M$159*$D171</f>
        <v>0</v>
      </c>
      <c r="I171" s="49" t="n">
        <f aca="false">+I$159/$M$159*$D171</f>
        <v>0</v>
      </c>
      <c r="J171" s="49" t="n">
        <f aca="false">+J$159/$M$159*$D171</f>
        <v>0</v>
      </c>
      <c r="K171" s="49" t="n">
        <f aca="false">+K$159/$M$159*$D171</f>
        <v>0</v>
      </c>
      <c r="L171" s="49" t="n">
        <f aca="false">+L$159/$M$159*$D171</f>
        <v>0</v>
      </c>
      <c r="M171" s="13" t="n">
        <f aca="false">SUM(G171:L171)</f>
        <v>0</v>
      </c>
    </row>
    <row collapsed="false" customFormat="false" customHeight="false" hidden="true" ht="14" outlineLevel="1" r="172">
      <c r="B172" s="0" t="n">
        <f aca="false">+B124</f>
        <v>1104145</v>
      </c>
      <c r="C172" s="60" t="inlineStr">
        <f aca="false">+D124</f>
        <is>
          <t/>
        </is>
      </c>
      <c r="D172" s="13" t="n">
        <f aca="false">+I124</f>
        <v>0</v>
      </c>
      <c r="E172" s="60" t="n">
        <f aca="false">+IF(D172&gt;0,C172+(SUMPRODUCT($G172:$L172,$G$183:$L$183)/$M172),0)</f>
        <v>0</v>
      </c>
      <c r="G172" s="49" t="n">
        <f aca="false">+G$159/$M$159*$D172</f>
        <v>0</v>
      </c>
      <c r="H172" s="49" t="n">
        <f aca="false">+H$159/$M$159*$D172</f>
        <v>0</v>
      </c>
      <c r="I172" s="49" t="n">
        <f aca="false">+I$159/$M$159*$D172</f>
        <v>0</v>
      </c>
      <c r="J172" s="49" t="n">
        <f aca="false">+J$159/$M$159*$D172</f>
        <v>0</v>
      </c>
      <c r="K172" s="49" t="n">
        <f aca="false">+K$159/$M$159*$D172</f>
        <v>0</v>
      </c>
      <c r="L172" s="49" t="n">
        <f aca="false">+L$159/$M$159*$D172</f>
        <v>0</v>
      </c>
      <c r="M172" s="13" t="n">
        <f aca="false">SUM(G172:L172)</f>
        <v>0</v>
      </c>
    </row>
    <row collapsed="false" customFormat="false" customHeight="false" hidden="true" ht="14" outlineLevel="1" r="173">
      <c r="B173" s="0" t="n">
        <f aca="false">+B125</f>
        <v>1104133</v>
      </c>
      <c r="C173" s="60" t="inlineStr">
        <f aca="false">+D125</f>
        <is>
          <t/>
        </is>
      </c>
      <c r="D173" s="13" t="n">
        <f aca="false">+I125</f>
        <v>0</v>
      </c>
      <c r="E173" s="60" t="n">
        <f aca="false">+IF(D173&gt;0,C173+(SUMPRODUCT($G173:$L173,$G$183:$L$183)/$M173),0)</f>
        <v>0</v>
      </c>
      <c r="G173" s="49" t="n">
        <f aca="false">+G$159/$M$159*$D173</f>
        <v>0</v>
      </c>
      <c r="H173" s="49" t="n">
        <f aca="false">+H$159/$M$159*$D173</f>
        <v>0</v>
      </c>
      <c r="I173" s="49" t="n">
        <f aca="false">+I$159/$M$159*$D173</f>
        <v>0</v>
      </c>
      <c r="J173" s="49" t="n">
        <f aca="false">+J$159/$M$159*$D173</f>
        <v>0</v>
      </c>
      <c r="K173" s="49" t="n">
        <f aca="false">+K$159/$M$159*$D173</f>
        <v>0</v>
      </c>
      <c r="L173" s="49" t="n">
        <f aca="false">+L$159/$M$159*$D173</f>
        <v>0</v>
      </c>
      <c r="M173" s="13" t="n">
        <f aca="false">SUM(G173:L173)</f>
        <v>0</v>
      </c>
    </row>
    <row collapsed="false" customFormat="false" customHeight="false" hidden="true" ht="14" outlineLevel="1" r="174">
      <c r="B174" s="0" t="n">
        <f aca="false">+B126</f>
        <v>1104149</v>
      </c>
      <c r="C174" s="60" t="inlineStr">
        <f aca="false">+D126</f>
        <is>
          <t/>
        </is>
      </c>
      <c r="D174" s="13" t="n">
        <f aca="false">+I126</f>
        <v>0</v>
      </c>
      <c r="E174" s="60" t="n">
        <f aca="false">+IF(D174&gt;0,C174+(SUMPRODUCT($G174:$L174,$G$183:$L$183)/$M174),0)</f>
        <v>0</v>
      </c>
      <c r="G174" s="49" t="n">
        <f aca="false">+G$159/$M$159*$D174</f>
        <v>0</v>
      </c>
      <c r="H174" s="49" t="n">
        <f aca="false">+H$159/$M$159*$D174</f>
        <v>0</v>
      </c>
      <c r="I174" s="49" t="n">
        <f aca="false">+I$159/$M$159*$D174</f>
        <v>0</v>
      </c>
      <c r="J174" s="49" t="n">
        <f aca="false">+J$159/$M$159*$D174</f>
        <v>0</v>
      </c>
      <c r="K174" s="49" t="n">
        <f aca="false">+K$159/$M$159*$D174</f>
        <v>0</v>
      </c>
      <c r="L174" s="49" t="n">
        <f aca="false">+L$159/$M$159*$D174</f>
        <v>0</v>
      </c>
      <c r="M174" s="13" t="n">
        <f aca="false">SUM(G174:L174)</f>
        <v>0</v>
      </c>
    </row>
    <row collapsed="false" customFormat="false" customHeight="false" hidden="true" ht="14" outlineLevel="1" r="175">
      <c r="B175" s="0" t="n">
        <f aca="false">+B127</f>
        <v>1104151</v>
      </c>
      <c r="C175" s="60" t="inlineStr">
        <f aca="false">+D127</f>
        <is>
          <t/>
        </is>
      </c>
      <c r="D175" s="13" t="n">
        <f aca="false">+I127</f>
        <v>0</v>
      </c>
      <c r="E175" s="60" t="n">
        <f aca="false">+IF(D175&gt;0,C175+(SUMPRODUCT($G175:$L175,$G$183:$L$183)/$M175),0)</f>
        <v>0</v>
      </c>
      <c r="G175" s="49" t="n">
        <f aca="false">+G$159/$M$159*$D175</f>
        <v>0</v>
      </c>
      <c r="H175" s="49" t="n">
        <f aca="false">+H$159/$M$159*$D175</f>
        <v>0</v>
      </c>
      <c r="I175" s="49" t="n">
        <f aca="false">+I$159/$M$159*$D175</f>
        <v>0</v>
      </c>
      <c r="J175" s="49" t="n">
        <f aca="false">+J$159/$M$159*$D175</f>
        <v>0</v>
      </c>
      <c r="K175" s="49" t="n">
        <f aca="false">+K$159/$M$159*$D175</f>
        <v>0</v>
      </c>
      <c r="L175" s="49" t="n">
        <f aca="false">+L$159/$M$159*$D175</f>
        <v>0</v>
      </c>
      <c r="M175" s="13" t="n">
        <f aca="false">SUM(G175:L175)</f>
        <v>0</v>
      </c>
    </row>
    <row collapsed="false" customFormat="false" customHeight="false" hidden="true" ht="14" outlineLevel="1" r="176">
      <c r="B176" s="0" t="n">
        <f aca="false">+B128</f>
        <v>1104131</v>
      </c>
      <c r="C176" s="60" t="inlineStr">
        <f aca="false">+D128</f>
        <is>
          <t/>
        </is>
      </c>
      <c r="D176" s="13" t="n">
        <f aca="false">+I128</f>
        <v>0</v>
      </c>
      <c r="E176" s="60" t="n">
        <f aca="false">+IF(D176&gt;0,C176+(SUMPRODUCT($G176:$L176,$G$183:$L$183)/$M176),0)</f>
        <v>0</v>
      </c>
      <c r="G176" s="49" t="n">
        <f aca="false">+G$159/$M$159*$D176</f>
        <v>0</v>
      </c>
      <c r="H176" s="49" t="n">
        <f aca="false">+H$159/$M$159*$D176</f>
        <v>0</v>
      </c>
      <c r="I176" s="49" t="n">
        <f aca="false">+I$159/$M$159*$D176</f>
        <v>0</v>
      </c>
      <c r="J176" s="49" t="n">
        <f aca="false">+J$159/$M$159*$D176</f>
        <v>0</v>
      </c>
      <c r="K176" s="49" t="n">
        <f aca="false">+K$159/$M$159*$D176</f>
        <v>0</v>
      </c>
      <c r="L176" s="49" t="n">
        <f aca="false">+L$159/$M$159*$D176</f>
        <v>0</v>
      </c>
      <c r="M176" s="13" t="n">
        <f aca="false">SUM(G176:L176)</f>
        <v>0</v>
      </c>
    </row>
    <row collapsed="false" customFormat="false" customHeight="false" hidden="true" ht="14" outlineLevel="1" r="177">
      <c r="B177" s="0" t="n">
        <f aca="false">+B129</f>
        <v>1104155</v>
      </c>
      <c r="C177" s="60" t="inlineStr">
        <f aca="false">+D129</f>
        <is>
          <t/>
        </is>
      </c>
      <c r="D177" s="13" t="n">
        <f aca="false">+I129</f>
        <v>0</v>
      </c>
      <c r="E177" s="60" t="n">
        <f aca="false">+IF(D177&gt;0,C177+(SUMPRODUCT($G177:$L177,$G$183:$L$183)/$M177),0)</f>
        <v>0</v>
      </c>
      <c r="G177" s="49" t="n">
        <f aca="false">+G$159/$M$159*$D177</f>
        <v>0</v>
      </c>
      <c r="H177" s="49" t="n">
        <f aca="false">+H$159/$M$159*$D177</f>
        <v>0</v>
      </c>
      <c r="I177" s="49" t="n">
        <f aca="false">+I$159/$M$159*$D177</f>
        <v>0</v>
      </c>
      <c r="J177" s="49" t="n">
        <f aca="false">+J$159/$M$159*$D177</f>
        <v>0</v>
      </c>
      <c r="K177" s="49" t="n">
        <f aca="false">+K$159/$M$159*$D177</f>
        <v>0</v>
      </c>
      <c r="L177" s="49" t="n">
        <f aca="false">+L$159/$M$159*$D177</f>
        <v>0</v>
      </c>
      <c r="M177" s="13" t="n">
        <f aca="false">SUM(G177:L177)</f>
        <v>0</v>
      </c>
    </row>
    <row collapsed="false" customFormat="false" customHeight="false" hidden="true" ht="14" outlineLevel="1" r="178">
      <c r="B178" s="0" t="n">
        <f aca="false">+B130</f>
        <v>1104156</v>
      </c>
      <c r="C178" s="60" t="inlineStr">
        <f aca="false">+D130</f>
        <is>
          <t/>
        </is>
      </c>
      <c r="D178" s="13" t="n">
        <f aca="false">+I130</f>
        <v>0</v>
      </c>
      <c r="E178" s="60" t="n">
        <f aca="false">+IF(D178&gt;0,C178+(SUMPRODUCT($G178:$L178,$G$183:$L$183)/$M178),0)</f>
        <v>0</v>
      </c>
      <c r="G178" s="49" t="n">
        <f aca="false">+G$159/$M$159*$D178</f>
        <v>0</v>
      </c>
      <c r="H178" s="49" t="n">
        <f aca="false">+H$159/$M$159*$D178</f>
        <v>0</v>
      </c>
      <c r="I178" s="49" t="n">
        <f aca="false">+I$159/$M$159*$D178</f>
        <v>0</v>
      </c>
      <c r="J178" s="49" t="n">
        <f aca="false">+J$159/$M$159*$D178</f>
        <v>0</v>
      </c>
      <c r="K178" s="49" t="n">
        <f aca="false">+K$159/$M$159*$D178</f>
        <v>0</v>
      </c>
      <c r="L178" s="49" t="n">
        <f aca="false">+L$159/$M$159*$D178</f>
        <v>0</v>
      </c>
      <c r="M178" s="13" t="n">
        <f aca="false">SUM(G178:L178)</f>
        <v>0</v>
      </c>
    </row>
    <row collapsed="false" customFormat="false" customHeight="false" hidden="true" ht="14" outlineLevel="1" r="179">
      <c r="B179" s="0" t="n">
        <f aca="false">+B131</f>
        <v>1104157</v>
      </c>
      <c r="C179" s="60" t="inlineStr">
        <f aca="false">+D131</f>
        <is>
          <t/>
        </is>
      </c>
      <c r="D179" s="13" t="n">
        <f aca="false">+I131</f>
        <v>0</v>
      </c>
      <c r="E179" s="60" t="n">
        <f aca="false">+IF(D179&gt;0,C179+(SUMPRODUCT($G179:$L179,$G$183:$L$183)/$M179),0)</f>
        <v>0</v>
      </c>
      <c r="G179" s="49" t="n">
        <f aca="false">+G$159/$M$159*$D179</f>
        <v>0</v>
      </c>
      <c r="H179" s="49" t="n">
        <f aca="false">+H$159/$M$159*$D179</f>
        <v>0</v>
      </c>
      <c r="I179" s="49" t="n">
        <f aca="false">+I$159/$M$159*$D179</f>
        <v>0</v>
      </c>
      <c r="J179" s="49" t="n">
        <f aca="false">+J$159/$M$159*$D179</f>
        <v>0</v>
      </c>
      <c r="K179" s="49" t="n">
        <f aca="false">+K$159/$M$159*$D179</f>
        <v>0</v>
      </c>
      <c r="L179" s="49" t="n">
        <f aca="false">+L$159/$M$159*$D179</f>
        <v>0</v>
      </c>
      <c r="M179" s="13" t="n">
        <f aca="false">SUM(G179:L179)</f>
        <v>0</v>
      </c>
    </row>
    <row collapsed="false" customFormat="false" customHeight="false" hidden="true" ht="14" outlineLevel="1" r="180">
      <c r="B180" s="0" t="n">
        <f aca="false">+B132</f>
        <v>1104158</v>
      </c>
      <c r="C180" s="60" t="inlineStr">
        <f aca="false">+D132</f>
        <is>
          <t/>
        </is>
      </c>
      <c r="D180" s="13" t="n">
        <f aca="false">+I132</f>
        <v>0</v>
      </c>
      <c r="E180" s="60" t="n">
        <f aca="false">+IF(D180&gt;0,C180+(SUMPRODUCT($G180:$L180,$G$183:$L$183)/$M180),0)</f>
        <v>0</v>
      </c>
      <c r="G180" s="49" t="n">
        <f aca="false">+G$159/$M$159*$D180</f>
        <v>0</v>
      </c>
      <c r="H180" s="49" t="n">
        <f aca="false">+H$159/$M$159*$D180</f>
        <v>0</v>
      </c>
      <c r="I180" s="49" t="n">
        <f aca="false">+I$159/$M$159*$D180</f>
        <v>0</v>
      </c>
      <c r="J180" s="49" t="n">
        <f aca="false">+J$159/$M$159*$D180</f>
        <v>0</v>
      </c>
      <c r="K180" s="49" t="n">
        <f aca="false">+K$159/$M$159*$D180</f>
        <v>0</v>
      </c>
      <c r="L180" s="49" t="n">
        <f aca="false">+L$159/$M$159*$D180</f>
        <v>0</v>
      </c>
      <c r="M180" s="13" t="n">
        <f aca="false">SUM(G180:L180)</f>
        <v>0</v>
      </c>
    </row>
    <row collapsed="false" customFormat="false" customHeight="false" hidden="true" ht="14" outlineLevel="1" r="181">
      <c r="D181" s="13" t="n">
        <f aca="false">SUM(D161:D180)</f>
        <v>1020000</v>
      </c>
      <c r="E181" s="60" t="n">
        <f aca="false">+SUMPRODUCT(D161:D180,E161:E180)/D181</f>
        <v>0.0434185016218067</v>
      </c>
      <c r="G181" s="13" t="n">
        <f aca="false">SUM(G161:G180)</f>
        <v>21351.5534411946</v>
      </c>
      <c r="H181" s="13" t="n">
        <f aca="false">SUM(H161:H180)</f>
        <v>151004.000713252</v>
      </c>
      <c r="I181" s="13" t="n">
        <f aca="false">SUM(I161:I180)</f>
        <v>257176.605728281</v>
      </c>
      <c r="J181" s="13" t="n">
        <f aca="false">SUM(J161:J180)</f>
        <v>70393.6382649849</v>
      </c>
      <c r="K181" s="13" t="n">
        <f aca="false">SUM(K161:K180)</f>
        <v>195170.180549303</v>
      </c>
      <c r="L181" s="13" t="n">
        <f aca="false">SUM(L161:L180)</f>
        <v>324904.021302985</v>
      </c>
      <c r="M181" s="13" t="n">
        <f aca="false">SUM(M161:M180)</f>
        <v>1020000</v>
      </c>
    </row>
    <row collapsed="false" customFormat="false" customHeight="false" hidden="true" ht="14" outlineLevel="1" r="182">
      <c r="E182" s="61" t="inlineStr">
        <f aca="false">+E181-M190</f>
        <is>
          <t/>
        </is>
      </c>
      <c r="G182" s="18" t="n">
        <f aca="false">IF(ISERR(+SUMPRODUCT($C$161:$C$180,G$161:G$180)/G$181),0,+SUMPRODUCT($C$161:$C$180,G$161:G$180)/G$181)</f>
        <v>0.0241911764705882</v>
      </c>
      <c r="H182" s="18" t="n">
        <f aca="false">IF(ISERR(+SUMPRODUCT($C$161:$C$180,H$161:H$180)/H$181),0,+SUMPRODUCT($C$161:$C$180,H$161:H$180)/H$181)</f>
        <v>0.0241911764705882</v>
      </c>
      <c r="I182" s="18" t="n">
        <f aca="false">IF(ISERR(+SUMPRODUCT($C$161:$C$180,I$161:I$180)/I$181),0,+SUMPRODUCT($C$161:$C$180,I$161:I$180)/I$181)</f>
        <v>0.0241911764705882</v>
      </c>
      <c r="J182" s="18" t="n">
        <f aca="false">IF(ISERR(+SUMPRODUCT($C$161:$C$180,J$161:J$180)/J$181),0,+SUMPRODUCT($C$161:$C$180,J$161:J$180)/J$181)</f>
        <v>0.0241911764705882</v>
      </c>
      <c r="K182" s="18" t="n">
        <f aca="false">IF(ISERR(+SUMPRODUCT($C$161:$C$180,K$161:K$180)/K$181),0,+SUMPRODUCT($C$161:$C$180,K$161:K$180)/K$181)</f>
        <v>0.0241911764705882</v>
      </c>
      <c r="L182" s="18" t="n">
        <f aca="false">IF(ISERR(+SUMPRODUCT($C$161:$C$180,L$161:L$180)/L$181),0,+SUMPRODUCT($C$161:$C$180,L$161:L$180)/L$181)</f>
        <v>0.0241911764705882</v>
      </c>
      <c r="M182" s="18" t="n">
        <f aca="false">IF(ISERR(+SUMPRODUCT($C$161:$C$180,M$161:M$180)/M$181),0,+SUMPRODUCT($C$161:$C$180,M$161:M$180)/M$181)</f>
        <v>0.0241911764705882</v>
      </c>
    </row>
    <row collapsed="false" customFormat="false" customHeight="false" hidden="true" ht="14" outlineLevel="1" r="183">
      <c r="E183" s="17"/>
      <c r="G183" s="62" t="inlineStr">
        <f aca="false">+G190-G182</f>
        <is>
          <t/>
        </is>
      </c>
      <c r="H183" s="62" t="inlineStr">
        <f aca="false">+H190-H182</f>
        <is>
          <t/>
        </is>
      </c>
      <c r="I183" s="62" t="inlineStr">
        <f aca="false">+I190-I182</f>
        <is>
          <t/>
        </is>
      </c>
      <c r="J183" s="62" t="inlineStr">
        <f aca="false">+J190-J182</f>
        <is>
          <t/>
        </is>
      </c>
      <c r="K183" s="62" t="inlineStr">
        <f aca="false">+K190-K182</f>
        <is>
          <t/>
        </is>
      </c>
      <c r="L183" s="62" t="inlineStr">
        <f aca="false">+L190-L182</f>
        <is>
          <t/>
        </is>
      </c>
      <c r="M183" s="62" t="inlineStr">
        <f aca="false">+M190-M182</f>
        <is>
          <t/>
        </is>
      </c>
    </row>
    <row collapsed="false" customFormat="false" customHeight="false" hidden="true" ht="14" outlineLevel="1" r="184">
      <c r="B184" s="0" t="s">
        <v>69</v>
      </c>
      <c r="D184" s="60" t="inlineStr">
        <f aca="false">+MAX(F29:F48,G57:L57)</f>
        <is>
          <t/>
        </is>
      </c>
      <c r="E184" s="17"/>
      <c r="G184" s="18"/>
      <c r="H184" s="18"/>
      <c r="I184" s="18"/>
      <c r="J184" s="18"/>
      <c r="K184" s="18"/>
      <c r="L184" s="18"/>
      <c r="M184" s="18"/>
    </row>
    <row collapsed="false" customFormat="false" customHeight="false" hidden="true" ht="14" outlineLevel="1" r="185">
      <c r="B185" s="0" t="s">
        <v>70</v>
      </c>
      <c r="D185" s="63" t="inlineStr">
        <f aca="false">+M109</f>
        <is>
          <t/>
        </is>
      </c>
      <c r="E185" s="17"/>
      <c r="G185" s="18"/>
      <c r="H185" s="18"/>
      <c r="I185" s="18"/>
      <c r="J185" s="18"/>
      <c r="K185" s="18"/>
      <c r="L185" s="18"/>
      <c r="M185" s="18"/>
    </row>
    <row collapsed="false" customFormat="false" customHeight="false" hidden="true" ht="14" outlineLevel="1" r="186">
      <c r="B186" s="0" t="s">
        <v>71</v>
      </c>
      <c r="D186" s="64" t="inlineStr">
        <f aca="false">+D184-D185</f>
        <is>
          <t/>
        </is>
      </c>
      <c r="E186" s="17"/>
      <c r="G186" s="18"/>
      <c r="H186" s="18"/>
      <c r="I186" s="18"/>
      <c r="J186" s="18"/>
      <c r="K186" s="18"/>
      <c r="L186" s="18"/>
      <c r="M186" s="18"/>
    </row>
    <row collapsed="false" customFormat="false" customHeight="false" hidden="true" ht="14" outlineLevel="1" r="187">
      <c r="B187" s="0" t="s">
        <v>72</v>
      </c>
      <c r="E187" s="65"/>
      <c r="G187" s="18" t="n">
        <f aca="false">+(1-G108)*$D$186</f>
        <v>0.00262267925909538</v>
      </c>
      <c r="H187" s="18" t="n">
        <f aca="false">+(1-H108)*$D$186</f>
        <v>0.0157360755545723</v>
      </c>
      <c r="I187" s="18" t="n">
        <f aca="false">+(1-I108)*$D$186</f>
        <v>0.0209814340727631</v>
      </c>
      <c r="J187" s="18" t="n">
        <f aca="false">+(1-J108)*$D$186</f>
        <v>0.00524535851819077</v>
      </c>
      <c r="K187" s="18" t="n">
        <f aca="false">+(1-K108)*$D$186</f>
        <v>0.0148244919308309</v>
      </c>
      <c r="L187" s="18" t="n">
        <f aca="false">+(1-L108)*$D$186</f>
        <v>0.0262267925909538</v>
      </c>
      <c r="M187" s="18"/>
    </row>
    <row collapsed="false" customFormat="false" customHeight="false" hidden="true" ht="14" outlineLevel="1" r="188">
      <c r="E188" s="17"/>
      <c r="G188" s="18" t="inlineStr">
        <f aca="false">+IF(G107&gt;0,IF(G182&lt;G109,G182+G187,G182),G182+G187)</f>
        <is>
          <t/>
        </is>
      </c>
      <c r="H188" s="18" t="inlineStr">
        <f aca="false">+IF(H107&gt;0,IF(H182&lt;H109,H182+H187,H182),H182+H187)</f>
        <is>
          <t/>
        </is>
      </c>
      <c r="I188" s="18" t="inlineStr">
        <f aca="false">+IF(I107&gt;0,IF(I182&lt;I109,I182+I187,I182),I182+I187)</f>
        <is>
          <t/>
        </is>
      </c>
      <c r="J188" s="18" t="inlineStr">
        <f aca="false">+IF(J107&gt;0,IF(J182&lt;J109,J182+J187,J182),J182+J187)</f>
        <is>
          <t/>
        </is>
      </c>
      <c r="K188" s="18" t="inlineStr">
        <f aca="false">+IF(K107&gt;0,IF(K182&lt;K109,K182+K187,K182),K182+K187)</f>
        <is>
          <t/>
        </is>
      </c>
      <c r="L188" s="18" t="inlineStr">
        <f aca="false">+IF(L107&gt;0,IF(L182&lt;L109,L182+L187,L182),L182+L187)</f>
        <is>
          <t/>
        </is>
      </c>
      <c r="M188" s="18"/>
    </row>
    <row collapsed="false" customFormat="false" customHeight="false" hidden="false" ht="14" outlineLevel="0" r="189">
      <c r="D189" s="21" t="s">
        <v>73</v>
      </c>
      <c r="E189" s="22"/>
      <c r="F189" s="22"/>
      <c r="G189" s="23" t="n">
        <f aca="false">+G181</f>
        <v>21351.5534411946</v>
      </c>
      <c r="H189" s="23" t="n">
        <f aca="false">+H181</f>
        <v>151004.000713252</v>
      </c>
      <c r="I189" s="23" t="n">
        <f aca="false">+I181</f>
        <v>257176.605728281</v>
      </c>
      <c r="J189" s="23" t="n">
        <f aca="false">+J181</f>
        <v>70393.6382649849</v>
      </c>
      <c r="K189" s="23" t="n">
        <f aca="false">+K181</f>
        <v>195170.180549303</v>
      </c>
      <c r="L189" s="23" t="n">
        <f aca="false">+L181</f>
        <v>324904.021302985</v>
      </c>
      <c r="M189" s="24" t="n">
        <f aca="false">+M181</f>
        <v>1020000</v>
      </c>
    </row>
    <row collapsed="false" customFormat="false" customHeight="false" hidden="false" ht="14" outlineLevel="0" r="190">
      <c r="D190" s="25" t="s">
        <v>40</v>
      </c>
      <c r="E190" s="26"/>
      <c r="F190" s="26"/>
      <c r="G190" s="66" t="inlineStr">
        <f aca="false">+G188</f>
        <is>
          <t/>
        </is>
      </c>
      <c r="H190" s="66" t="inlineStr">
        <f aca="false">+H188</f>
        <is>
          <t/>
        </is>
      </c>
      <c r="I190" s="66" t="inlineStr">
        <f aca="false">+I188</f>
        <is>
          <t/>
        </is>
      </c>
      <c r="J190" s="66" t="inlineStr">
        <f aca="false">+J188</f>
        <is>
          <t/>
        </is>
      </c>
      <c r="K190" s="66" t="inlineStr">
        <f aca="false">+K188</f>
        <is>
          <t/>
        </is>
      </c>
      <c r="L190" s="66" t="inlineStr">
        <f aca="false">+L188</f>
        <is>
          <t/>
        </is>
      </c>
      <c r="M190" s="28" t="n">
        <f aca="false">+IF(M189=0,0,SUMPRODUCT(G189:L189,G190:L190/M189))</f>
        <v>0.0434185016218067</v>
      </c>
    </row>
    <row collapsed="false" customFormat="false" customHeight="false" hidden="false" ht="14" outlineLevel="0" r="191">
      <c r="E191" s="17"/>
    </row>
    <row collapsed="false" customFormat="false" customHeight="false" hidden="false" ht="14" outlineLevel="0" r="192">
      <c r="E192" s="17"/>
    </row>
    <row collapsed="false" customFormat="false" customHeight="false" hidden="false" ht="14" outlineLevel="0" r="193">
      <c r="D193" s="33" t="s">
        <v>48</v>
      </c>
      <c r="E193" s="34"/>
      <c r="F193" s="34"/>
      <c r="G193" s="35" t="n">
        <f aca="false">+G107+G181</f>
        <v>308204.053441195</v>
      </c>
      <c r="H193" s="35" t="n">
        <f aca="false">+H107+H181</f>
        <v>301278.000713252</v>
      </c>
      <c r="I193" s="35" t="n">
        <f aca="false">+I107+I181</f>
        <v>353151.605728281</v>
      </c>
      <c r="J193" s="35" t="n">
        <f aca="false">+J107+J181</f>
        <v>490713.638264985</v>
      </c>
      <c r="K193" s="35" t="n">
        <f aca="false">+K107+K181</f>
        <v>419255.180549303</v>
      </c>
      <c r="L193" s="35" t="n">
        <f aca="false">+L107+L181</f>
        <v>324904.021302985</v>
      </c>
      <c r="M193" s="36" t="n">
        <f aca="false">+M107+M181</f>
        <v>2197506.5</v>
      </c>
    </row>
    <row collapsed="false" customFormat="false" customHeight="false" hidden="false" ht="14" outlineLevel="0" r="194">
      <c r="D194" s="41" t="s">
        <v>40</v>
      </c>
      <c r="E194" s="42"/>
      <c r="F194" s="42"/>
      <c r="G194" s="43" t="n">
        <f aca="false">+IF(ISERR(+IF(ISERR(G109),G188,((G181*G188)+(G107*G109))/G193)),0,+IF(ISERR(G109),G188,((G181*G188)+(G107*G109))/G193))</f>
        <v>0.0297792724368825</v>
      </c>
      <c r="H194" s="43" t="n">
        <f aca="false">+IF(ISERR(+IF(ISERR(H109),H188,((H181*H188)+(H107*H109))/H193)),0,+IF(ISERR(H109),H188,((H181*H188)+(H107*H109))/H193))</f>
        <v>0.0374695954120788</v>
      </c>
      <c r="I194" s="43" t="n">
        <f aca="false">+IF(ISERR(+IF(ISERR(I109),I188,((I181*I188)+(I107*I109))/I193)),0,+IF(ISERR(I109),I188,((I181*I188)+(I107*I109))/I193))</f>
        <v>0.0410491936502152</v>
      </c>
      <c r="J194" s="43" t="n">
        <f aca="false">+IF(ISERR(+IF(ISERR(J109),J188,((J181*J188)+(J107*J109))/J193)),0,+IF(ISERR(J109),J188,((J181*J188)+(J107*J109))/J193))</f>
        <v>0.0395553399828132</v>
      </c>
      <c r="K194" s="43" t="n">
        <f aca="false">+IF(ISERR(+IF(ISERR(K109),K188,((K181*K188)+(K107*K109))/K193)),0,+IF(ISERR(K109),K188,((K181*K188)+(K107*K109))/K193))</f>
        <v>0.031723522840507</v>
      </c>
      <c r="L194" s="43" t="n">
        <f aca="false">+IF(ISERR(+IF(ISERR(L109),L188,((L181*L188)+(L107*L109))/L193)),0,+IF(ISERR(L109),L188,((L181*L188)+(L107*L109))/L193))</f>
        <v>0.0504179690615421</v>
      </c>
      <c r="M194" s="44" t="n">
        <f aca="false">+SUMPRODUCT(G193:L193,G194:L194)/M193</f>
        <v>0.0382501907977259</v>
      </c>
    </row>
    <row collapsed="false" customFormat="false" customHeight="false" hidden="false" ht="14" outlineLevel="0" r="195">
      <c r="E195" s="17"/>
    </row>
    <row collapsed="false" customFormat="false" customHeight="false" hidden="false" ht="14" outlineLevel="0" r="196">
      <c r="D196" s="0" t="s">
        <v>41</v>
      </c>
      <c r="G196" s="13" t="n">
        <f aca="false">+G4-G193</f>
        <v>10520.9465588054</v>
      </c>
      <c r="H196" s="13" t="n">
        <f aca="false">+H4-H193</f>
        <v>74406.999286748</v>
      </c>
      <c r="I196" s="13" t="n">
        <f aca="false">+I4-I193</f>
        <v>126723.394271719</v>
      </c>
      <c r="J196" s="13" t="n">
        <f aca="false">+J4-J193</f>
        <v>34686.3617350151</v>
      </c>
      <c r="K196" s="13" t="n">
        <f aca="false">+K4-K193</f>
        <v>96169.8194506975</v>
      </c>
      <c r="L196" s="13" t="n">
        <f aca="false">+L4-L193</f>
        <v>160095.978697015</v>
      </c>
      <c r="M196" s="13" t="n">
        <f aca="false">+M4-M193</f>
        <v>502603.5</v>
      </c>
    </row>
    <row collapsed="false" customFormat="false" customHeight="false" hidden="false" ht="14" outlineLevel="0" r="197">
      <c r="D197" s="0" t="s">
        <v>42</v>
      </c>
      <c r="G197" s="29" t="str">
        <f aca="false">+IF(G196=0,"NA",IF(G196&lt;0,"OVER","UNDER"))</f>
        <v>UNDER</v>
      </c>
      <c r="H197" s="29" t="str">
        <f aca="false">+IF(H196=0,"NA",IF(H196&lt;0,"OVER","UNDER"))</f>
        <v>UNDER</v>
      </c>
      <c r="I197" s="29" t="str">
        <f aca="false">+IF(I196=0,"NA",IF(I196&lt;0,"OVER","UNDER"))</f>
        <v>UNDER</v>
      </c>
      <c r="J197" s="29" t="str">
        <f aca="false">+IF(J196=0,"NA",IF(J196&lt;0,"OVER","UNDER"))</f>
        <v>UNDER</v>
      </c>
      <c r="K197" s="29" t="str">
        <f aca="false">+IF(K196=0,"NA",IF(K196&lt;0,"OVER","UNDER"))</f>
        <v>UNDER</v>
      </c>
      <c r="L197" s="29" t="str">
        <f aca="false">+IF(L196=0,"NA",IF(L196&lt;0,"OVER","UNDER"))</f>
        <v>UNDER</v>
      </c>
      <c r="M197" s="29" t="str">
        <f aca="false">+IF(M196=0,"NA",IF(M196&lt;0,"OVER","UNDER"))</f>
        <v>UNDER</v>
      </c>
    </row>
    <row collapsed="false" customFormat="false" customHeight="false" hidden="false" ht="14" outlineLevel="0" r="198">
      <c r="D198" s="32"/>
      <c r="E198" s="32"/>
      <c r="F198" s="32"/>
      <c r="G198" s="18"/>
      <c r="H198" s="18"/>
      <c r="I198" s="18"/>
      <c r="J198" s="18"/>
      <c r="K198" s="18"/>
      <c r="L198" s="18"/>
      <c r="M198" s="18"/>
    </row>
    <row collapsed="false" customFormat="false" customHeight="false" hidden="false" ht="14" outlineLevel="0" r="199">
      <c r="A199" s="0" t="s">
        <v>74</v>
      </c>
      <c r="E199" s="17"/>
      <c r="M199" s="13"/>
    </row>
    <row collapsed="false" customFormat="false" customHeight="false" hidden="true" ht="28.35" outlineLevel="1" r="200">
      <c r="B200" s="14" t="s">
        <v>35</v>
      </c>
      <c r="C200" s="15" t="s">
        <v>75</v>
      </c>
      <c r="D200" s="14" t="s">
        <v>76</v>
      </c>
      <c r="E200" s="14" t="s">
        <v>77</v>
      </c>
    </row>
    <row collapsed="false" customFormat="false" customHeight="false" hidden="true" ht="14" outlineLevel="1" r="201">
      <c r="B201" s="0" t="n">
        <f aca="false">+'bid input'!B2</f>
        <v>1104134</v>
      </c>
      <c r="C201" s="17" t="str">
        <f aca="false">+IF('bid input'!R2=1,"Y","N")</f>
        <v>Y</v>
      </c>
      <c r="D201" s="13" t="n">
        <f aca="false">+IF(C201="Y",+'bid input'!M2,0)</f>
        <v>187500</v>
      </c>
      <c r="E201" s="17" t="n">
        <f aca="false">+D201*$D$223</f>
        <v>66622.9453870626</v>
      </c>
      <c r="G201" s="49" t="n">
        <f aca="false">+IF(ISERR(+$E201/$E$221*G$196),0,+$E201/$E$221*G$196)</f>
        <v>1394.61115572712</v>
      </c>
      <c r="H201" s="49" t="n">
        <f aca="false">+IF(ISERR(+$E201/$E$221*H$196),0,+$E201/$E$221*H$196)</f>
        <v>9863.06989484995</v>
      </c>
      <c r="I201" s="49" t="n">
        <f aca="false">+IF(ISERR(+$E201/$E$221*I$196),0,+$E201/$E$221*I$196)</f>
        <v>16797.9048610445</v>
      </c>
      <c r="J201" s="49" t="n">
        <f aca="false">+IF(ISERR(+$E201/$E$221*J$196),0,+$E201/$E$221*J$196)</f>
        <v>4597.87403698503</v>
      </c>
      <c r="K201" s="49" t="n">
        <f aca="false">+IF(ISERR(+$E201/$E$221*K$196),0,+$E201/$E$221*K$196)</f>
        <v>12747.8551763915</v>
      </c>
      <c r="L201" s="49" t="n">
        <f aca="false">+IF(ISERR(+$E201/$E$221*L$196),0,+$E201/$E$221*L$196)</f>
        <v>21221.6302620645</v>
      </c>
      <c r="M201" s="13" t="n">
        <f aca="false">IF(ISERR(SUM(G201:L201)),0,SUM(G201:L201))</f>
        <v>66622.9453870626</v>
      </c>
    </row>
    <row collapsed="false" customFormat="false" customHeight="false" hidden="true" ht="14" outlineLevel="1" r="202">
      <c r="B202" s="0" t="n">
        <f aca="false">+'bid input'!B3</f>
        <v>1104143</v>
      </c>
      <c r="C202" s="17" t="str">
        <f aca="false">+IF('bid input'!R3=1,"Y","N")</f>
        <v>N</v>
      </c>
      <c r="D202" s="13" t="n">
        <f aca="false">+IF(C202="Y",+'bid input'!M3,0)</f>
        <v>0</v>
      </c>
      <c r="E202" s="17" t="n">
        <f aca="false">+D202*$D$223</f>
        <v>0</v>
      </c>
      <c r="G202" s="49" t="n">
        <f aca="false">+IF(ISERR(+$E202/$E$221*G$196),0,+$E202/$E$221*G$196)</f>
        <v>0</v>
      </c>
      <c r="H202" s="49" t="n">
        <f aca="false">+IF(ISERR(+$E202/$E$221*H$196),0,+$E202/$E$221*H$196)</f>
        <v>0</v>
      </c>
      <c r="I202" s="49" t="n">
        <f aca="false">+IF(ISERR(+$E202/$E$221*I$196),0,+$E202/$E$221*I$196)</f>
        <v>0</v>
      </c>
      <c r="J202" s="49" t="n">
        <f aca="false">+IF(ISERR(+$E202/$E$221*J$196),0,+$E202/$E$221*J$196)</f>
        <v>0</v>
      </c>
      <c r="K202" s="49" t="n">
        <f aca="false">+IF(ISERR(+$E202/$E$221*K$196),0,+$E202/$E$221*K$196)</f>
        <v>0</v>
      </c>
      <c r="L202" s="49" t="n">
        <f aca="false">+IF(ISERR(+$E202/$E$221*L$196),0,+$E202/$E$221*L$196)</f>
        <v>0</v>
      </c>
      <c r="M202" s="13" t="n">
        <f aca="false">IF(ISERR(SUM(G202:L202)),0,SUM(G202:L202))</f>
        <v>0</v>
      </c>
    </row>
    <row collapsed="false" customFormat="false" customHeight="false" hidden="true" ht="14" outlineLevel="1" r="203">
      <c r="B203" s="0" t="n">
        <f aca="false">+'bid input'!B4</f>
        <v>1104154</v>
      </c>
      <c r="C203" s="17" t="str">
        <f aca="false">+IF('bid input'!R4=1,"Y","N")</f>
        <v>N</v>
      </c>
      <c r="D203" s="13" t="n">
        <f aca="false">+IF(C203="Y",+'bid input'!M4,0)</f>
        <v>0</v>
      </c>
      <c r="E203" s="17" t="n">
        <f aca="false">+D203*$D$223</f>
        <v>0</v>
      </c>
      <c r="G203" s="49" t="n">
        <f aca="false">+IF(ISERR(+$E203/$E$221*G$196),0,+$E203/$E$221*G$196)</f>
        <v>0</v>
      </c>
      <c r="H203" s="49" t="n">
        <f aca="false">+IF(ISERR(+$E203/$E$221*H$196),0,+$E203/$E$221*H$196)</f>
        <v>0</v>
      </c>
      <c r="I203" s="49" t="n">
        <f aca="false">+IF(ISERR(+$E203/$E$221*I$196),0,+$E203/$E$221*I$196)</f>
        <v>0</v>
      </c>
      <c r="J203" s="49" t="n">
        <f aca="false">+IF(ISERR(+$E203/$E$221*J$196),0,+$E203/$E$221*J$196)</f>
        <v>0</v>
      </c>
      <c r="K203" s="49" t="n">
        <f aca="false">+IF(ISERR(+$E203/$E$221*K$196),0,+$E203/$E$221*K$196)</f>
        <v>0</v>
      </c>
      <c r="L203" s="49" t="n">
        <f aca="false">+IF(ISERR(+$E203/$E$221*L$196),0,+$E203/$E$221*L$196)</f>
        <v>0</v>
      </c>
      <c r="M203" s="13" t="n">
        <f aca="false">IF(ISERR(SUM(G203:L203)),0,SUM(G203:L203))</f>
        <v>0</v>
      </c>
    </row>
    <row collapsed="false" customFormat="false" customHeight="false" hidden="true" ht="14" outlineLevel="1" r="204">
      <c r="B204" s="0" t="n">
        <f aca="false">+'bid input'!B5</f>
        <v>1104152</v>
      </c>
      <c r="C204" s="17" t="str">
        <f aca="false">+IF('bid input'!R5=1,"Y","N")</f>
        <v>N</v>
      </c>
      <c r="D204" s="13" t="n">
        <f aca="false">+IF(C204="Y",+'bid input'!M5,0)</f>
        <v>0</v>
      </c>
      <c r="E204" s="17" t="n">
        <f aca="false">+D204*$D$223</f>
        <v>0</v>
      </c>
      <c r="G204" s="49" t="n">
        <f aca="false">+IF(ISERR(+$E204/$E$221*G$196),0,+$E204/$E$221*G$196)</f>
        <v>0</v>
      </c>
      <c r="H204" s="49" t="n">
        <f aca="false">+IF(ISERR(+$E204/$E$221*H$196),0,+$E204/$E$221*H$196)</f>
        <v>0</v>
      </c>
      <c r="I204" s="49" t="n">
        <f aca="false">+IF(ISERR(+$E204/$E$221*I$196),0,+$E204/$E$221*I$196)</f>
        <v>0</v>
      </c>
      <c r="J204" s="49" t="n">
        <f aca="false">+IF(ISERR(+$E204/$E$221*J$196),0,+$E204/$E$221*J$196)</f>
        <v>0</v>
      </c>
      <c r="K204" s="49" t="n">
        <f aca="false">+IF(ISERR(+$E204/$E$221*K$196),0,+$E204/$E$221*K$196)</f>
        <v>0</v>
      </c>
      <c r="L204" s="49" t="n">
        <f aca="false">+IF(ISERR(+$E204/$E$221*L$196),0,+$E204/$E$221*L$196)</f>
        <v>0</v>
      </c>
      <c r="M204" s="13" t="n">
        <f aca="false">IF(ISERR(SUM(G204:L204)),0,SUM(G204:L204))</f>
        <v>0</v>
      </c>
    </row>
    <row collapsed="false" customFormat="false" customHeight="false" hidden="true" ht="14" outlineLevel="1" r="205">
      <c r="B205" s="0" t="n">
        <f aca="false">+'bid input'!B6</f>
        <v>1104136</v>
      </c>
      <c r="C205" s="17" t="str">
        <f aca="false">+IF('bid input'!R6=1,"Y","N")</f>
        <v>N</v>
      </c>
      <c r="D205" s="13" t="n">
        <f aca="false">+IF(C205="Y",+'bid input'!M6,0)</f>
        <v>0</v>
      </c>
      <c r="E205" s="17" t="n">
        <f aca="false">+D205*$D$223</f>
        <v>0</v>
      </c>
      <c r="G205" s="49" t="n">
        <f aca="false">+IF(ISERR(+$E205/$E$221*G$196),0,+$E205/$E$221*G$196)</f>
        <v>0</v>
      </c>
      <c r="H205" s="49" t="n">
        <f aca="false">+IF(ISERR(+$E205/$E$221*H$196),0,+$E205/$E$221*H$196)</f>
        <v>0</v>
      </c>
      <c r="I205" s="49" t="n">
        <f aca="false">+IF(ISERR(+$E205/$E$221*I$196),0,+$E205/$E$221*I$196)</f>
        <v>0</v>
      </c>
      <c r="J205" s="49" t="n">
        <f aca="false">+IF(ISERR(+$E205/$E$221*J$196),0,+$E205/$E$221*J$196)</f>
        <v>0</v>
      </c>
      <c r="K205" s="49" t="n">
        <f aca="false">+IF(ISERR(+$E205/$E$221*K$196),0,+$E205/$E$221*K$196)</f>
        <v>0</v>
      </c>
      <c r="L205" s="49" t="n">
        <f aca="false">+IF(ISERR(+$E205/$E$221*L$196),0,+$E205/$E$221*L$196)</f>
        <v>0</v>
      </c>
      <c r="M205" s="13" t="n">
        <f aca="false">IF(ISERR(SUM(G205:L205)),0,SUM(G205:L205))</f>
        <v>0</v>
      </c>
    </row>
    <row collapsed="false" customFormat="false" customHeight="false" hidden="true" ht="14" outlineLevel="1" r="206">
      <c r="B206" s="0" t="n">
        <f aca="false">+'bid input'!B7</f>
        <v>1104138</v>
      </c>
      <c r="C206" s="17" t="str">
        <f aca="false">+IF('bid input'!R7=1,"Y","N")</f>
        <v>N</v>
      </c>
      <c r="D206" s="13" t="n">
        <f aca="false">+IF(C206="Y",+'bid input'!M7,0)</f>
        <v>0</v>
      </c>
      <c r="E206" s="17" t="n">
        <f aca="false">+D206*$D$223</f>
        <v>0</v>
      </c>
      <c r="G206" s="49" t="n">
        <f aca="false">+IF(ISERR(+$E206/$E$221*G$196),0,+$E206/$E$221*G$196)</f>
        <v>0</v>
      </c>
      <c r="H206" s="49" t="n">
        <f aca="false">+IF(ISERR(+$E206/$E$221*H$196),0,+$E206/$E$221*H$196)</f>
        <v>0</v>
      </c>
      <c r="I206" s="49" t="n">
        <f aca="false">+IF(ISERR(+$E206/$E$221*I$196),0,+$E206/$E$221*I$196)</f>
        <v>0</v>
      </c>
      <c r="J206" s="49" t="n">
        <f aca="false">+IF(ISERR(+$E206/$E$221*J$196),0,+$E206/$E$221*J$196)</f>
        <v>0</v>
      </c>
      <c r="K206" s="49" t="n">
        <f aca="false">+IF(ISERR(+$E206/$E$221*K$196),0,+$E206/$E$221*K$196)</f>
        <v>0</v>
      </c>
      <c r="L206" s="49" t="n">
        <f aca="false">+IF(ISERR(+$E206/$E$221*L$196),0,+$E206/$E$221*L$196)</f>
        <v>0</v>
      </c>
      <c r="M206" s="13" t="n">
        <f aca="false">IF(ISERR(SUM(G206:L206)),0,SUM(G206:L206))</f>
        <v>0</v>
      </c>
    </row>
    <row collapsed="false" customFormat="false" customHeight="false" hidden="true" ht="14" outlineLevel="1" r="207">
      <c r="B207" s="0" t="n">
        <f aca="false">+'bid input'!B8</f>
        <v>1104139</v>
      </c>
      <c r="C207" s="17" t="str">
        <f aca="false">+IF('bid input'!R8=1,"Y","N")</f>
        <v>N</v>
      </c>
      <c r="D207" s="13" t="n">
        <f aca="false">+IF(C207="Y",+'bid input'!M8,0)</f>
        <v>0</v>
      </c>
      <c r="E207" s="17" t="n">
        <f aca="false">+D207*$D$223</f>
        <v>0</v>
      </c>
      <c r="G207" s="49" t="n">
        <f aca="false">+IF(ISERR(+$E207/$E$221*G$196),0,+$E207/$E$221*G$196)</f>
        <v>0</v>
      </c>
      <c r="H207" s="49" t="n">
        <f aca="false">+IF(ISERR(+$E207/$E$221*H$196),0,+$E207/$E$221*H$196)</f>
        <v>0</v>
      </c>
      <c r="I207" s="49" t="n">
        <f aca="false">+IF(ISERR(+$E207/$E$221*I$196),0,+$E207/$E$221*I$196)</f>
        <v>0</v>
      </c>
      <c r="J207" s="49" t="n">
        <f aca="false">+IF(ISERR(+$E207/$E$221*J$196),0,+$E207/$E$221*J$196)</f>
        <v>0</v>
      </c>
      <c r="K207" s="49" t="n">
        <f aca="false">+IF(ISERR(+$E207/$E$221*K$196),0,+$E207/$E$221*K$196)</f>
        <v>0</v>
      </c>
      <c r="L207" s="49" t="n">
        <f aca="false">+IF(ISERR(+$E207/$E$221*L$196),0,+$E207/$E$221*L$196)</f>
        <v>0</v>
      </c>
      <c r="M207" s="13" t="n">
        <f aca="false">IF(ISERR(SUM(G207:L207)),0,SUM(G207:L207))</f>
        <v>0</v>
      </c>
    </row>
    <row collapsed="false" customFormat="false" customHeight="false" hidden="true" ht="14" outlineLevel="1" r="208">
      <c r="B208" s="0" t="n">
        <f aca="false">+'bid input'!B9</f>
        <v>1104140</v>
      </c>
      <c r="C208" s="17" t="str">
        <f aca="false">+IF('bid input'!R9=1,"Y","N")</f>
        <v>N</v>
      </c>
      <c r="D208" s="13" t="n">
        <f aca="false">+IF(C208="Y",+'bid input'!M9,0)</f>
        <v>0</v>
      </c>
      <c r="E208" s="17" t="n">
        <f aca="false">+D208*$D$223</f>
        <v>0</v>
      </c>
      <c r="G208" s="49" t="n">
        <f aca="false">+IF(ISERR(+$E208/$E$221*G$196),0,+$E208/$E$221*G$196)</f>
        <v>0</v>
      </c>
      <c r="H208" s="49" t="n">
        <f aca="false">+IF(ISERR(+$E208/$E$221*H$196),0,+$E208/$E$221*H$196)</f>
        <v>0</v>
      </c>
      <c r="I208" s="49" t="n">
        <f aca="false">+IF(ISERR(+$E208/$E$221*I$196),0,+$E208/$E$221*I$196)</f>
        <v>0</v>
      </c>
      <c r="J208" s="49" t="n">
        <f aca="false">+IF(ISERR(+$E208/$E$221*J$196),0,+$E208/$E$221*J$196)</f>
        <v>0</v>
      </c>
      <c r="K208" s="49" t="n">
        <f aca="false">+IF(ISERR(+$E208/$E$221*K$196),0,+$E208/$E$221*K$196)</f>
        <v>0</v>
      </c>
      <c r="L208" s="49" t="n">
        <f aca="false">+IF(ISERR(+$E208/$E$221*L$196),0,+$E208/$E$221*L$196)</f>
        <v>0</v>
      </c>
      <c r="M208" s="13" t="n">
        <f aca="false">IF(ISERR(SUM(G208:L208)),0,SUM(G208:L208))</f>
        <v>0</v>
      </c>
    </row>
    <row collapsed="false" customFormat="false" customHeight="false" hidden="true" ht="14" outlineLevel="1" r="209">
      <c r="B209" s="0" t="n">
        <f aca="false">+'bid input'!B10</f>
        <v>1104141</v>
      </c>
      <c r="C209" s="17" t="str">
        <f aca="false">+IF('bid input'!R10=1,"Y","N")</f>
        <v>N</v>
      </c>
      <c r="D209" s="13" t="n">
        <f aca="false">+IF(C209="Y",+'bid input'!M10,0)</f>
        <v>0</v>
      </c>
      <c r="E209" s="17" t="n">
        <f aca="false">+D209*$D$223</f>
        <v>0</v>
      </c>
      <c r="G209" s="49" t="n">
        <f aca="false">+IF(ISERR(+$E209/$E$221*G$196),0,+$E209/$E$221*G$196)</f>
        <v>0</v>
      </c>
      <c r="H209" s="49" t="n">
        <f aca="false">+IF(ISERR(+$E209/$E$221*H$196),0,+$E209/$E$221*H$196)</f>
        <v>0</v>
      </c>
      <c r="I209" s="49" t="n">
        <f aca="false">+IF(ISERR(+$E209/$E$221*I$196),0,+$E209/$E$221*I$196)</f>
        <v>0</v>
      </c>
      <c r="J209" s="49" t="n">
        <f aca="false">+IF(ISERR(+$E209/$E$221*J$196),0,+$E209/$E$221*J$196)</f>
        <v>0</v>
      </c>
      <c r="K209" s="49" t="n">
        <f aca="false">+IF(ISERR(+$E209/$E$221*K$196),0,+$E209/$E$221*K$196)</f>
        <v>0</v>
      </c>
      <c r="L209" s="49" t="n">
        <f aca="false">+IF(ISERR(+$E209/$E$221*L$196),0,+$E209/$E$221*L$196)</f>
        <v>0</v>
      </c>
      <c r="M209" s="13" t="n">
        <f aca="false">IF(ISERR(SUM(G209:L209)),0,SUM(G209:L209))</f>
        <v>0</v>
      </c>
    </row>
    <row collapsed="false" customFormat="false" customHeight="false" hidden="true" ht="14" outlineLevel="1" r="210">
      <c r="B210" s="0" t="n">
        <f aca="false">+'bid input'!B11</f>
        <v>1104159</v>
      </c>
      <c r="C210" s="17" t="str">
        <f aca="false">+IF('bid input'!R11=1,"Y","N")</f>
        <v>N</v>
      </c>
      <c r="D210" s="13" t="n">
        <f aca="false">+IF(C210="Y",+'bid input'!M11,0)</f>
        <v>0</v>
      </c>
      <c r="E210" s="17" t="n">
        <f aca="false">+D210*$D$223</f>
        <v>0</v>
      </c>
      <c r="G210" s="49" t="n">
        <f aca="false">+IF(ISERR(+$E210/$E$221*G$196),0,+$E210/$E$221*G$196)</f>
        <v>0</v>
      </c>
      <c r="H210" s="49" t="n">
        <f aca="false">+IF(ISERR(+$E210/$E$221*H$196),0,+$E210/$E$221*H$196)</f>
        <v>0</v>
      </c>
      <c r="I210" s="49" t="n">
        <f aca="false">+IF(ISERR(+$E210/$E$221*I$196),0,+$E210/$E$221*I$196)</f>
        <v>0</v>
      </c>
      <c r="J210" s="49" t="n">
        <f aca="false">+IF(ISERR(+$E210/$E$221*J$196),0,+$E210/$E$221*J$196)</f>
        <v>0</v>
      </c>
      <c r="K210" s="49" t="n">
        <f aca="false">+IF(ISERR(+$E210/$E$221*K$196),0,+$E210/$E$221*K$196)</f>
        <v>0</v>
      </c>
      <c r="L210" s="49" t="n">
        <f aca="false">+IF(ISERR(+$E210/$E$221*L$196),0,+$E210/$E$221*L$196)</f>
        <v>0</v>
      </c>
      <c r="M210" s="13" t="n">
        <f aca="false">IF(ISERR(SUM(G210:L210)),0,SUM(G210:L210))</f>
        <v>0</v>
      </c>
    </row>
    <row collapsed="false" customFormat="false" customHeight="false" hidden="true" ht="14" outlineLevel="1" r="211">
      <c r="B211" s="0" t="n">
        <f aca="false">+'bid input'!B12</f>
        <v>1104161</v>
      </c>
      <c r="C211" s="17" t="str">
        <f aca="false">+IF('bid input'!R12=1,"Y","N")</f>
        <v>N</v>
      </c>
      <c r="D211" s="13" t="n">
        <f aca="false">+IF(C211="Y",+'bid input'!M12,0)</f>
        <v>0</v>
      </c>
      <c r="E211" s="17" t="n">
        <f aca="false">+D211*$D$223</f>
        <v>0</v>
      </c>
      <c r="G211" s="49" t="n">
        <f aca="false">+IF(ISERR(+$E211/$E$221*G$196),0,+$E211/$E$221*G$196)</f>
        <v>0</v>
      </c>
      <c r="H211" s="49" t="n">
        <f aca="false">+IF(ISERR(+$E211/$E$221*H$196),0,+$E211/$E$221*H$196)</f>
        <v>0</v>
      </c>
      <c r="I211" s="49" t="n">
        <f aca="false">+IF(ISERR(+$E211/$E$221*I$196),0,+$E211/$E$221*I$196)</f>
        <v>0</v>
      </c>
      <c r="J211" s="49" t="n">
        <f aca="false">+IF(ISERR(+$E211/$E$221*J$196),0,+$E211/$E$221*J$196)</f>
        <v>0</v>
      </c>
      <c r="K211" s="49" t="n">
        <f aca="false">+IF(ISERR(+$E211/$E$221*K$196),0,+$E211/$E$221*K$196)</f>
        <v>0</v>
      </c>
      <c r="L211" s="49" t="n">
        <f aca="false">+IF(ISERR(+$E211/$E$221*L$196),0,+$E211/$E$221*L$196)</f>
        <v>0</v>
      </c>
      <c r="M211" s="13" t="n">
        <f aca="false">IF(ISERR(SUM(G211:L211)),0,SUM(G211:L211))</f>
        <v>0</v>
      </c>
    </row>
    <row collapsed="false" customFormat="false" customHeight="false" hidden="true" ht="14" outlineLevel="1" r="212">
      <c r="B212" s="0" t="n">
        <f aca="false">+'bid input'!B13</f>
        <v>1104145</v>
      </c>
      <c r="C212" s="17" t="str">
        <f aca="false">+IF('bid input'!R13=1,"Y","N")</f>
        <v>N</v>
      </c>
      <c r="D212" s="13" t="n">
        <f aca="false">+IF(C212="Y",+'bid input'!M13,0)</f>
        <v>0</v>
      </c>
      <c r="E212" s="17" t="n">
        <f aca="false">+D212*$D$223</f>
        <v>0</v>
      </c>
      <c r="G212" s="49" t="n">
        <f aca="false">+IF(ISERR(+$E212/$E$221*G$196),0,+$E212/$E$221*G$196)</f>
        <v>0</v>
      </c>
      <c r="H212" s="49" t="n">
        <f aca="false">+IF(ISERR(+$E212/$E$221*H$196),0,+$E212/$E$221*H$196)</f>
        <v>0</v>
      </c>
      <c r="I212" s="49" t="n">
        <f aca="false">+IF(ISERR(+$E212/$E$221*I$196),0,+$E212/$E$221*I$196)</f>
        <v>0</v>
      </c>
      <c r="J212" s="49" t="n">
        <f aca="false">+IF(ISERR(+$E212/$E$221*J$196),0,+$E212/$E$221*J$196)</f>
        <v>0</v>
      </c>
      <c r="K212" s="49" t="n">
        <f aca="false">+IF(ISERR(+$E212/$E$221*K$196),0,+$E212/$E$221*K$196)</f>
        <v>0</v>
      </c>
      <c r="L212" s="49" t="n">
        <f aca="false">+IF(ISERR(+$E212/$E$221*L$196),0,+$E212/$E$221*L$196)</f>
        <v>0</v>
      </c>
      <c r="M212" s="13" t="n">
        <f aca="false">IF(ISERR(SUM(G212:L212)),0,SUM(G212:L212))</f>
        <v>0</v>
      </c>
    </row>
    <row collapsed="false" customFormat="false" customHeight="false" hidden="true" ht="14" outlineLevel="1" r="213">
      <c r="B213" s="0" t="n">
        <f aca="false">+'bid input'!B14</f>
        <v>1104133</v>
      </c>
      <c r="C213" s="17" t="str">
        <f aca="false">+IF('bid input'!R14=1,"Y","N")</f>
        <v>N</v>
      </c>
      <c r="D213" s="13" t="n">
        <f aca="false">+IF(C213="Y",+'bid input'!M14,0)</f>
        <v>0</v>
      </c>
      <c r="E213" s="17" t="n">
        <f aca="false">+D213*$D$223</f>
        <v>0</v>
      </c>
      <c r="G213" s="49" t="n">
        <f aca="false">+IF(ISERR(+$E213/$E$221*G$196),0,+$E213/$E$221*G$196)</f>
        <v>0</v>
      </c>
      <c r="H213" s="49" t="n">
        <f aca="false">+IF(ISERR(+$E213/$E$221*H$196),0,+$E213/$E$221*H$196)</f>
        <v>0</v>
      </c>
      <c r="I213" s="49" t="n">
        <f aca="false">+IF(ISERR(+$E213/$E$221*I$196),0,+$E213/$E$221*I$196)</f>
        <v>0</v>
      </c>
      <c r="J213" s="49" t="n">
        <f aca="false">+IF(ISERR(+$E213/$E$221*J$196),0,+$E213/$E$221*J$196)</f>
        <v>0</v>
      </c>
      <c r="K213" s="49" t="n">
        <f aca="false">+IF(ISERR(+$E213/$E$221*K$196),0,+$E213/$E$221*K$196)</f>
        <v>0</v>
      </c>
      <c r="L213" s="49" t="n">
        <f aca="false">+IF(ISERR(+$E213/$E$221*L$196),0,+$E213/$E$221*L$196)</f>
        <v>0</v>
      </c>
      <c r="M213" s="13" t="n">
        <f aca="false">IF(ISERR(SUM(G213:L213)),0,SUM(G213:L213))</f>
        <v>0</v>
      </c>
    </row>
    <row collapsed="false" customFormat="false" customHeight="false" hidden="true" ht="14" outlineLevel="1" r="214">
      <c r="B214" s="0" t="n">
        <f aca="false">+'bid input'!B15</f>
        <v>1104149</v>
      </c>
      <c r="C214" s="17" t="str">
        <f aca="false">+IF('bid input'!R15=1,"Y","N")</f>
        <v>N</v>
      </c>
      <c r="D214" s="13" t="n">
        <f aca="false">+IF(C214="Y",+'bid input'!M15,0)</f>
        <v>0</v>
      </c>
      <c r="E214" s="17" t="n">
        <f aca="false">+D214*$D$223</f>
        <v>0</v>
      </c>
      <c r="G214" s="49" t="n">
        <f aca="false">+IF(ISERR(+$E214/$E$221*G$196),0,+$E214/$E$221*G$196)</f>
        <v>0</v>
      </c>
      <c r="H214" s="49" t="n">
        <f aca="false">+IF(ISERR(+$E214/$E$221*H$196),0,+$E214/$E$221*H$196)</f>
        <v>0</v>
      </c>
      <c r="I214" s="49" t="n">
        <f aca="false">+IF(ISERR(+$E214/$E$221*I$196),0,+$E214/$E$221*I$196)</f>
        <v>0</v>
      </c>
      <c r="J214" s="49" t="n">
        <f aca="false">+IF(ISERR(+$E214/$E$221*J$196),0,+$E214/$E$221*J$196)</f>
        <v>0</v>
      </c>
      <c r="K214" s="49" t="n">
        <f aca="false">+IF(ISERR(+$E214/$E$221*K$196),0,+$E214/$E$221*K$196)</f>
        <v>0</v>
      </c>
      <c r="L214" s="49" t="n">
        <f aca="false">+IF(ISERR(+$E214/$E$221*L$196),0,+$E214/$E$221*L$196)</f>
        <v>0</v>
      </c>
      <c r="M214" s="13" t="n">
        <f aca="false">IF(ISERR(SUM(G214:L214)),0,SUM(G214:L214))</f>
        <v>0</v>
      </c>
    </row>
    <row collapsed="false" customFormat="false" customHeight="false" hidden="true" ht="14" outlineLevel="1" r="215">
      <c r="B215" s="0" t="n">
        <f aca="false">+'bid input'!B16</f>
        <v>1104151</v>
      </c>
      <c r="C215" s="17" t="str">
        <f aca="false">+IF('bid input'!R16=1,"Y","N")</f>
        <v>N</v>
      </c>
      <c r="D215" s="13" t="n">
        <f aca="false">+IF(C215="Y",+'bid input'!M16,0)</f>
        <v>0</v>
      </c>
      <c r="E215" s="17" t="n">
        <f aca="false">+D215*$D$223</f>
        <v>0</v>
      </c>
      <c r="G215" s="49" t="n">
        <f aca="false">+IF(ISERR(+$E215/$E$221*G$196),0,+$E215/$E$221*G$196)</f>
        <v>0</v>
      </c>
      <c r="H215" s="49" t="n">
        <f aca="false">+IF(ISERR(+$E215/$E$221*H$196),0,+$E215/$E$221*H$196)</f>
        <v>0</v>
      </c>
      <c r="I215" s="49" t="n">
        <f aca="false">+IF(ISERR(+$E215/$E$221*I$196),0,+$E215/$E$221*I$196)</f>
        <v>0</v>
      </c>
      <c r="J215" s="49" t="n">
        <f aca="false">+IF(ISERR(+$E215/$E$221*J$196),0,+$E215/$E$221*J$196)</f>
        <v>0</v>
      </c>
      <c r="K215" s="49" t="n">
        <f aca="false">+IF(ISERR(+$E215/$E$221*K$196),0,+$E215/$E$221*K$196)</f>
        <v>0</v>
      </c>
      <c r="L215" s="49" t="n">
        <f aca="false">+IF(ISERR(+$E215/$E$221*L$196),0,+$E215/$E$221*L$196)</f>
        <v>0</v>
      </c>
      <c r="M215" s="13" t="n">
        <f aca="false">IF(ISERR(SUM(G215:L215)),0,SUM(G215:L215))</f>
        <v>0</v>
      </c>
    </row>
    <row collapsed="false" customFormat="false" customHeight="false" hidden="true" ht="14" outlineLevel="1" r="216">
      <c r="B216" s="0" t="n">
        <f aca="false">+'bid input'!B17</f>
        <v>1104131</v>
      </c>
      <c r="C216" s="17" t="str">
        <f aca="false">+IF('bid input'!R17=1,"Y","N")</f>
        <v>Y</v>
      </c>
      <c r="D216" s="13" t="n">
        <f aca="false">+IF(C216="Y",+'bid input'!M17,0)</f>
        <v>598000</v>
      </c>
      <c r="E216" s="17" t="n">
        <f aca="false">+D216*$D$223</f>
        <v>212482.780487805</v>
      </c>
      <c r="G216" s="49" t="n">
        <f aca="false">+IF(ISERR(+$E216/$E$221*G$196),0,+$E216/$E$221*G$196)</f>
        <v>4447.87984599901</v>
      </c>
      <c r="H216" s="49" t="n">
        <f aca="false">+IF(ISERR(+$E216/$E$221*H$196),0,+$E216/$E$221*H$196)</f>
        <v>31456.6175846414</v>
      </c>
      <c r="I216" s="49" t="n">
        <f aca="false">+IF(ISERR(+$E216/$E$221*I$196),0,+$E216/$E$221*I$196)</f>
        <v>53574.1179034912</v>
      </c>
      <c r="J216" s="49" t="n">
        <f aca="false">+IF(ISERR(+$E216/$E$221*J$196),0,+$E216/$E$221*J$196)</f>
        <v>14664.1529286243</v>
      </c>
      <c r="K216" s="49" t="n">
        <f aca="false">+IF(ISERR(+$E216/$E$221*K$196),0,+$E216/$E$221*K$196)</f>
        <v>40657.1594425713</v>
      </c>
      <c r="L216" s="49" t="n">
        <f aca="false">+IF(ISERR(+$E216/$E$221*L$196),0,+$E216/$E$221*L$196)</f>
        <v>67682.8527824777</v>
      </c>
      <c r="M216" s="13" t="n">
        <f aca="false">IF(ISERR(SUM(G216:L216)),0,SUM(G216:L216))</f>
        <v>212482.780487805</v>
      </c>
    </row>
    <row collapsed="false" customFormat="false" customHeight="false" hidden="true" ht="14" outlineLevel="1" r="217">
      <c r="B217" s="0" t="n">
        <f aca="false">+'bid input'!B18</f>
        <v>1104155</v>
      </c>
      <c r="C217" s="17" t="str">
        <f aca="false">+IF('bid input'!R18=1,"Y","N")</f>
        <v>N</v>
      </c>
      <c r="D217" s="13" t="n">
        <f aca="false">+IF(C217="Y",+'bid input'!M18,0)</f>
        <v>0</v>
      </c>
      <c r="E217" s="17" t="n">
        <f aca="false">+D217*$D$223</f>
        <v>0</v>
      </c>
      <c r="G217" s="49" t="n">
        <f aca="false">+IF(ISERR(+$E217/$E$221*G$196),0,+$E217/$E$221*G$196)</f>
        <v>0</v>
      </c>
      <c r="H217" s="49" t="n">
        <f aca="false">+IF(ISERR(+$E217/$E$221*H$196),0,+$E217/$E$221*H$196)</f>
        <v>0</v>
      </c>
      <c r="I217" s="49" t="n">
        <f aca="false">+IF(ISERR(+$E217/$E$221*I$196),0,+$E217/$E$221*I$196)</f>
        <v>0</v>
      </c>
      <c r="J217" s="49" t="n">
        <f aca="false">+IF(ISERR(+$E217/$E$221*J$196),0,+$E217/$E$221*J$196)</f>
        <v>0</v>
      </c>
      <c r="K217" s="49" t="n">
        <f aca="false">+IF(ISERR(+$E217/$E$221*K$196),0,+$E217/$E$221*K$196)</f>
        <v>0</v>
      </c>
      <c r="L217" s="49" t="n">
        <f aca="false">+IF(ISERR(+$E217/$E$221*L$196),0,+$E217/$E$221*L$196)</f>
        <v>0</v>
      </c>
      <c r="M217" s="13" t="n">
        <f aca="false">IF(ISERR(SUM(G217:L217)),0,SUM(G217:L217))</f>
        <v>0</v>
      </c>
    </row>
    <row collapsed="false" customFormat="false" customHeight="false" hidden="true" ht="14" outlineLevel="1" r="218">
      <c r="B218" s="0" t="n">
        <f aca="false">+'bid input'!B19</f>
        <v>1104156</v>
      </c>
      <c r="C218" s="17" t="str">
        <f aca="false">+IF('bid input'!R19=1,"Y","N")</f>
        <v>N</v>
      </c>
      <c r="D218" s="13" t="n">
        <f aca="false">+IF(C218="Y",+'bid input'!M19,0)</f>
        <v>0</v>
      </c>
      <c r="E218" s="17" t="n">
        <f aca="false">+D218*$D$223</f>
        <v>0</v>
      </c>
      <c r="G218" s="49" t="n">
        <f aca="false">+IF(ISERR(+$E218/$E$221*G$196),0,+$E218/$E$221*G$196)</f>
        <v>0</v>
      </c>
      <c r="H218" s="49" t="n">
        <f aca="false">+IF(ISERR(+$E218/$E$221*H$196),0,+$E218/$E$221*H$196)</f>
        <v>0</v>
      </c>
      <c r="I218" s="49" t="n">
        <f aca="false">+IF(ISERR(+$E218/$E$221*I$196),0,+$E218/$E$221*I$196)</f>
        <v>0</v>
      </c>
      <c r="J218" s="49" t="n">
        <f aca="false">+IF(ISERR(+$E218/$E$221*J$196),0,+$E218/$E$221*J$196)</f>
        <v>0</v>
      </c>
      <c r="K218" s="49" t="n">
        <f aca="false">+IF(ISERR(+$E218/$E$221*K$196),0,+$E218/$E$221*K$196)</f>
        <v>0</v>
      </c>
      <c r="L218" s="49" t="n">
        <f aca="false">+IF(ISERR(+$E218/$E$221*L$196),0,+$E218/$E$221*L$196)</f>
        <v>0</v>
      </c>
      <c r="M218" s="13" t="n">
        <f aca="false">IF(ISERR(SUM(G218:L218)),0,SUM(G218:L218))</f>
        <v>0</v>
      </c>
    </row>
    <row collapsed="false" customFormat="false" customHeight="false" hidden="true" ht="14" outlineLevel="1" r="219">
      <c r="B219" s="0" t="n">
        <f aca="false">+'bid input'!B20</f>
        <v>1104157</v>
      </c>
      <c r="C219" s="17" t="str">
        <f aca="false">+IF('bid input'!R20=1,"Y","N")</f>
        <v>Y</v>
      </c>
      <c r="D219" s="13" t="n">
        <f aca="false">+IF(C219="Y",+'bid input'!M20,0)</f>
        <v>629000</v>
      </c>
      <c r="E219" s="17" t="n">
        <f aca="false">+D219*$D$223</f>
        <v>223497.774125133</v>
      </c>
      <c r="G219" s="49" t="n">
        <f aca="false">+IF(ISERR(+$E219/$E$221*G$196),0,+$E219/$E$221*G$196)</f>
        <v>4678.45555707923</v>
      </c>
      <c r="H219" s="49" t="n">
        <f aca="false">+IF(ISERR(+$E219/$E$221*H$196),0,+$E219/$E$221*H$196)</f>
        <v>33087.3118072566</v>
      </c>
      <c r="I219" s="49" t="n">
        <f aca="false">+IF(ISERR(+$E219/$E$221*I$196),0,+$E219/$E$221*I$196)</f>
        <v>56351.3715071838</v>
      </c>
      <c r="J219" s="49" t="n">
        <f aca="false">+IF(ISERR(+$E219/$E$221*J$196),0,+$E219/$E$221*J$196)</f>
        <v>15424.3347694058</v>
      </c>
      <c r="K219" s="49" t="n">
        <f aca="false">+IF(ISERR(+$E219/$E$221*K$196),0,+$E219/$E$221*K$196)</f>
        <v>42764.8048317347</v>
      </c>
      <c r="L219" s="49" t="n">
        <f aca="false">+IF(ISERR(+$E219/$E$221*L$196),0,+$E219/$E$221*L$196)</f>
        <v>71191.4956524724</v>
      </c>
      <c r="M219" s="13" t="n">
        <f aca="false">IF(ISERR(SUM(G219:L219)),0,SUM(G219:L219))</f>
        <v>223497.774125133</v>
      </c>
    </row>
    <row collapsed="false" customFormat="false" customHeight="false" hidden="true" ht="14" outlineLevel="1" r="220">
      <c r="B220" s="0" t="n">
        <f aca="false">+'bid input'!B21</f>
        <v>1104158</v>
      </c>
      <c r="C220" s="17" t="str">
        <f aca="false">+IF('bid input'!R21=1,"Y","N")</f>
        <v>N</v>
      </c>
      <c r="D220" s="13" t="n">
        <f aca="false">+IF(C220="Y",+'bid input'!M21,0)</f>
        <v>0</v>
      </c>
      <c r="E220" s="17" t="n">
        <f aca="false">+D220*$D$223</f>
        <v>0</v>
      </c>
      <c r="G220" s="49" t="n">
        <f aca="false">+IF(ISERR(+$E220/$E$221*G$196),0,+$E220/$E$221*G$196)</f>
        <v>0</v>
      </c>
      <c r="H220" s="49" t="n">
        <f aca="false">+IF(ISERR(+$E220/$E$221*H$196),0,+$E220/$E$221*H$196)</f>
        <v>0</v>
      </c>
      <c r="I220" s="49" t="n">
        <f aca="false">+IF(ISERR(+$E220/$E$221*I$196),0,+$E220/$E$221*I$196)</f>
        <v>0</v>
      </c>
      <c r="J220" s="49" t="n">
        <f aca="false">+IF(ISERR(+$E220/$E$221*J$196),0,+$E220/$E$221*J$196)</f>
        <v>0</v>
      </c>
      <c r="K220" s="49" t="n">
        <f aca="false">+IF(ISERR(+$E220/$E$221*K$196),0,+$E220/$E$221*K$196)</f>
        <v>0</v>
      </c>
      <c r="L220" s="49" t="n">
        <f aca="false">+IF(ISERR(+$E220/$E$221*L$196),0,+$E220/$E$221*L$196)</f>
        <v>0</v>
      </c>
      <c r="M220" s="13" t="n">
        <f aca="false">IF(ISERR(SUM(G220:L220)),0,SUM(G220:L220))</f>
        <v>0</v>
      </c>
    </row>
    <row collapsed="false" customFormat="false" customHeight="false" hidden="true" ht="14" outlineLevel="1" r="221">
      <c r="B221" s="0" t="s">
        <v>78</v>
      </c>
      <c r="C221" s="0" t="n">
        <f aca="false">+COUNTIF(C201:C220,"Y")</f>
        <v>3</v>
      </c>
      <c r="D221" s="13" t="n">
        <f aca="false">SUM(D201:D220)</f>
        <v>1414500</v>
      </c>
      <c r="E221" s="13" t="n">
        <f aca="false">SUM(E201:E220)</f>
        <v>502603.5</v>
      </c>
      <c r="H221" s="13"/>
      <c r="I221" s="13"/>
      <c r="J221" s="13"/>
      <c r="K221" s="13"/>
      <c r="L221" s="13"/>
      <c r="M221" s="13"/>
    </row>
    <row collapsed="false" customFormat="false" customHeight="false" hidden="true" ht="14" outlineLevel="1" r="222">
      <c r="B222" s="0" t="s">
        <v>79</v>
      </c>
      <c r="D222" s="13" t="n">
        <f aca="false">+M196</f>
        <v>502603.5</v>
      </c>
      <c r="E222" s="17"/>
    </row>
    <row collapsed="false" customFormat="false" customHeight="false" hidden="true" ht="14" outlineLevel="1" r="223">
      <c r="B223" s="0" t="s">
        <v>80</v>
      </c>
      <c r="D223" s="67" t="n">
        <f aca="false">+IF(ISERR(D222/D221),0,D222/D221)</f>
        <v>0.355322375397667</v>
      </c>
      <c r="E223" s="17"/>
    </row>
    <row collapsed="false" customFormat="false" customHeight="false" hidden="true" ht="14" outlineLevel="1" r="224">
      <c r="E224" s="17"/>
      <c r="H224" s="60"/>
      <c r="I224" s="60"/>
      <c r="J224" s="60"/>
      <c r="K224" s="60"/>
      <c r="L224" s="60"/>
      <c r="M224" s="60"/>
    </row>
    <row collapsed="false" customFormat="false" customHeight="false" hidden="false" ht="14" outlineLevel="0" r="225">
      <c r="D225" s="21" t="s">
        <v>73</v>
      </c>
      <c r="E225" s="22"/>
      <c r="F225" s="22"/>
      <c r="G225" s="23" t="n">
        <f aca="false">IF(ISERR(SUM(G201:G220)),0,SUM(G201:G220))</f>
        <v>10520.9465588054</v>
      </c>
      <c r="H225" s="23" t="n">
        <f aca="false">IF(ISERR(SUM(H201:H220)),0,SUM(H201:H220))</f>
        <v>74406.999286748</v>
      </c>
      <c r="I225" s="23" t="n">
        <f aca="false">IF(ISERR(SUM(I201:I220)),0,SUM(I201:I220))</f>
        <v>126723.394271719</v>
      </c>
      <c r="J225" s="23" t="n">
        <f aca="false">IF(ISERR(SUM(J201:J220)),0,SUM(J201:J220))</f>
        <v>34686.3617350151</v>
      </c>
      <c r="K225" s="23" t="n">
        <f aca="false">IF(ISERR(SUM(K201:K220)),0,SUM(K201:K220))</f>
        <v>96169.8194506975</v>
      </c>
      <c r="L225" s="23" t="n">
        <f aca="false">IF(ISERR(SUM(L201:L220)),0,SUM(L201:L220))</f>
        <v>160095.978697015</v>
      </c>
      <c r="M225" s="24" t="n">
        <f aca="false">SUM(G225:L225)</f>
        <v>502603.5</v>
      </c>
    </row>
    <row collapsed="false" customFormat="false" customHeight="false" hidden="false" ht="14" outlineLevel="0" r="226">
      <c r="D226" s="25" t="s">
        <v>40</v>
      </c>
      <c r="E226" s="26"/>
      <c r="F226" s="26"/>
      <c r="G226" s="66" t="inlineStr">
        <f aca="false">+IF(ISERROR(G109),G188,MAX(G109,G188))</f>
        <is>
          <t/>
        </is>
      </c>
      <c r="H226" s="66" t="inlineStr">
        <f aca="false">+IF(ISERROR(H109),H188,MAX(H109,H188))</f>
        <is>
          <t/>
        </is>
      </c>
      <c r="I226" s="66" t="inlineStr">
        <f aca="false">+IF(ISERROR(I109),I188,MAX(I109,I188))</f>
        <is>
          <t/>
        </is>
      </c>
      <c r="J226" s="66" t="inlineStr">
        <f aca="false">+IF(ISERROR(J109),J188,MAX(J109,J188))</f>
        <is>
          <t/>
        </is>
      </c>
      <c r="K226" s="66" t="inlineStr">
        <f aca="false">+IF(ISERROR(K109),K188,MAX(K109,K188))</f>
        <is>
          <t/>
        </is>
      </c>
      <c r="L226" s="66" t="inlineStr">
        <f aca="false">+IF(ISERROR(L109),L188,MAX(L109,L188))</f>
        <is>
          <t/>
        </is>
      </c>
      <c r="M226" s="28" t="inlineStr">
        <f aca="false">+IF(ISERROR(M109),M190,MAX(M109,M190))</f>
        <is>
          <t/>
        </is>
      </c>
    </row>
    <row collapsed="false" customFormat="false" customHeight="false" hidden="false" ht="14" outlineLevel="0" r="227">
      <c r="E227" s="17"/>
    </row>
    <row collapsed="false" customFormat="false" customHeight="false" hidden="false" ht="14" outlineLevel="0" r="228">
      <c r="D228" s="33" t="s">
        <v>48</v>
      </c>
      <c r="E228" s="34"/>
      <c r="F228" s="34"/>
      <c r="G228" s="35" t="n">
        <f aca="false">+G193+G225</f>
        <v>318725</v>
      </c>
      <c r="H228" s="35" t="n">
        <f aca="false">+H193+H225</f>
        <v>375685</v>
      </c>
      <c r="I228" s="35" t="n">
        <f aca="false">+I193+I225</f>
        <v>479875</v>
      </c>
      <c r="J228" s="35" t="n">
        <f aca="false">+J193+J225</f>
        <v>525400</v>
      </c>
      <c r="K228" s="35" t="n">
        <f aca="false">+K193+K225</f>
        <v>515425</v>
      </c>
      <c r="L228" s="35" t="n">
        <f aca="false">+L193+L225</f>
        <v>485000</v>
      </c>
      <c r="M228" s="36" t="n">
        <f aca="false">+M193+M225</f>
        <v>2700110</v>
      </c>
    </row>
    <row collapsed="false" customFormat="false" customHeight="false" hidden="false" ht="14" outlineLevel="0" r="229">
      <c r="D229" s="41" t="s">
        <v>40</v>
      </c>
      <c r="E229" s="42"/>
      <c r="F229" s="42"/>
      <c r="G229" s="43" t="n">
        <f aca="false">+IF(G228=0,0,IF(ISERR(G194),G226,((G225*G226)+(G193*G194))/G228))</f>
        <v>0.0297865585389944</v>
      </c>
      <c r="H229" s="43" t="n">
        <f aca="false">+IF(H228=0,0,IF(ISERR(H194),H226,((H225*H226)+(H193*H194))/H228))</f>
        <v>0.0379563512150963</v>
      </c>
      <c r="I229" s="43" t="n">
        <f aca="false">+IF(I228=0,0,IF(ISERR(I194),I226,((I225*I226)+(I193*I194))/I228))</f>
        <v>0.0421380884346811</v>
      </c>
      <c r="J229" s="43" t="n">
        <f aca="false">+IF(J228=0,0,IF(ISERR(J194),J226,((J225*J226)+(J193*J194))/J228))</f>
        <v>0.0396672196751885</v>
      </c>
      <c r="K229" s="43" t="n">
        <f aca="false">+IF(K228=0,0,IF(ISERR(K194),K226,((K225*K226)+(K193*K194))/K228))</f>
        <v>0.0330841171500595</v>
      </c>
      <c r="L229" s="43" t="n">
        <f aca="false">+IF(L228=0,0,IF(ISERR(L194),L226,((L225*L226)+(L193*L194))/L228))</f>
        <v>0.0504179690615421</v>
      </c>
      <c r="M229" s="44" t="n">
        <f aca="false">+SUMPRODUCT(G229:L229*G228:L228)/M228</f>
        <v>0.0393764036126078</v>
      </c>
    </row>
    <row collapsed="false" customFormat="false" customHeight="false" hidden="false" ht="14" outlineLevel="0" r="230">
      <c r="E230" s="17"/>
    </row>
    <row collapsed="false" customFormat="false" customHeight="false" hidden="false" ht="14" outlineLevel="0" r="231">
      <c r="D231" s="0" t="s">
        <v>41</v>
      </c>
      <c r="G231" s="13" t="n">
        <f aca="false">+G4-G228</f>
        <v>0</v>
      </c>
      <c r="H231" s="13" t="n">
        <f aca="false">+H4-H228</f>
        <v>0</v>
      </c>
      <c r="I231" s="13" t="n">
        <f aca="false">+I4-I228</f>
        <v>0</v>
      </c>
      <c r="J231" s="13" t="n">
        <f aca="false">+J4-J228</f>
        <v>0</v>
      </c>
      <c r="K231" s="13" t="n">
        <f aca="false">+K4-K228</f>
        <v>0</v>
      </c>
      <c r="L231" s="13" t="n">
        <f aca="false">+L4-L228</f>
        <v>0</v>
      </c>
      <c r="M231" s="13" t="n">
        <f aca="false">+M4-M228</f>
        <v>0</v>
      </c>
    </row>
    <row collapsed="false" customFormat="false" customHeight="false" hidden="false" ht="14" outlineLevel="0" r="232">
      <c r="D232" s="0" t="s">
        <v>42</v>
      </c>
      <c r="G232" s="29" t="str">
        <f aca="false">+IF(G231=0,"NA",IF(G231&lt;0,"OVER","UNDER"))</f>
        <v>NA</v>
      </c>
      <c r="H232" s="29" t="str">
        <f aca="false">+IF(H231=0,"NA",IF(H231&lt;0,"OVER","UNDER"))</f>
        <v>NA</v>
      </c>
      <c r="I232" s="29" t="str">
        <f aca="false">+IF(I231=0,"NA",IF(I231&lt;0,"OVER","UNDER"))</f>
        <v>NA</v>
      </c>
      <c r="J232" s="29" t="str">
        <f aca="false">+IF(J231=0,"NA",IF(J231&lt;0,"OVER","UNDER"))</f>
        <v>NA</v>
      </c>
      <c r="K232" s="29" t="str">
        <f aca="false">+IF(K231=0,"NA",IF(K231&lt;0,"OVER","UNDER"))</f>
        <v>NA</v>
      </c>
      <c r="L232" s="29" t="str">
        <f aca="false">+IF(L231=0,"NA",IF(L231&lt;0,"OVER","UNDER"))</f>
        <v>NA</v>
      </c>
      <c r="M232" s="29" t="str">
        <f aca="false">+IF(M231=0,"NA",IF(M231&lt;0,"OVER","UNDER"))</f>
        <v>NA</v>
      </c>
    </row>
    <row collapsed="false" customFormat="false" customHeight="false" hidden="false" ht="14" outlineLevel="0" r="233">
      <c r="E233" s="17"/>
    </row>
    <row collapsed="false" customFormat="false" customHeight="false" hidden="false" ht="14" outlineLevel="0" r="234">
      <c r="A234" s="0" t="s">
        <v>81</v>
      </c>
      <c r="E234" s="17"/>
    </row>
    <row collapsed="false" customFormat="false" customHeight="false" hidden="true" ht="14" outlineLevel="1" r="235">
      <c r="E235" s="17"/>
    </row>
    <row collapsed="false" customFormat="false" customHeight="false" hidden="true" ht="14" outlineLevel="1" r="236">
      <c r="B236" s="14" t="s">
        <v>35</v>
      </c>
      <c r="C236" s="14" t="s">
        <v>38</v>
      </c>
      <c r="D236" s="14" t="s">
        <v>82</v>
      </c>
      <c r="E236" s="17" t="s">
        <v>83</v>
      </c>
    </row>
    <row collapsed="false" customFormat="false" customHeight="false" hidden="true" ht="14" outlineLevel="1" r="237">
      <c r="B237" s="0" t="n">
        <f aca="false">+'bid input'!B2</f>
        <v>1104134</v>
      </c>
      <c r="C237" s="60" t="inlineStr">
        <f aca="false">+IF(D237&gt;0,IF(M29&gt;0,F29,0)+IF(M79&gt;0,SUMPRODUCT(G$57:L$57,G79:L79)/M79,0)+E161+IF(M201&gt;0,M$226,0),0)</f>
        <is>
          <t/>
        </is>
      </c>
      <c r="D237" s="13" t="n">
        <f aca="false">+M237</f>
        <v>66622.9453870626</v>
      </c>
      <c r="E237" s="17" t="n">
        <f aca="false">'bid input'!M2-D237</f>
        <v>120877.054612937</v>
      </c>
      <c r="G237" s="13" t="n">
        <f aca="false">+IF(G$232="NA",+G201+G161+G79+G29,0)</f>
        <v>1394.61115572712</v>
      </c>
      <c r="H237" s="13" t="n">
        <f aca="false">+IF(H$232="NA",+H201+H161+H79+H29,0)</f>
        <v>9863.06989484995</v>
      </c>
      <c r="I237" s="13" t="n">
        <f aca="false">+IF(I$232="NA",+I201+I161+I79+I29,0)</f>
        <v>16797.9048610445</v>
      </c>
      <c r="J237" s="13" t="n">
        <f aca="false">+IF(J$232="NA",+J201+J161+J79+J29,0)</f>
        <v>4597.87403698503</v>
      </c>
      <c r="K237" s="13" t="n">
        <f aca="false">+IF(K$232="NA",+K201+K161+K79+K29,0)</f>
        <v>12747.8551763915</v>
      </c>
      <c r="L237" s="13" t="n">
        <f aca="false">+IF(L$232="NA",+L201+L161+L79+L29,0)</f>
        <v>21221.6302620645</v>
      </c>
      <c r="M237" s="13" t="n">
        <f aca="false">SUM(G237:L237)</f>
        <v>66622.9453870626</v>
      </c>
    </row>
    <row collapsed="false" customFormat="false" customHeight="false" hidden="true" ht="14" outlineLevel="1" r="238">
      <c r="B238" s="0" t="n">
        <f aca="false">+'bid input'!B3</f>
        <v>1104143</v>
      </c>
      <c r="C238" s="60" t="n">
        <f aca="false">+IF(D238&gt;0,IF(M30&gt;0,F30,0)+IF(M80&gt;0,SUMPRODUCT(G$57:L$57,G80:L80)/M80,0)+E162+IF(M202&gt;0,M$226,0),0)</f>
        <v>0.035</v>
      </c>
      <c r="D238" s="13" t="n">
        <f aca="false">+M238</f>
        <v>138882</v>
      </c>
      <c r="E238" s="17" t="n">
        <f aca="false">'bid input'!M3-D238</f>
        <v>361118</v>
      </c>
      <c r="G238" s="13" t="n">
        <f aca="false">+IF(G$232="NA",+G202+G162+G80+G30,0)</f>
        <v>63745</v>
      </c>
      <c r="H238" s="13" t="n">
        <f aca="false">+IF(H$232="NA",+H202+H162+H80+H30,0)</f>
        <v>75137</v>
      </c>
      <c r="I238" s="13" t="n">
        <f aca="false">+IF(I$232="NA",+I202+I162+I80+I30,0)</f>
        <v>0</v>
      </c>
      <c r="J238" s="13" t="n">
        <f aca="false">+IF(J$232="NA",+J202+J162+J80+J30,0)</f>
        <v>0</v>
      </c>
      <c r="K238" s="13" t="n">
        <f aca="false">+IF(K$232="NA",+K202+K162+K80+K30,0)</f>
        <v>0</v>
      </c>
      <c r="L238" s="13" t="n">
        <f aca="false">+IF(L$232="NA",+L202+L162+L80+L30,0)</f>
        <v>0</v>
      </c>
      <c r="M238" s="13" t="n">
        <f aca="false">SUM(G238:L238)</f>
        <v>138882</v>
      </c>
    </row>
    <row collapsed="false" customFormat="false" customHeight="false" hidden="true" ht="14" outlineLevel="1" r="239">
      <c r="B239" s="0" t="n">
        <f aca="false">+'bid input'!B4</f>
        <v>1104154</v>
      </c>
      <c r="C239" s="60" t="n">
        <f aca="false">+IF(D239&gt;0,IF(M31&gt;0,F31,0)+IF(M81&gt;0,SUMPRODUCT(G$57:L$57,G81:L81)/M81,0)+E163+IF(M203&gt;0,M$226,0),0)</f>
        <v>0.0492273251512185</v>
      </c>
      <c r="D239" s="13" t="n">
        <f aca="false">+M239</f>
        <v>185000</v>
      </c>
      <c r="E239" s="17" t="n">
        <f aca="false">'bid input'!M4-D239</f>
        <v>0</v>
      </c>
      <c r="G239" s="13" t="n">
        <f aca="false">+IF(G$232="NA",+G203+G163+G81+G31,0)</f>
        <v>3872.58567315785</v>
      </c>
      <c r="H239" s="13" t="n">
        <f aca="false">+IF(H$232="NA",+H203+H163+H81+H31,0)</f>
        <v>27387.9805215212</v>
      </c>
      <c r="I239" s="13" t="n">
        <f aca="false">+IF(I$232="NA",+I203+I163+I81+I31,0)</f>
        <v>46644.7765291489</v>
      </c>
      <c r="J239" s="13" t="n">
        <f aca="false">+IF(J$232="NA",+J203+J163+J81+J31,0)</f>
        <v>12767.4736068845</v>
      </c>
      <c r="K239" s="13" t="n">
        <f aca="false">+IF(K$232="NA",+K203+K163+K81+K31,0)</f>
        <v>35398.5131388441</v>
      </c>
      <c r="L239" s="13" t="n">
        <f aca="false">+IF(L$232="NA",+L203+L163+L81+L31,0)</f>
        <v>58928.6705304434</v>
      </c>
      <c r="M239" s="13" t="n">
        <f aca="false">SUM(G239:L239)</f>
        <v>185000</v>
      </c>
    </row>
    <row collapsed="false" customFormat="false" customHeight="false" hidden="true" ht="14" outlineLevel="1" r="240">
      <c r="B240" s="0" t="n">
        <f aca="false">+'bid input'!B5</f>
        <v>1104152</v>
      </c>
      <c r="C240" s="60" t="n">
        <f aca="false">+IF(D240&gt;0,IF(M32&gt;0,F32,0)+IF(M82&gt;0,SUMPRODUCT(G$57:L$57,G82:L82)/M82,0)+E164+IF(M204&gt;0,M$226,0),0)</f>
        <v>0.03</v>
      </c>
      <c r="D240" s="13" t="n">
        <f aca="false">+M240</f>
        <v>201055</v>
      </c>
      <c r="E240" s="17" t="n">
        <f aca="false">'bid input'!M5-D240</f>
        <v>1298945</v>
      </c>
      <c r="G240" s="13" t="n">
        <f aca="false">+IF(G$232="NA",+G204+G164+G82+G32,0)</f>
        <v>0</v>
      </c>
      <c r="H240" s="13" t="n">
        <f aca="false">+IF(H$232="NA",+H204+H164+H82+H32,0)</f>
        <v>0</v>
      </c>
      <c r="I240" s="13" t="n">
        <f aca="false">+IF(I$232="NA",+I204+I164+I82+I32,0)</f>
        <v>95975</v>
      </c>
      <c r="J240" s="13" t="n">
        <f aca="false">+IF(J$232="NA",+J204+J164+J82+J32,0)</f>
        <v>105080</v>
      </c>
      <c r="K240" s="13" t="n">
        <f aca="false">+IF(K$232="NA",+K204+K164+K82+K32,0)</f>
        <v>0</v>
      </c>
      <c r="L240" s="13" t="n">
        <f aca="false">+IF(L$232="NA",+L204+L164+L82+L32,0)</f>
        <v>0</v>
      </c>
      <c r="M240" s="13" t="n">
        <f aca="false">SUM(G240:L240)</f>
        <v>201055</v>
      </c>
    </row>
    <row collapsed="false" customFormat="false" customHeight="false" hidden="true" ht="14" outlineLevel="1" r="241">
      <c r="B241" s="0" t="n">
        <f aca="false">+'bid input'!B6</f>
        <v>1104136</v>
      </c>
      <c r="C241" s="60" t="n">
        <f aca="false">+IF(D241&gt;0,IF(M33&gt;0,F33,0)+IF(M83&gt;0,SUMPRODUCT(G$57:L$57,G83:L83)/M83,0)+E165+IF(M205&gt;0,M$226,0),0)</f>
        <v>0.06</v>
      </c>
      <c r="D241" s="13" t="n">
        <f aca="false">+M241</f>
        <v>105080</v>
      </c>
      <c r="E241" s="17" t="n">
        <f aca="false">'bid input'!M6-D241</f>
        <v>754920</v>
      </c>
      <c r="G241" s="13" t="n">
        <f aca="false">+IF(G$232="NA",+G205+G165+G83+G33,0)</f>
        <v>0</v>
      </c>
      <c r="H241" s="13" t="n">
        <f aca="false">+IF(H$232="NA",+H205+H165+H83+H33,0)</f>
        <v>0</v>
      </c>
      <c r="I241" s="13" t="n">
        <f aca="false">+IF(I$232="NA",+I205+I165+I83+I33,0)</f>
        <v>0</v>
      </c>
      <c r="J241" s="13" t="n">
        <f aca="false">+IF(J$232="NA",+J205+J165+J83+J33,0)</f>
        <v>105080</v>
      </c>
      <c r="K241" s="13" t="n">
        <f aca="false">+IF(K$232="NA",+K205+K165+K83+K33,0)</f>
        <v>0</v>
      </c>
      <c r="L241" s="13" t="n">
        <f aca="false">+IF(L$232="NA",+L205+L165+L83+L33,0)</f>
        <v>0</v>
      </c>
      <c r="M241" s="13" t="n">
        <f aca="false">SUM(G241:L241)</f>
        <v>105080</v>
      </c>
    </row>
    <row collapsed="false" customFormat="false" customHeight="false" hidden="true" ht="14" outlineLevel="1" r="242">
      <c r="B242" s="0" t="n">
        <f aca="false">+'bid input'!B7</f>
        <v>1104138</v>
      </c>
      <c r="C242" s="60" t="n">
        <f aca="false">+IF(D242&gt;0,IF(M34&gt;0,F34,0)+IF(M84&gt;0,SUMPRODUCT(G$57:L$57,G84:L84)/M84,0)+E166+IF(M206&gt;0,M$226,0),0)</f>
        <v>0.0404773251512185</v>
      </c>
      <c r="D242" s="13" t="n">
        <f aca="false">+M242</f>
        <v>300000</v>
      </c>
      <c r="E242" s="17" t="n">
        <f aca="false">'bid input'!M7-D242</f>
        <v>0</v>
      </c>
      <c r="G242" s="13" t="n">
        <f aca="false">+IF(G$232="NA",+G206+G166+G84+G34,0)</f>
        <v>6279.86865917489</v>
      </c>
      <c r="H242" s="13" t="n">
        <f aca="false">+IF(H$232="NA",+H206+H166+H84+H34,0)</f>
        <v>44412.9413862506</v>
      </c>
      <c r="I242" s="13" t="n">
        <f aca="false">+IF(I$232="NA",+I206+I166+I84+I34,0)</f>
        <v>75640.1781553766</v>
      </c>
      <c r="J242" s="13" t="n">
        <f aca="false">+IF(J$232="NA",+J206+J166+J84+J34,0)</f>
        <v>20704.0112544073</v>
      </c>
      <c r="K242" s="13" t="n">
        <f aca="false">+IF(K$232="NA",+K206+K166+K84+K34,0)</f>
        <v>57402.9942792066</v>
      </c>
      <c r="L242" s="13" t="n">
        <f aca="false">+IF(L$232="NA",+L206+L166+L84+L34,0)</f>
        <v>95560.0062655839</v>
      </c>
      <c r="M242" s="13" t="n">
        <f aca="false">SUM(G242:L242)</f>
        <v>300000</v>
      </c>
    </row>
    <row collapsed="false" customFormat="false" customHeight="false" hidden="true" ht="14" outlineLevel="1" r="243">
      <c r="B243" s="0" t="n">
        <f aca="false">+'bid input'!B8</f>
        <v>1104139</v>
      </c>
      <c r="C243" s="60" t="n">
        <f aca="false">+IF(D243&gt;0,IF(M35&gt;0,F35,0)+IF(M85&gt;0,SUMPRODUCT(G$57:L$57,G85:L85)/M85,0)+E167+IF(M207&gt;0,M$226,0),0)</f>
        <v>0.0417273251512185</v>
      </c>
      <c r="D243" s="13" t="n">
        <f aca="false">+M243</f>
        <v>250000</v>
      </c>
      <c r="E243" s="17" t="n">
        <f aca="false">'bid input'!M8-D243</f>
        <v>0</v>
      </c>
      <c r="G243" s="13" t="n">
        <f aca="false">+IF(G$232="NA",+G207+G167+G85+G35,0)</f>
        <v>5233.22388264574</v>
      </c>
      <c r="H243" s="13" t="n">
        <f aca="false">+IF(H$232="NA",+H207+H167+H85+H35,0)</f>
        <v>37010.7844885422</v>
      </c>
      <c r="I243" s="13" t="n">
        <f aca="false">+IF(I$232="NA",+I207+I167+I85+I35,0)</f>
        <v>63033.4817961472</v>
      </c>
      <c r="J243" s="13" t="n">
        <f aca="false">+IF(J$232="NA",+J207+J167+J85+J35,0)</f>
        <v>17253.3427120061</v>
      </c>
      <c r="K243" s="13" t="n">
        <f aca="false">+IF(K$232="NA",+K207+K167+K85+K35,0)</f>
        <v>47835.8285660055</v>
      </c>
      <c r="L243" s="13" t="n">
        <f aca="false">+IF(L$232="NA",+L207+L167+L85+L35,0)</f>
        <v>79633.3385546533</v>
      </c>
      <c r="M243" s="13" t="n">
        <f aca="false">SUM(G243:L243)</f>
        <v>250000</v>
      </c>
    </row>
    <row collapsed="false" customFormat="false" customHeight="false" hidden="true" ht="14" outlineLevel="1" r="244">
      <c r="B244" s="0" t="n">
        <f aca="false">+'bid input'!B9</f>
        <v>1104140</v>
      </c>
      <c r="C244" s="60" t="n">
        <f aca="false">+IF(D244&gt;0,IF(M36&gt;0,F36,0)+IF(M86&gt;0,SUMPRODUCT(G$57:L$57,G86:L86)/M86,0)+E168+IF(M208&gt;0,M$226,0),0)</f>
        <v>0.025</v>
      </c>
      <c r="D244" s="13" t="n">
        <f aca="false">+M244</f>
        <v>74000</v>
      </c>
      <c r="E244" s="17" t="n">
        <f aca="false">'bid input'!M9-D244</f>
        <v>0</v>
      </c>
      <c r="G244" s="13" t="n">
        <f aca="false">+IF(G$232="NA",+G208+G168+G86+G36,0)</f>
        <v>0</v>
      </c>
      <c r="H244" s="13" t="n">
        <f aca="false">+IF(H$232="NA",+H208+H168+H86+H36,0)</f>
        <v>0</v>
      </c>
      <c r="I244" s="13" t="n">
        <f aca="false">+IF(I$232="NA",+I208+I168+I86+I36,0)</f>
        <v>0</v>
      </c>
      <c r="J244" s="13" t="n">
        <f aca="false">+IF(J$232="NA",+J208+J168+J86+J36,0)</f>
        <v>0</v>
      </c>
      <c r="K244" s="13" t="n">
        <f aca="false">+IF(K$232="NA",+K208+K168+K86+K36,0)</f>
        <v>74000</v>
      </c>
      <c r="L244" s="13" t="n">
        <f aca="false">+IF(L$232="NA",+L208+L168+L86+L36,0)</f>
        <v>0</v>
      </c>
      <c r="M244" s="13" t="n">
        <f aca="false">SUM(G244:L244)</f>
        <v>74000</v>
      </c>
    </row>
    <row collapsed="false" customFormat="false" customHeight="false" hidden="true" ht="14" outlineLevel="1" r="245">
      <c r="B245" s="0" t="n">
        <f aca="false">+'bid input'!B10</f>
        <v>1104141</v>
      </c>
      <c r="C245" s="60" t="n">
        <f aca="false">+IF(D245&gt;0,IF(M37&gt;0,F37,0)+IF(M87&gt;0,SUMPRODUCT(G$57:L$57,G87:L87)/M87,0)+E169+IF(M209&gt;0,M$226,0),0)</f>
        <v>0.0442273251512185</v>
      </c>
      <c r="D245" s="13" t="n">
        <f aca="false">+M245</f>
        <v>285000</v>
      </c>
      <c r="E245" s="17" t="n">
        <f aca="false">'bid input'!M10-D245</f>
        <v>0</v>
      </c>
      <c r="G245" s="13" t="n">
        <f aca="false">+IF(G$232="NA",+G209+G169+G87+G37,0)</f>
        <v>5965.87522621615</v>
      </c>
      <c r="H245" s="13" t="n">
        <f aca="false">+IF(H$232="NA",+H209+H169+H87+H37,0)</f>
        <v>42192.2943169381</v>
      </c>
      <c r="I245" s="13" t="n">
        <f aca="false">+IF(I$232="NA",+I209+I169+I87+I37,0)</f>
        <v>71858.1692476078</v>
      </c>
      <c r="J245" s="13" t="n">
        <f aca="false">+IF(J$232="NA",+J209+J169+J87+J37,0)</f>
        <v>19668.810691687</v>
      </c>
      <c r="K245" s="13" t="n">
        <f aca="false">+IF(K$232="NA",+K209+K169+K87+K37,0)</f>
        <v>54532.8445652463</v>
      </c>
      <c r="L245" s="13" t="n">
        <f aca="false">+IF(L$232="NA",+L209+L169+L87+L37,0)</f>
        <v>90782.0059523047</v>
      </c>
      <c r="M245" s="13" t="n">
        <f aca="false">SUM(G245:L245)</f>
        <v>285000</v>
      </c>
    </row>
    <row collapsed="false" customFormat="false" customHeight="false" hidden="true" ht="14" outlineLevel="1" r="246">
      <c r="B246" s="0" t="n">
        <f aca="false">+'bid input'!B11</f>
        <v>1104159</v>
      </c>
      <c r="C246" s="60" t="n">
        <f aca="false">+IF(D246&gt;0,IF(M38&gt;0,F38,0)+IF(M88&gt;0,SUMPRODUCT(G$57:L$57,G88:L88)/M88,0)+E170+IF(M210&gt;0,M$226,0),0)</f>
        <v>0.035</v>
      </c>
      <c r="D246" s="13" t="n">
        <f aca="false">+M246</f>
        <v>63745</v>
      </c>
      <c r="E246" s="17" t="n">
        <f aca="false">'bid input'!M11-D246</f>
        <v>468255</v>
      </c>
      <c r="G246" s="13" t="n">
        <f aca="false">+IF(G$232="NA",+G210+G170+G88+G38,0)</f>
        <v>63745</v>
      </c>
      <c r="H246" s="13" t="n">
        <f aca="false">+IF(H$232="NA",+H210+H170+H88+H38,0)</f>
        <v>0</v>
      </c>
      <c r="I246" s="13" t="n">
        <f aca="false">+IF(I$232="NA",+I210+I170+I88+I38,0)</f>
        <v>0</v>
      </c>
      <c r="J246" s="13" t="n">
        <f aca="false">+IF(J$232="NA",+J210+J170+J88+J38,0)</f>
        <v>0</v>
      </c>
      <c r="K246" s="13" t="n">
        <f aca="false">+IF(K$232="NA",+K210+K170+K88+K38,0)</f>
        <v>0</v>
      </c>
      <c r="L246" s="13" t="n">
        <f aca="false">+IF(L$232="NA",+L210+L170+L88+L38,0)</f>
        <v>0</v>
      </c>
      <c r="M246" s="13" t="n">
        <f aca="false">SUM(G246:L246)</f>
        <v>63745</v>
      </c>
    </row>
    <row collapsed="false" customFormat="false" customHeight="false" hidden="true" ht="14" outlineLevel="1" r="247">
      <c r="B247" s="0" t="n">
        <f aca="false">+'bid input'!B12</f>
        <v>1104161</v>
      </c>
      <c r="C247" s="60" t="n">
        <f aca="false">+IF(D247&gt;0,IF(M39&gt;0,F39,0)+IF(M89&gt;0,SUMPRODUCT(G$57:L$57,G89:L89)/M89,0)+E171+IF(M211&gt;0,M$226,0),0)</f>
        <v>0.035</v>
      </c>
      <c r="D247" s="13" t="n">
        <f aca="false">+M247</f>
        <v>105080</v>
      </c>
      <c r="E247" s="17" t="n">
        <f aca="false">'bid input'!M12-D247</f>
        <v>186920</v>
      </c>
      <c r="G247" s="13" t="n">
        <f aca="false">+IF(G$232="NA",+G211+G171+G89+G39,0)</f>
        <v>0</v>
      </c>
      <c r="H247" s="13" t="n">
        <f aca="false">+IF(H$232="NA",+H211+H171+H89+H39,0)</f>
        <v>0</v>
      </c>
      <c r="I247" s="13" t="n">
        <f aca="false">+IF(I$232="NA",+I211+I171+I89+I39,0)</f>
        <v>0</v>
      </c>
      <c r="J247" s="13" t="n">
        <f aca="false">+IF(J$232="NA",+J211+J171+J89+J39,0)</f>
        <v>105080</v>
      </c>
      <c r="K247" s="13" t="n">
        <f aca="false">+IF(K$232="NA",+K211+K171+K89+K39,0)</f>
        <v>0</v>
      </c>
      <c r="L247" s="13" t="n">
        <f aca="false">+IF(L$232="NA",+L211+L171+L89+L39,0)</f>
        <v>0</v>
      </c>
      <c r="M247" s="13" t="n">
        <f aca="false">SUM(G247:L247)</f>
        <v>105080</v>
      </c>
    </row>
    <row collapsed="false" customFormat="false" customHeight="false" hidden="true" ht="14" outlineLevel="1" r="248">
      <c r="B248" s="0" t="n">
        <f aca="false">+'bid input'!B13</f>
        <v>1104145</v>
      </c>
      <c r="C248" s="60" t="n">
        <f aca="false">+IF(D248&gt;0,IF(M40&gt;0,F40,0)+IF(M90&gt;0,SUMPRODUCT(G$57:L$57,G90:L90)/M90,0)+E172+IF(M212&gt;0,M$226,0),0)</f>
        <v>0.015</v>
      </c>
      <c r="D248" s="13" t="n">
        <f aca="false">+M248</f>
        <v>31872.5</v>
      </c>
      <c r="E248" s="17" t="n">
        <f aca="false">'bid input'!M13-D248</f>
        <v>720127.5</v>
      </c>
      <c r="G248" s="13" t="n">
        <f aca="false">+IF(G$232="NA",+G212+G172+G90+G40,0)</f>
        <v>31872.5</v>
      </c>
      <c r="H248" s="13" t="n">
        <f aca="false">+IF(H$232="NA",+H212+H172+H90+H40,0)</f>
        <v>0</v>
      </c>
      <c r="I248" s="13" t="n">
        <f aca="false">+IF(I$232="NA",+I212+I172+I90+I40,0)</f>
        <v>0</v>
      </c>
      <c r="J248" s="13" t="n">
        <f aca="false">+IF(J$232="NA",+J212+J172+J90+J40,0)</f>
        <v>0</v>
      </c>
      <c r="K248" s="13" t="n">
        <f aca="false">+IF(K$232="NA",+K212+K172+K90+K40,0)</f>
        <v>0</v>
      </c>
      <c r="L248" s="13" t="n">
        <f aca="false">+IF(L$232="NA",+L212+L172+L90+L40,0)</f>
        <v>0</v>
      </c>
      <c r="M248" s="13" t="n">
        <f aca="false">SUM(G248:L248)</f>
        <v>31872.5</v>
      </c>
    </row>
    <row collapsed="false" customFormat="false" customHeight="false" hidden="true" ht="14" outlineLevel="1" r="249">
      <c r="B249" s="0" t="n">
        <f aca="false">+'bid input'!B14</f>
        <v>1104133</v>
      </c>
      <c r="C249" s="60" t="n">
        <f aca="false">+IF(D249&gt;0,IF(M41&gt;0,F41,0)+IF(M91&gt;0,SUMPRODUCT(G$57:L$57,G91:L91)/M91,0)+E173+IF(M213&gt;0,M$226,0),0)</f>
        <v>0.04</v>
      </c>
      <c r="D249" s="13" t="n">
        <f aca="false">+M249</f>
        <v>105080</v>
      </c>
      <c r="E249" s="17" t="n">
        <f aca="false">'bid input'!M14-D249</f>
        <v>312920</v>
      </c>
      <c r="G249" s="13" t="n">
        <f aca="false">+IF(G$232="NA",+G213+G173+G91+G41,0)</f>
        <v>0</v>
      </c>
      <c r="H249" s="13" t="n">
        <f aca="false">+IF(H$232="NA",+H213+H173+H91+H41,0)</f>
        <v>0</v>
      </c>
      <c r="I249" s="13" t="n">
        <f aca="false">+IF(I$232="NA",+I213+I173+I91+I41,0)</f>
        <v>0</v>
      </c>
      <c r="J249" s="13" t="n">
        <f aca="false">+IF(J$232="NA",+J213+J173+J91+J41,0)</f>
        <v>105080</v>
      </c>
      <c r="K249" s="13" t="n">
        <f aca="false">+IF(K$232="NA",+K213+K173+K91+K41,0)</f>
        <v>0</v>
      </c>
      <c r="L249" s="13" t="n">
        <f aca="false">+IF(L$232="NA",+L213+L173+L91+L41,0)</f>
        <v>0</v>
      </c>
      <c r="M249" s="13" t="n">
        <f aca="false">SUM(G249:L249)</f>
        <v>105080</v>
      </c>
    </row>
    <row collapsed="false" customFormat="false" customHeight="false" hidden="true" ht="14" outlineLevel="1" r="250">
      <c r="B250" s="0" t="n">
        <f aca="false">+'bid input'!B15</f>
        <v>1104149</v>
      </c>
      <c r="C250" s="60" t="n">
        <f aca="false">+IF(D250&gt;0,IF(M42&gt;0,F42,0)+IF(M92&gt;0,SUMPRODUCT(G$57:L$57,G92:L92)/M92,0)+E174+IF(M214&gt;0,M$226,0),0)</f>
        <v>0.035</v>
      </c>
      <c r="D250" s="13" t="n">
        <f aca="false">+M250</f>
        <v>47000</v>
      </c>
      <c r="E250" s="17" t="n">
        <f aca="false">'bid input'!M15-D250</f>
        <v>0</v>
      </c>
      <c r="G250" s="13" t="n">
        <f aca="false">+IF(G$232="NA",+G214+G174+G92+G42,0)</f>
        <v>0</v>
      </c>
      <c r="H250" s="13" t="n">
        <f aca="false">+IF(H$232="NA",+H214+H174+H92+H42,0)</f>
        <v>0</v>
      </c>
      <c r="I250" s="13" t="n">
        <f aca="false">+IF(I$232="NA",+I214+I174+I92+I42,0)</f>
        <v>0</v>
      </c>
      <c r="J250" s="13" t="n">
        <f aca="false">+IF(J$232="NA",+J214+J174+J92+J42,0)</f>
        <v>0</v>
      </c>
      <c r="K250" s="13" t="n">
        <f aca="false">+IF(K$232="NA",+K214+K174+K92+K42,0)</f>
        <v>47000</v>
      </c>
      <c r="L250" s="13" t="n">
        <f aca="false">+IF(L$232="NA",+L214+L174+L92+L42,0)</f>
        <v>0</v>
      </c>
      <c r="M250" s="13" t="n">
        <f aca="false">SUM(G250:L250)</f>
        <v>47000</v>
      </c>
    </row>
    <row collapsed="false" customFormat="false" customHeight="false" hidden="true" ht="14" outlineLevel="1" r="251">
      <c r="B251" s="0" t="n">
        <f aca="false">+'bid input'!B16</f>
        <v>1104151</v>
      </c>
      <c r="C251" s="60" t="n">
        <f aca="false">+IF(D251&gt;0,IF(M43&gt;0,F43,0)+IF(M93&gt;0,SUMPRODUCT(G$57:L$57,G93:L93)/M93,0)+E175+IF(M215&gt;0,M$226,0),0)</f>
        <v>0.035</v>
      </c>
      <c r="D251" s="13" t="n">
        <f aca="false">+M251</f>
        <v>63745</v>
      </c>
      <c r="E251" s="17" t="n">
        <f aca="false">'bid input'!M16-D251</f>
        <v>219255</v>
      </c>
      <c r="G251" s="13" t="n">
        <f aca="false">+IF(G$232="NA",+G215+G175+G93+G43,0)</f>
        <v>63745</v>
      </c>
      <c r="H251" s="13" t="n">
        <f aca="false">+IF(H$232="NA",+H215+H175+H93+H43,0)</f>
        <v>0</v>
      </c>
      <c r="I251" s="13" t="n">
        <f aca="false">+IF(I$232="NA",+I215+I175+I93+I43,0)</f>
        <v>0</v>
      </c>
      <c r="J251" s="13" t="n">
        <f aca="false">+IF(J$232="NA",+J215+J175+J93+J43,0)</f>
        <v>0</v>
      </c>
      <c r="K251" s="13" t="n">
        <f aca="false">+IF(K$232="NA",+K215+K175+K93+K43,0)</f>
        <v>0</v>
      </c>
      <c r="L251" s="13" t="n">
        <f aca="false">+IF(L$232="NA",+L215+L175+L93+L43,0)</f>
        <v>0</v>
      </c>
      <c r="M251" s="13" t="n">
        <f aca="false">SUM(G251:L251)</f>
        <v>63745</v>
      </c>
    </row>
    <row collapsed="false" customFormat="false" customHeight="false" hidden="true" ht="14" outlineLevel="1" r="252">
      <c r="B252" s="0" t="n">
        <f aca="false">+'bid input'!B17</f>
        <v>1104131</v>
      </c>
      <c r="C252" s="60" t="inlineStr">
        <f aca="false">+IF(D252&gt;0,IF(M44&gt;0,F44,0)+IF(M94&gt;0,SUMPRODUCT(G$57:L$57,G94:L94)/M94,0)+E176+IF(M216&gt;0,M$226,0),0)</f>
        <is>
          <t/>
        </is>
      </c>
      <c r="D252" s="13" t="n">
        <f aca="false">+M252</f>
        <v>212482.780487805</v>
      </c>
      <c r="E252" s="17" t="n">
        <f aca="false">'bid input'!M17-D252</f>
        <v>385517.219512195</v>
      </c>
      <c r="G252" s="13" t="n">
        <f aca="false">+IF(G$232="NA",+G216+G176+G94+G44,0)</f>
        <v>4447.87984599901</v>
      </c>
      <c r="H252" s="13" t="n">
        <f aca="false">+IF(H$232="NA",+H216+H176+H94+H44,0)</f>
        <v>31456.6175846414</v>
      </c>
      <c r="I252" s="13" t="n">
        <f aca="false">+IF(I$232="NA",+I216+I176+I94+I44,0)</f>
        <v>53574.1179034912</v>
      </c>
      <c r="J252" s="13" t="n">
        <f aca="false">+IF(J$232="NA",+J216+J176+J94+J44,0)</f>
        <v>14664.1529286243</v>
      </c>
      <c r="K252" s="13" t="n">
        <f aca="false">+IF(K$232="NA",+K216+K176+K94+K44,0)</f>
        <v>40657.1594425713</v>
      </c>
      <c r="L252" s="13" t="n">
        <f aca="false">+IF(L$232="NA",+L216+L176+L94+L44,0)</f>
        <v>67682.8527824777</v>
      </c>
      <c r="M252" s="13" t="n">
        <f aca="false">SUM(G252:L252)</f>
        <v>212482.780487805</v>
      </c>
    </row>
    <row collapsed="false" customFormat="false" customHeight="false" hidden="true" ht="14" outlineLevel="1" r="253">
      <c r="B253" s="0" t="n">
        <f aca="false">+'bid input'!B18</f>
        <v>1104155</v>
      </c>
      <c r="C253" s="60" t="n">
        <f aca="false">+IF(D253&gt;0,IF(M45&gt;0,F45,0)+IF(M95&gt;0,SUMPRODUCT(G$57:L$57,G95:L95)/M95,0)+E177+IF(M217&gt;0,M$226,0),0)</f>
        <v>0.02125</v>
      </c>
      <c r="D253" s="13" t="n">
        <f aca="false">+M253</f>
        <v>103085</v>
      </c>
      <c r="E253" s="17" t="n">
        <f aca="false">'bid input'!M18-D253</f>
        <v>535915</v>
      </c>
      <c r="G253" s="13" t="n">
        <f aca="false">+IF(G$232="NA",+G217+G177+G95+G45,0)</f>
        <v>0</v>
      </c>
      <c r="H253" s="13" t="n">
        <f aca="false">+IF(H$232="NA",+H217+H177+H95+H45,0)</f>
        <v>0</v>
      </c>
      <c r="I253" s="13" t="n">
        <f aca="false">+IF(I$232="NA",+I217+I177+I95+I45,0)</f>
        <v>0</v>
      </c>
      <c r="J253" s="13" t="n">
        <f aca="false">+IF(J$232="NA",+J217+J177+J95+J45,0)</f>
        <v>0</v>
      </c>
      <c r="K253" s="13" t="n">
        <f aca="false">+IF(K$232="NA",+K217+K177+K95+K45,0)</f>
        <v>103085</v>
      </c>
      <c r="L253" s="13" t="n">
        <f aca="false">+IF(L$232="NA",+L217+L177+L95+L45,0)</f>
        <v>0</v>
      </c>
      <c r="M253" s="13" t="n">
        <f aca="false">SUM(G253:L253)</f>
        <v>103085</v>
      </c>
    </row>
    <row collapsed="false" customFormat="false" customHeight="false" hidden="true" ht="14" outlineLevel="1" r="254">
      <c r="B254" s="0" t="n">
        <f aca="false">+'bid input'!B19</f>
        <v>1104156</v>
      </c>
      <c r="C254" s="60" t="n">
        <f aca="false">+IF(D254&gt;0,IF(M46&gt;0,F46,0)+IF(M96&gt;0,SUMPRODUCT(G$57:L$57,G96:L96)/M96,0)+E178+IF(M218&gt;0,M$226,0),0)</f>
        <v>0.035</v>
      </c>
      <c r="D254" s="13" t="n">
        <f aca="false">+M254</f>
        <v>75137</v>
      </c>
      <c r="E254" s="17" t="n">
        <f aca="false">'bid input'!M19-D254</f>
        <v>198863</v>
      </c>
      <c r="G254" s="13" t="n">
        <f aca="false">+IF(G$232="NA",+G218+G178+G96+G46,0)</f>
        <v>0</v>
      </c>
      <c r="H254" s="13" t="n">
        <f aca="false">+IF(H$232="NA",+H218+H178+H96+H46,0)</f>
        <v>75137</v>
      </c>
      <c r="I254" s="13" t="n">
        <f aca="false">+IF(I$232="NA",+I218+I178+I96+I46,0)</f>
        <v>0</v>
      </c>
      <c r="J254" s="13" t="n">
        <f aca="false">+IF(J$232="NA",+J218+J178+J96+J46,0)</f>
        <v>0</v>
      </c>
      <c r="K254" s="13" t="n">
        <f aca="false">+IF(K$232="NA",+K218+K178+K96+K46,0)</f>
        <v>0</v>
      </c>
      <c r="L254" s="13" t="n">
        <f aca="false">+IF(L$232="NA",+L218+L178+L96+L46,0)</f>
        <v>0</v>
      </c>
      <c r="M254" s="13" t="n">
        <f aca="false">SUM(G254:L254)</f>
        <v>75137</v>
      </c>
    </row>
    <row collapsed="false" customFormat="false" customHeight="false" hidden="true" ht="14" outlineLevel="1" r="255">
      <c r="B255" s="0" t="n">
        <f aca="false">+'bid input'!B20</f>
        <v>1104157</v>
      </c>
      <c r="C255" s="60" t="inlineStr">
        <f aca="false">+IF(D255&gt;0,IF(M47&gt;0,F47,0)+IF(M97&gt;0,SUMPRODUCT(G$57:L$57,G97:L97)/M97,0)+E179+IF(M219&gt;0,M$226,0),0)</f>
        <is>
          <t/>
        </is>
      </c>
      <c r="D255" s="13" t="n">
        <f aca="false">+M255</f>
        <v>223497.774125133</v>
      </c>
      <c r="E255" s="17" t="n">
        <f aca="false">'bid input'!M20-D255</f>
        <v>405502.225874868</v>
      </c>
      <c r="G255" s="13" t="n">
        <f aca="false">+IF(G$232="NA",+G219+G179+G97+G47,0)</f>
        <v>4678.45555707923</v>
      </c>
      <c r="H255" s="13" t="n">
        <f aca="false">+IF(H$232="NA",+H219+H179+H97+H47,0)</f>
        <v>33087.3118072566</v>
      </c>
      <c r="I255" s="13" t="n">
        <f aca="false">+IF(I$232="NA",+I219+I179+I97+I47,0)</f>
        <v>56351.3715071838</v>
      </c>
      <c r="J255" s="13" t="n">
        <f aca="false">+IF(J$232="NA",+J219+J179+J97+J47,0)</f>
        <v>15424.3347694058</v>
      </c>
      <c r="K255" s="13" t="n">
        <f aca="false">+IF(K$232="NA",+K219+K179+K97+K47,0)</f>
        <v>42764.8048317347</v>
      </c>
      <c r="L255" s="13" t="n">
        <f aca="false">+IF(L$232="NA",+L219+L179+L97+L47,0)</f>
        <v>71191.4956524724</v>
      </c>
      <c r="M255" s="13" t="n">
        <f aca="false">SUM(G255:L255)</f>
        <v>223497.774125133</v>
      </c>
    </row>
    <row collapsed="false" customFormat="false" customHeight="false" hidden="true" ht="14" outlineLevel="1" r="256">
      <c r="B256" s="0" t="n">
        <f aca="false">+'bid input'!B21</f>
        <v>1104158</v>
      </c>
      <c r="C256" s="60" t="n">
        <f aca="false">+IF(D256&gt;0,IF(M48&gt;0,F48,0)+IF(M98&gt;0,SUMPRODUCT(G$57:L$57,G98:L98)/M98,0)+E180+IF(M220&gt;0,M$226,0),0)</f>
        <v>0.0225</v>
      </c>
      <c r="D256" s="13" t="n">
        <f aca="false">+M256</f>
        <v>63745</v>
      </c>
      <c r="E256" s="17" t="n">
        <f aca="false">'bid input'!M21-D256</f>
        <v>498255</v>
      </c>
      <c r="G256" s="13" t="n">
        <f aca="false">+IF(G$232="NA",+G220+G180+G98+G48,0)</f>
        <v>63745</v>
      </c>
      <c r="H256" s="13" t="n">
        <f aca="false">+IF(H$232="NA",+H220+H180+H98+H48,0)</f>
        <v>0</v>
      </c>
      <c r="I256" s="13" t="n">
        <f aca="false">+IF(I$232="NA",+I220+I180+I98+I48,0)</f>
        <v>0</v>
      </c>
      <c r="J256" s="13" t="n">
        <f aca="false">+IF(J$232="NA",+J220+J180+J98+J48,0)</f>
        <v>0</v>
      </c>
      <c r="K256" s="13" t="n">
        <f aca="false">+IF(K$232="NA",+K220+K180+K98+K48,0)</f>
        <v>0</v>
      </c>
      <c r="L256" s="13" t="n">
        <f aca="false">+IF(L$232="NA",+L220+L180+L98+L48,0)</f>
        <v>0</v>
      </c>
      <c r="M256" s="13" t="n">
        <f aca="false">SUM(G256:L256)</f>
        <v>63745</v>
      </c>
    </row>
    <row collapsed="false" customFormat="false" customHeight="false" hidden="false" ht="14.9" outlineLevel="0" r="257">
      <c r="B257" s="2" t="s">
        <v>84</v>
      </c>
      <c r="C257" s="60" t="n">
        <f aca="false">+SUMPRODUCT(C237:C256,M237:M256)/M257</f>
        <v>0.0392122297921635</v>
      </c>
      <c r="D257" s="13" t="n">
        <f aca="false">SUM(D237:D256)</f>
        <v>2700110</v>
      </c>
      <c r="E257" s="17"/>
      <c r="G257" s="13" t="n">
        <f aca="false">SUM(G237:G256)</f>
        <v>318725</v>
      </c>
      <c r="H257" s="13" t="n">
        <f aca="false">SUM(H237:H256)</f>
        <v>375685</v>
      </c>
      <c r="I257" s="13" t="n">
        <f aca="false">SUM(I237:I256)</f>
        <v>479875</v>
      </c>
      <c r="J257" s="13" t="n">
        <f aca="false">SUM(J237:J256)</f>
        <v>525400</v>
      </c>
      <c r="K257" s="13" t="n">
        <f aca="false">SUM(K237:K256)</f>
        <v>515425</v>
      </c>
      <c r="L257" s="13" t="n">
        <f aca="false">SUM(L237:L256)</f>
        <v>485000</v>
      </c>
      <c r="M257" s="13" t="n">
        <f aca="false">SUM(G257:L257)</f>
        <v>2700110</v>
      </c>
    </row>
    <row collapsed="false" customFormat="false" customHeight="false" hidden="false" ht="14" outlineLevel="0" r="258">
      <c r="C258" s="60"/>
    </row>
    <row collapsed="false" customFormat="false" customHeight="false" hidden="false" ht="14" outlineLevel="0" r="259">
      <c r="B259" s="0" t="s">
        <v>85</v>
      </c>
      <c r="C259" s="18" t="n">
        <v>0.01</v>
      </c>
    </row>
    <row collapsed="false" customFormat="false" customHeight="false" hidden="false" ht="14" outlineLevel="0" r="261">
      <c r="B261" s="0" t="s">
        <v>86</v>
      </c>
      <c r="C261" s="18" t="inlineStr">
        <f aca="false">+C259+C257</f>
        <is>
          <t/>
        </is>
      </c>
      <c r="G261" s="60" t="inlineStr">
        <f aca="false">+IF(G232="NA",G229+$C$259,0)</f>
        <is>
          <t/>
        </is>
      </c>
      <c r="H261" s="60" t="inlineStr">
        <f aca="false">+IF(H232="NA",H229+$C$259,0)</f>
        <is>
          <t/>
        </is>
      </c>
      <c r="I261" s="60" t="inlineStr">
        <f aca="false">+IF(I232="NA",I229+$C$259,0)</f>
        <is>
          <t/>
        </is>
      </c>
      <c r="J261" s="60" t="inlineStr">
        <f aca="false">+IF(J232="NA",J229+$C$259,0)</f>
        <is>
          <t/>
        </is>
      </c>
      <c r="K261" s="60" t="inlineStr">
        <f aca="false">+IF(K232="NA",K229+$C$259,0)</f>
        <is>
          <t/>
        </is>
      </c>
      <c r="L261" s="60" t="inlineStr">
        <f aca="false">+IF(L232="NA",L229+$C$259,0)</f>
        <is>
          <t/>
        </is>
      </c>
      <c r="M261" s="60" t="n">
        <f aca="false">+SUMPRODUCT(G257:L257,G261:L261)/M257</f>
        <v>0.0493764036126078</v>
      </c>
    </row>
    <row collapsed="false" customFormat="false" customHeight="false" hidden="false" ht="14" outlineLevel="0" r="262">
      <c r="G262" s="68" t="str">
        <f aca="false">+IF(G261=0, "NOT FUNDED","")</f>
        <v/>
      </c>
      <c r="H262" s="68" t="str">
        <f aca="false">+IF(H261=0, "NOT FUNDED","")</f>
        <v/>
      </c>
      <c r="I262" s="68" t="str">
        <f aca="false">+IF(I261=0, "NOT FUNDED","")</f>
        <v/>
      </c>
      <c r="J262" s="68" t="str">
        <f aca="false">+IF(J261=0, "NOT FUNDED","")</f>
        <v/>
      </c>
      <c r="K262" s="68" t="str">
        <f aca="false">+IF(K261=0, "NOT FUNDED","")</f>
        <v/>
      </c>
      <c r="L262" s="68" t="str">
        <f aca="false">+IF(L261=0, "NOT FUNDED","")</f>
        <v/>
      </c>
    </row>
  </sheetData>
  <printOptions headings="false" gridLines="false" gridLinesSet="true" horizontalCentered="false" verticalCentered="false"/>
  <pageMargins left="0.7" right="0.7" top="0.75" bottom="0.75" header="0.511805555555555" footer="0.511805555555555"/>
  <pageSetup blackAndWhite="false" cellComments="none" copies="1" draft="false" firstPageNumber="0" fitToHeight="1" fitToWidth="1" horizontalDpi="300" orientation="portrait" pageOrder="downThenOver" paperSize="1" scale="100" useFirstPageNumber="false" usePrinterDefaults="false" verticalDpi="300"/>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cp:revision>0</cp:revision>
</cp:coreProperties>
</file>